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5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6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42\git\ts_pal_sw\local-env\pv\"/>
    </mc:Choice>
  </mc:AlternateContent>
  <bookViews>
    <workbookView xWindow="0" yWindow="0" windowWidth="25290" windowHeight="20655" tabRatio="424" activeTab="2"/>
  </bookViews>
  <sheets>
    <sheet name="org" sheetId="1" r:id="rId1"/>
    <sheet name="EVS001" sheetId="11" r:id="rId2"/>
    <sheet name="EVG001" sheetId="13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4" i="11" l="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3" i="13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66" i="13" l="1"/>
  <c r="G165" i="13"/>
  <c r="G164" i="13"/>
  <c r="G163" i="13"/>
  <c r="G162" i="13"/>
  <c r="G161" i="13"/>
  <c r="G160" i="13"/>
  <c r="G159" i="13"/>
  <c r="G158" i="13"/>
  <c r="G157" i="13"/>
  <c r="G156" i="13"/>
  <c r="G155" i="13"/>
  <c r="G154" i="13"/>
  <c r="Y166" i="13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3"/>
  <c r="A2056" i="13"/>
  <c r="A2055" i="13"/>
  <c r="A2054" i="13"/>
  <c r="A2053" i="13"/>
  <c r="A2052" i="13"/>
  <c r="A2051" i="13"/>
  <c r="A2050" i="13"/>
  <c r="A2049" i="13"/>
  <c r="A2048" i="13"/>
  <c r="A2047" i="13"/>
  <c r="A2046" i="13"/>
  <c r="A2045" i="13"/>
  <c r="A2044" i="13"/>
  <c r="A2043" i="13"/>
  <c r="A2042" i="13"/>
  <c r="A2041" i="13"/>
  <c r="A2040" i="13"/>
  <c r="A2039" i="13"/>
  <c r="A2038" i="13"/>
  <c r="A2037" i="13"/>
  <c r="A2036" i="13"/>
  <c r="A2035" i="13"/>
  <c r="A2034" i="13"/>
  <c r="A2033" i="13"/>
  <c r="A2032" i="13"/>
  <c r="A2031" i="13"/>
  <c r="A2030" i="13"/>
  <c r="A2029" i="13"/>
  <c r="A2028" i="13"/>
  <c r="A2027" i="13"/>
  <c r="A2026" i="13"/>
  <c r="A2025" i="13"/>
  <c r="A2024" i="13"/>
  <c r="A2023" i="13"/>
  <c r="A2022" i="13"/>
  <c r="A2021" i="13"/>
  <c r="A2020" i="13"/>
  <c r="A2019" i="13"/>
  <c r="A2018" i="13"/>
  <c r="A2017" i="13"/>
  <c r="A2016" i="13"/>
  <c r="A2015" i="13"/>
  <c r="A2014" i="13"/>
  <c r="A2013" i="13"/>
  <c r="A2012" i="13"/>
  <c r="A2011" i="13"/>
  <c r="A2010" i="13"/>
  <c r="A2009" i="13"/>
  <c r="A2008" i="13"/>
  <c r="A2007" i="13"/>
  <c r="A2006" i="13"/>
  <c r="A2005" i="13"/>
  <c r="A2004" i="13"/>
  <c r="A2003" i="13"/>
  <c r="A2002" i="13"/>
  <c r="A2001" i="13"/>
  <c r="A2000" i="13"/>
  <c r="A1999" i="13"/>
  <c r="A1998" i="13"/>
  <c r="A1997" i="13"/>
  <c r="A1996" i="13"/>
  <c r="A1995" i="13"/>
  <c r="A1994" i="13"/>
  <c r="A1993" i="13"/>
  <c r="A1992" i="13"/>
  <c r="A1991" i="13"/>
  <c r="A1990" i="13"/>
  <c r="A1989" i="13"/>
  <c r="A1988" i="13"/>
  <c r="A1987" i="13"/>
  <c r="A1986" i="13"/>
  <c r="A1985" i="13"/>
  <c r="A1984" i="13"/>
  <c r="A1983" i="13"/>
  <c r="A1982" i="13"/>
  <c r="A1981" i="13"/>
  <c r="A1980" i="13"/>
  <c r="A1979" i="13"/>
  <c r="A1978" i="13"/>
  <c r="A1977" i="13"/>
  <c r="A1976" i="13"/>
  <c r="A1975" i="13"/>
  <c r="A1974" i="13"/>
  <c r="A1973" i="13"/>
  <c r="A1972" i="13"/>
  <c r="A1971" i="13"/>
  <c r="A1970" i="13"/>
  <c r="A1969" i="13"/>
  <c r="A1968" i="13"/>
  <c r="A1967" i="13"/>
  <c r="A1966" i="13"/>
  <c r="A1965" i="13"/>
  <c r="A1964" i="13"/>
  <c r="A1963" i="13"/>
  <c r="A1962" i="13"/>
  <c r="A1961" i="13"/>
  <c r="A1960" i="13"/>
  <c r="A1959" i="13"/>
  <c r="A1958" i="13"/>
  <c r="A1957" i="13"/>
  <c r="A1956" i="13"/>
  <c r="A1955" i="13"/>
  <c r="A1954" i="13"/>
  <c r="A1953" i="13"/>
  <c r="A1952" i="13"/>
  <c r="A1951" i="13"/>
  <c r="A1950" i="13"/>
  <c r="A1949" i="13"/>
  <c r="A1948" i="13"/>
  <c r="A1947" i="13"/>
  <c r="A1946" i="13"/>
  <c r="A1945" i="13"/>
  <c r="A1944" i="13"/>
  <c r="A1943" i="13"/>
  <c r="A1942" i="13"/>
  <c r="A1941" i="13"/>
  <c r="A1940" i="13"/>
  <c r="A1939" i="13"/>
  <c r="A1938" i="13"/>
  <c r="A1937" i="13"/>
  <c r="A1936" i="13"/>
  <c r="A1935" i="13"/>
  <c r="A1934" i="13"/>
  <c r="A1933" i="13"/>
  <c r="A1932" i="13"/>
  <c r="A1931" i="13"/>
  <c r="A1930" i="13"/>
  <c r="A1929" i="13"/>
  <c r="A1928" i="13"/>
  <c r="A1927" i="13"/>
  <c r="A1926" i="13"/>
  <c r="A1925" i="13"/>
  <c r="A1924" i="13"/>
  <c r="A1923" i="13"/>
  <c r="A1922" i="13"/>
  <c r="A1921" i="13"/>
  <c r="A1920" i="13"/>
  <c r="A1919" i="13"/>
  <c r="A1918" i="13"/>
  <c r="A1917" i="13"/>
  <c r="A1916" i="13"/>
  <c r="A1915" i="13"/>
  <c r="A1914" i="13"/>
  <c r="A1913" i="13"/>
  <c r="A1912" i="13"/>
  <c r="A1911" i="13"/>
  <c r="A1910" i="13"/>
  <c r="A1909" i="13"/>
  <c r="A1908" i="13"/>
  <c r="A1907" i="13"/>
  <c r="A1906" i="13"/>
  <c r="A1905" i="13"/>
  <c r="A1904" i="13"/>
  <c r="A1903" i="13"/>
  <c r="A1902" i="13"/>
  <c r="A1901" i="13"/>
  <c r="A1900" i="13"/>
  <c r="A1899" i="13"/>
  <c r="A1898" i="13"/>
  <c r="A1897" i="13"/>
  <c r="A1896" i="13"/>
  <c r="A1895" i="13"/>
  <c r="A1894" i="13"/>
  <c r="A1893" i="13"/>
  <c r="A1892" i="13"/>
  <c r="A1891" i="13"/>
  <c r="A1890" i="13"/>
  <c r="A1889" i="13"/>
  <c r="A1888" i="13"/>
  <c r="A1887" i="13"/>
  <c r="A1886" i="13"/>
  <c r="A1885" i="13"/>
  <c r="A1884" i="13"/>
  <c r="A1883" i="13"/>
  <c r="A1882" i="13"/>
  <c r="A1881" i="13"/>
  <c r="A1880" i="13"/>
  <c r="A1879" i="13"/>
  <c r="A1878" i="13"/>
  <c r="A1877" i="13"/>
  <c r="A1876" i="13"/>
  <c r="A1875" i="13"/>
  <c r="A1874" i="13"/>
  <c r="A1873" i="13"/>
  <c r="A1872" i="13"/>
  <c r="A1871" i="13"/>
  <c r="A1870" i="13"/>
  <c r="A1869" i="13"/>
  <c r="A1868" i="13"/>
  <c r="A1867" i="13"/>
  <c r="A1866" i="13"/>
  <c r="A1865" i="13"/>
  <c r="A1864" i="13"/>
  <c r="A1863" i="13"/>
  <c r="A1862" i="13"/>
  <c r="A1861" i="13"/>
  <c r="A1860" i="13"/>
  <c r="A1859" i="13"/>
  <c r="A1858" i="13"/>
  <c r="A1857" i="13"/>
  <c r="A1856" i="13"/>
  <c r="A1855" i="13"/>
  <c r="A1854" i="13"/>
  <c r="A1853" i="13"/>
  <c r="A1852" i="13"/>
  <c r="A1851" i="13"/>
  <c r="A1850" i="13"/>
  <c r="A1849" i="13"/>
  <c r="A1848" i="13"/>
  <c r="A1847" i="13"/>
  <c r="A1846" i="13"/>
  <c r="A1845" i="13"/>
  <c r="A1844" i="13"/>
  <c r="A1843" i="13"/>
  <c r="A1842" i="13"/>
  <c r="A1841" i="13"/>
  <c r="A1840" i="13"/>
  <c r="A1839" i="13"/>
  <c r="A1838" i="13"/>
  <c r="A1837" i="13"/>
  <c r="A1836" i="13"/>
  <c r="A1835" i="13"/>
  <c r="A1834" i="13"/>
  <c r="A1833" i="13"/>
  <c r="A1832" i="13"/>
  <c r="A1831" i="13"/>
  <c r="A1830" i="13"/>
  <c r="A1829" i="13"/>
  <c r="A1828" i="13"/>
  <c r="A1827" i="13"/>
  <c r="A1826" i="13"/>
  <c r="A1825" i="13"/>
  <c r="A1824" i="13"/>
  <c r="A1823" i="13"/>
  <c r="A1822" i="13"/>
  <c r="A1821" i="13"/>
  <c r="A1820" i="13"/>
  <c r="A1819" i="13"/>
  <c r="A1818" i="13"/>
  <c r="A1817" i="13"/>
  <c r="A1816" i="13"/>
  <c r="A1815" i="13"/>
  <c r="A1814" i="13"/>
  <c r="A1813" i="13"/>
  <c r="A1812" i="13"/>
  <c r="A1811" i="13"/>
  <c r="A1810" i="13"/>
  <c r="A1809" i="13"/>
  <c r="A1808" i="13"/>
  <c r="A1807" i="13"/>
  <c r="A1806" i="13"/>
  <c r="A1805" i="13"/>
  <c r="A1804" i="13"/>
  <c r="A1803" i="13"/>
  <c r="A1802" i="13"/>
  <c r="A1801" i="13"/>
  <c r="A1800" i="13"/>
  <c r="A1799" i="13"/>
  <c r="A1798" i="13"/>
  <c r="A1797" i="13"/>
  <c r="A1796" i="13"/>
  <c r="A1795" i="13"/>
  <c r="A1794" i="13"/>
  <c r="A1793" i="13"/>
  <c r="A1792" i="13"/>
  <c r="A1791" i="13"/>
  <c r="A1790" i="13"/>
  <c r="A1789" i="13"/>
  <c r="A1788" i="13"/>
  <c r="A1787" i="13"/>
  <c r="A1786" i="13"/>
  <c r="A1785" i="13"/>
  <c r="A1784" i="13"/>
  <c r="A1783" i="13"/>
  <c r="A1782" i="13"/>
  <c r="A1781" i="13"/>
  <c r="A1780" i="13"/>
  <c r="A1779" i="13"/>
  <c r="A1778" i="13"/>
  <c r="A1777" i="13"/>
  <c r="A1776" i="13"/>
  <c r="A1775" i="13"/>
  <c r="A1774" i="13"/>
  <c r="A1773" i="13"/>
  <c r="A1772" i="13"/>
  <c r="A1771" i="13"/>
  <c r="A1770" i="13"/>
  <c r="A1769" i="13"/>
  <c r="A1768" i="13"/>
  <c r="A1767" i="13"/>
  <c r="A1766" i="13"/>
  <c r="A1765" i="13"/>
  <c r="A1764" i="13"/>
  <c r="A1763" i="13"/>
  <c r="A1762" i="13"/>
  <c r="A1761" i="13"/>
  <c r="A1760" i="13"/>
  <c r="A1759" i="13"/>
  <c r="A1758" i="13"/>
  <c r="A1757" i="13"/>
  <c r="A1756" i="13"/>
  <c r="A1755" i="13"/>
  <c r="A1754" i="13"/>
  <c r="A1753" i="13"/>
  <c r="A1752" i="13"/>
  <c r="A1751" i="13"/>
  <c r="A1750" i="13"/>
  <c r="A1749" i="13"/>
  <c r="A1748" i="13"/>
  <c r="A1747" i="13"/>
  <c r="A1746" i="13"/>
  <c r="A1745" i="13"/>
  <c r="A1744" i="13"/>
  <c r="A1743" i="13"/>
  <c r="A1742" i="13"/>
  <c r="A1741" i="13"/>
  <c r="A1740" i="13"/>
  <c r="A1739" i="13"/>
  <c r="A1738" i="13"/>
  <c r="A1737" i="13"/>
  <c r="A1736" i="13"/>
  <c r="A1735" i="13"/>
  <c r="A1734" i="13"/>
  <c r="A1733" i="13"/>
  <c r="A1732" i="13"/>
  <c r="A1731" i="13"/>
  <c r="A1730" i="13"/>
  <c r="A1729" i="13"/>
  <c r="A1728" i="13"/>
  <c r="A1727" i="13"/>
  <c r="A1726" i="13"/>
  <c r="A1725" i="13"/>
  <c r="A1724" i="13"/>
  <c r="A1723" i="13"/>
  <c r="A1722" i="13"/>
  <c r="A1721" i="13"/>
  <c r="A1720" i="13"/>
  <c r="A1719" i="13"/>
  <c r="A1718" i="13"/>
  <c r="A1717" i="13"/>
  <c r="A1716" i="13"/>
  <c r="A1715" i="13"/>
  <c r="A1714" i="13"/>
  <c r="A1713" i="13"/>
  <c r="A1712" i="13"/>
  <c r="A1711" i="13"/>
  <c r="A1710" i="13"/>
  <c r="A1709" i="13"/>
  <c r="A1708" i="13"/>
  <c r="A1707" i="13"/>
  <c r="A1706" i="13"/>
  <c r="A1705" i="13"/>
  <c r="A1704" i="13"/>
  <c r="A1703" i="13"/>
  <c r="A1702" i="13"/>
  <c r="A1701" i="13"/>
  <c r="A1700" i="13"/>
  <c r="A1699" i="13"/>
  <c r="A1698" i="13"/>
  <c r="A1697" i="13"/>
  <c r="A1696" i="13"/>
  <c r="A1695" i="13"/>
  <c r="A1694" i="13"/>
  <c r="A1693" i="13"/>
  <c r="A1692" i="13"/>
  <c r="A1691" i="13"/>
  <c r="A1690" i="13"/>
  <c r="A1689" i="13"/>
  <c r="A1688" i="13"/>
  <c r="A1687" i="13"/>
  <c r="A1686" i="13"/>
  <c r="A1685" i="13"/>
  <c r="A1684" i="13"/>
  <c r="A1683" i="13"/>
  <c r="A1682" i="13"/>
  <c r="A1681" i="13"/>
  <c r="A1680" i="13"/>
  <c r="A1679" i="13"/>
  <c r="A1678" i="13"/>
  <c r="A1677" i="13"/>
  <c r="A1676" i="13"/>
  <c r="A1675" i="13"/>
  <c r="A1674" i="13"/>
  <c r="A1673" i="13"/>
  <c r="A1672" i="13"/>
  <c r="A1671" i="13"/>
  <c r="A1670" i="13"/>
  <c r="A1669" i="13"/>
  <c r="A1668" i="13"/>
  <c r="A1667" i="13"/>
  <c r="A1666" i="13"/>
  <c r="A1665" i="13"/>
  <c r="A1664" i="13"/>
  <c r="A1663" i="13"/>
  <c r="A1662" i="13"/>
  <c r="A1661" i="13"/>
  <c r="A1660" i="13"/>
  <c r="A1659" i="13"/>
  <c r="A1658" i="13"/>
  <c r="A1657" i="13"/>
  <c r="A1656" i="13"/>
  <c r="A1655" i="13"/>
  <c r="A1654" i="13"/>
  <c r="A1653" i="13"/>
  <c r="A1652" i="13"/>
  <c r="A1651" i="13"/>
  <c r="A1650" i="13"/>
  <c r="A1649" i="13"/>
  <c r="A1648" i="13"/>
  <c r="A1647" i="13"/>
  <c r="A1646" i="13"/>
  <c r="A1645" i="13"/>
  <c r="A1644" i="13"/>
  <c r="A1643" i="13"/>
  <c r="A1642" i="13"/>
  <c r="A1641" i="13"/>
  <c r="A1640" i="13"/>
  <c r="A1639" i="13"/>
  <c r="A1638" i="13"/>
  <c r="A1637" i="13"/>
  <c r="A1636" i="13"/>
  <c r="A1635" i="13"/>
  <c r="A1634" i="13"/>
  <c r="A1633" i="13"/>
  <c r="A1632" i="13"/>
  <c r="A1631" i="13"/>
  <c r="A1630" i="13"/>
  <c r="A1629" i="13"/>
  <c r="A1628" i="13"/>
  <c r="A1627" i="13"/>
  <c r="A1626" i="13"/>
  <c r="A1625" i="13"/>
  <c r="A1624" i="13"/>
  <c r="A1623" i="13"/>
  <c r="A1622" i="13"/>
  <c r="A1621" i="13"/>
  <c r="A1620" i="13"/>
  <c r="A1619" i="13"/>
  <c r="A1618" i="13"/>
  <c r="A1617" i="13"/>
  <c r="A1616" i="13"/>
  <c r="A1615" i="13"/>
  <c r="A1614" i="13"/>
  <c r="A1613" i="13"/>
  <c r="A1612" i="13"/>
  <c r="A1611" i="13"/>
  <c r="A1610" i="13"/>
  <c r="A1609" i="13"/>
  <c r="A1608" i="13"/>
  <c r="A1607" i="13"/>
  <c r="A1606" i="13"/>
  <c r="A1605" i="13"/>
  <c r="A1604" i="13"/>
  <c r="A1603" i="13"/>
  <c r="A1602" i="13"/>
  <c r="A1601" i="13"/>
  <c r="A1600" i="13"/>
  <c r="A1599" i="13"/>
  <c r="A1598" i="13"/>
  <c r="A1597" i="13"/>
  <c r="A1596" i="13"/>
  <c r="A1595" i="13"/>
  <c r="A1594" i="13"/>
  <c r="A1593" i="13"/>
  <c r="A1592" i="13"/>
  <c r="A1591" i="13"/>
  <c r="A1590" i="13"/>
  <c r="A1589" i="13"/>
  <c r="A1588" i="13"/>
  <c r="A1587" i="13"/>
  <c r="A1586" i="13"/>
  <c r="A1585" i="13"/>
  <c r="A1584" i="13"/>
  <c r="A1583" i="13"/>
  <c r="A1582" i="13"/>
  <c r="A1581" i="13"/>
  <c r="A1580" i="13"/>
  <c r="A1579" i="13"/>
  <c r="A1578" i="13"/>
  <c r="A1577" i="13"/>
  <c r="A1576" i="13"/>
  <c r="A1575" i="13"/>
  <c r="A1574" i="13"/>
  <c r="A1573" i="13"/>
  <c r="A1572" i="13"/>
  <c r="A1571" i="13"/>
  <c r="A1570" i="13"/>
  <c r="A1569" i="13"/>
  <c r="A1568" i="13"/>
  <c r="A1567" i="13"/>
  <c r="A1566" i="13"/>
  <c r="A1565" i="13"/>
  <c r="A1564" i="13"/>
  <c r="A1563" i="13"/>
  <c r="A1562" i="13"/>
  <c r="A1561" i="13"/>
  <c r="A1560" i="13"/>
  <c r="A1559" i="13"/>
  <c r="A1558" i="13"/>
  <c r="A1557" i="13"/>
  <c r="A1556" i="13"/>
  <c r="A1555" i="13"/>
  <c r="A1554" i="13"/>
  <c r="A1553" i="13"/>
  <c r="A1552" i="13"/>
  <c r="A1551" i="13"/>
  <c r="A1550" i="13"/>
  <c r="A1549" i="13"/>
  <c r="A1548" i="13"/>
  <c r="A1547" i="13"/>
  <c r="A1546" i="13"/>
  <c r="A1545" i="13"/>
  <c r="A1544" i="13"/>
  <c r="A1543" i="13"/>
  <c r="A1542" i="13"/>
  <c r="A1541" i="13"/>
  <c r="A1540" i="13"/>
  <c r="A1539" i="13"/>
  <c r="A1538" i="13"/>
  <c r="A1537" i="13"/>
  <c r="A1536" i="13"/>
  <c r="A1535" i="13"/>
  <c r="A1534" i="13"/>
  <c r="A1533" i="13"/>
  <c r="A1532" i="13"/>
  <c r="A1531" i="13"/>
  <c r="A1530" i="13"/>
  <c r="A1529" i="13"/>
  <c r="A1528" i="13"/>
  <c r="A1527" i="13"/>
  <c r="A1526" i="13"/>
  <c r="A1525" i="13"/>
  <c r="A1524" i="13"/>
  <c r="A1523" i="13"/>
  <c r="A1522" i="13"/>
  <c r="A1521" i="13"/>
  <c r="A1520" i="13"/>
  <c r="A1519" i="13"/>
  <c r="A1518" i="13"/>
  <c r="A1517" i="13"/>
  <c r="A1516" i="13"/>
  <c r="A1515" i="13"/>
  <c r="A1514" i="13"/>
  <c r="A1513" i="13"/>
  <c r="A1512" i="13"/>
  <c r="A1511" i="13"/>
  <c r="A1510" i="13"/>
  <c r="A1509" i="13"/>
  <c r="A1508" i="13"/>
  <c r="A1507" i="13"/>
  <c r="A1506" i="13"/>
  <c r="A1505" i="13"/>
  <c r="A1504" i="13"/>
  <c r="A1503" i="13"/>
  <c r="A1502" i="13"/>
  <c r="A1501" i="13"/>
  <c r="A1500" i="13"/>
  <c r="A1499" i="13"/>
  <c r="A1498" i="13"/>
  <c r="A1497" i="13"/>
  <c r="A1496" i="13"/>
  <c r="A1495" i="13"/>
  <c r="A1494" i="13"/>
  <c r="A1493" i="13"/>
  <c r="A1492" i="13"/>
  <c r="A1491" i="13"/>
  <c r="A1490" i="13"/>
  <c r="A1489" i="13"/>
  <c r="A1488" i="13"/>
  <c r="A1487" i="13"/>
  <c r="A1486" i="13"/>
  <c r="A1485" i="13"/>
  <c r="A1484" i="13"/>
  <c r="A1483" i="13"/>
  <c r="A1482" i="13"/>
  <c r="A1481" i="13"/>
  <c r="A1480" i="13"/>
  <c r="A1479" i="13"/>
  <c r="A1478" i="13"/>
  <c r="A1477" i="13"/>
  <c r="A1476" i="13"/>
  <c r="A1475" i="13"/>
  <c r="A1474" i="13"/>
  <c r="A1473" i="13"/>
  <c r="A1472" i="13"/>
  <c r="A1471" i="13"/>
  <c r="A1470" i="13"/>
  <c r="A1469" i="13"/>
  <c r="A1468" i="13"/>
  <c r="A1467" i="13"/>
  <c r="A1466" i="13"/>
  <c r="A1465" i="13"/>
  <c r="A1464" i="13"/>
  <c r="A1463" i="13"/>
  <c r="A1462" i="13"/>
  <c r="A1461" i="13"/>
  <c r="A1460" i="13"/>
  <c r="A1459" i="13"/>
  <c r="A1458" i="13"/>
  <c r="A1457" i="13"/>
  <c r="A1456" i="13"/>
  <c r="A1455" i="13"/>
  <c r="A1454" i="13"/>
  <c r="A1453" i="13"/>
  <c r="A1452" i="13"/>
  <c r="A1451" i="13"/>
  <c r="A1450" i="13"/>
  <c r="A1449" i="13"/>
  <c r="A1448" i="13"/>
  <c r="A1447" i="13"/>
  <c r="A1446" i="13"/>
  <c r="A1445" i="13"/>
  <c r="A1444" i="13"/>
  <c r="A1443" i="13"/>
  <c r="A1442" i="13"/>
  <c r="A1441" i="13"/>
  <c r="A1440" i="13"/>
  <c r="A1439" i="13"/>
  <c r="A1438" i="13"/>
  <c r="A1437" i="13"/>
  <c r="A1436" i="13"/>
  <c r="A1435" i="13"/>
  <c r="A1434" i="13"/>
  <c r="A1433" i="13"/>
  <c r="A1432" i="13"/>
  <c r="A1431" i="13"/>
  <c r="A1430" i="13"/>
  <c r="A1429" i="13"/>
  <c r="A1428" i="13"/>
  <c r="A1427" i="13"/>
  <c r="A1426" i="13"/>
  <c r="A1425" i="13"/>
  <c r="A1424" i="13"/>
  <c r="A1423" i="13"/>
  <c r="A1422" i="13"/>
  <c r="A1421" i="13"/>
  <c r="A1420" i="13"/>
  <c r="A1419" i="13"/>
  <c r="A1418" i="13"/>
  <c r="A1417" i="13"/>
  <c r="A1416" i="13"/>
  <c r="A1415" i="13"/>
  <c r="A1414" i="13"/>
  <c r="A1413" i="13"/>
  <c r="A1412" i="13"/>
  <c r="A1411" i="13"/>
  <c r="A1410" i="13"/>
  <c r="A1409" i="13"/>
  <c r="A1408" i="13"/>
  <c r="A1407" i="13"/>
  <c r="A1406" i="13"/>
  <c r="A1405" i="13"/>
  <c r="A1404" i="13"/>
  <c r="A1403" i="13"/>
  <c r="A1402" i="13"/>
  <c r="A1401" i="13"/>
  <c r="A1400" i="13"/>
  <c r="A1399" i="13"/>
  <c r="A1398" i="13"/>
  <c r="A1397" i="13"/>
  <c r="A1396" i="13"/>
  <c r="A1395" i="13"/>
  <c r="A1394" i="13"/>
  <c r="A1393" i="13"/>
  <c r="A1392" i="13"/>
  <c r="A1391" i="13"/>
  <c r="A1390" i="13"/>
  <c r="A1389" i="13"/>
  <c r="A1388" i="13"/>
  <c r="A1387" i="13"/>
  <c r="A1386" i="13"/>
  <c r="A1385" i="13"/>
  <c r="A1384" i="13"/>
  <c r="A1383" i="13"/>
  <c r="A1382" i="13"/>
  <c r="A1381" i="13"/>
  <c r="A1380" i="13"/>
  <c r="A1379" i="13"/>
  <c r="A1378" i="13"/>
  <c r="A1377" i="13"/>
  <c r="A1376" i="13"/>
  <c r="A1375" i="13"/>
  <c r="A1374" i="13"/>
  <c r="A1373" i="13"/>
  <c r="A1372" i="13"/>
  <c r="A1371" i="13"/>
  <c r="A1370" i="13"/>
  <c r="A1369" i="13"/>
  <c r="A1368" i="13"/>
  <c r="A1367" i="13"/>
  <c r="A1366" i="13"/>
  <c r="A1365" i="13"/>
  <c r="A1364" i="13"/>
  <c r="A1363" i="13"/>
  <c r="A1362" i="13"/>
  <c r="A1361" i="13"/>
  <c r="A1360" i="13"/>
  <c r="A1359" i="13"/>
  <c r="A1358" i="13"/>
  <c r="A1357" i="13"/>
  <c r="A1356" i="13"/>
  <c r="A1355" i="13"/>
  <c r="A1354" i="13"/>
  <c r="A1353" i="13"/>
  <c r="A1352" i="13"/>
  <c r="A1351" i="13"/>
  <c r="A1350" i="13"/>
  <c r="A1349" i="13"/>
  <c r="A1348" i="13"/>
  <c r="A1347" i="13"/>
  <c r="A1346" i="13"/>
  <c r="A1345" i="13"/>
  <c r="A1344" i="13"/>
  <c r="A1343" i="13"/>
  <c r="A1342" i="13"/>
  <c r="A1341" i="13"/>
  <c r="A1340" i="13"/>
  <c r="A1339" i="13"/>
  <c r="A1338" i="13"/>
  <c r="A1337" i="13"/>
  <c r="A1336" i="13"/>
  <c r="A1335" i="13"/>
  <c r="A1334" i="13"/>
  <c r="A1333" i="13"/>
  <c r="A1332" i="13"/>
  <c r="A1331" i="13"/>
  <c r="A1330" i="13"/>
  <c r="A1329" i="13"/>
  <c r="A1328" i="13"/>
  <c r="A1327" i="13"/>
  <c r="A1326" i="13"/>
  <c r="A1325" i="13"/>
  <c r="A1324" i="13"/>
  <c r="A1323" i="13"/>
  <c r="A1322" i="13"/>
  <c r="A1321" i="13"/>
  <c r="A1320" i="13"/>
  <c r="A1319" i="13"/>
  <c r="A1318" i="13"/>
  <c r="A1317" i="13"/>
  <c r="A1316" i="13"/>
  <c r="A1315" i="13"/>
  <c r="A1314" i="13"/>
  <c r="A1313" i="13"/>
  <c r="A1312" i="13"/>
  <c r="A1311" i="13"/>
  <c r="A1310" i="13"/>
  <c r="A1309" i="13"/>
  <c r="A1308" i="13"/>
  <c r="A1307" i="13"/>
  <c r="A1306" i="13"/>
  <c r="A1305" i="13"/>
  <c r="A1304" i="13"/>
  <c r="A1303" i="13"/>
  <c r="A1302" i="13"/>
  <c r="A1301" i="13"/>
  <c r="A1300" i="13"/>
  <c r="A1299" i="13"/>
  <c r="A1298" i="13"/>
  <c r="A1297" i="13"/>
  <c r="A1296" i="13"/>
  <c r="A1295" i="13"/>
  <c r="A1294" i="13"/>
  <c r="A1293" i="13"/>
  <c r="A1292" i="13"/>
  <c r="A1291" i="13"/>
  <c r="A1290" i="13"/>
  <c r="A1289" i="13"/>
  <c r="A1288" i="13"/>
  <c r="A1287" i="13"/>
  <c r="A1286" i="13"/>
  <c r="A1285" i="13"/>
  <c r="A1284" i="13"/>
  <c r="A1283" i="13"/>
  <c r="A1282" i="13"/>
  <c r="A1281" i="13"/>
  <c r="A1280" i="13"/>
  <c r="A1279" i="13"/>
  <c r="A1278" i="13"/>
  <c r="A1277" i="13"/>
  <c r="A1276" i="13"/>
  <c r="A1275" i="13"/>
  <c r="A1274" i="13"/>
  <c r="A1273" i="13"/>
  <c r="A1272" i="13"/>
  <c r="A1271" i="13"/>
  <c r="A1270" i="13"/>
  <c r="A1269" i="13"/>
  <c r="A1268" i="13"/>
  <c r="A1267" i="13"/>
  <c r="A1266" i="13"/>
  <c r="A1265" i="13"/>
  <c r="A1264" i="13"/>
  <c r="A1263" i="13"/>
  <c r="A1262" i="13"/>
  <c r="A1261" i="13"/>
  <c r="A1260" i="13"/>
  <c r="A1259" i="13"/>
  <c r="A1258" i="13"/>
  <c r="A1257" i="13"/>
  <c r="A1256" i="13"/>
  <c r="A1255" i="13"/>
  <c r="A1254" i="13"/>
  <c r="A1253" i="13"/>
  <c r="A1252" i="13"/>
  <c r="A1251" i="13"/>
  <c r="A1250" i="13"/>
  <c r="A1249" i="13"/>
  <c r="A1248" i="13"/>
  <c r="A1247" i="13"/>
  <c r="A1246" i="13"/>
  <c r="A1245" i="13"/>
  <c r="A1244" i="13"/>
  <c r="A1243" i="13"/>
  <c r="A1242" i="13"/>
  <c r="A1241" i="13"/>
  <c r="A1240" i="13"/>
  <c r="A1239" i="13"/>
  <c r="A1238" i="13"/>
  <c r="A1237" i="13"/>
  <c r="A1236" i="13"/>
  <c r="A1235" i="13"/>
  <c r="A1234" i="13"/>
  <c r="A1233" i="13"/>
  <c r="A1232" i="13"/>
  <c r="A1231" i="13"/>
  <c r="A1230" i="13"/>
  <c r="A1229" i="13"/>
  <c r="A1228" i="13"/>
  <c r="A1227" i="13"/>
  <c r="A1226" i="13"/>
  <c r="A1225" i="13"/>
  <c r="A1224" i="13"/>
  <c r="A1223" i="13"/>
  <c r="A1222" i="13"/>
  <c r="A1221" i="13"/>
  <c r="A1220" i="13"/>
  <c r="A1219" i="13"/>
  <c r="A1218" i="13"/>
  <c r="A1217" i="13"/>
  <c r="A1216" i="13"/>
  <c r="A1215" i="13"/>
  <c r="A1214" i="13"/>
  <c r="A1213" i="13"/>
  <c r="A1212" i="13"/>
  <c r="A1211" i="13"/>
  <c r="A1210" i="13"/>
  <c r="A1209" i="13"/>
  <c r="A1208" i="13"/>
  <c r="A1207" i="13"/>
  <c r="A1206" i="13"/>
  <c r="A1205" i="13"/>
  <c r="A1204" i="13"/>
  <c r="A1203" i="13"/>
  <c r="A1202" i="13"/>
  <c r="A1201" i="13"/>
  <c r="A1200" i="13"/>
  <c r="A1199" i="13"/>
  <c r="A1198" i="13"/>
  <c r="A1197" i="13"/>
  <c r="A1196" i="13"/>
  <c r="A1195" i="13"/>
  <c r="A1194" i="13"/>
  <c r="A1193" i="13"/>
  <c r="A1192" i="13"/>
  <c r="A1191" i="13"/>
  <c r="A1190" i="13"/>
  <c r="A1189" i="13"/>
  <c r="A1188" i="13"/>
  <c r="A1187" i="13"/>
  <c r="A1186" i="13"/>
  <c r="A1185" i="13"/>
  <c r="A1184" i="13"/>
  <c r="A1183" i="13"/>
  <c r="A1182" i="13"/>
  <c r="A1181" i="13"/>
  <c r="A1180" i="13"/>
  <c r="A1179" i="13"/>
  <c r="A1178" i="13"/>
  <c r="A1177" i="13"/>
  <c r="A1176" i="13"/>
  <c r="A1175" i="13"/>
  <c r="A1174" i="13"/>
  <c r="A1173" i="13"/>
  <c r="A1172" i="13"/>
  <c r="A1171" i="13"/>
  <c r="A1170" i="13"/>
  <c r="A1169" i="13"/>
  <c r="A1168" i="13"/>
  <c r="A1167" i="13"/>
  <c r="A1166" i="13"/>
  <c r="A1165" i="13"/>
  <c r="A1164" i="13"/>
  <c r="A1163" i="13"/>
  <c r="A1162" i="13"/>
  <c r="A1161" i="13"/>
  <c r="A1160" i="13"/>
  <c r="A1159" i="13"/>
  <c r="A1158" i="13"/>
  <c r="A1157" i="13"/>
  <c r="A1156" i="13"/>
  <c r="A1155" i="13"/>
  <c r="A1154" i="13"/>
  <c r="A1153" i="13"/>
  <c r="A1152" i="13"/>
  <c r="A1151" i="13"/>
  <c r="A1150" i="13"/>
  <c r="A1149" i="13"/>
  <c r="A1148" i="13"/>
  <c r="A1147" i="13"/>
  <c r="A1146" i="13"/>
  <c r="A1145" i="13"/>
  <c r="A1144" i="13"/>
  <c r="A1143" i="13"/>
  <c r="A1142" i="13"/>
  <c r="A1141" i="13"/>
  <c r="A1140" i="13"/>
  <c r="A1139" i="13"/>
  <c r="A1138" i="13"/>
  <c r="A1137" i="13"/>
  <c r="A1136" i="13"/>
  <c r="A1135" i="13"/>
  <c r="A1134" i="13"/>
  <c r="A1133" i="13"/>
  <c r="A1132" i="13"/>
  <c r="A1131" i="13"/>
  <c r="A1130" i="13"/>
  <c r="A1129" i="13"/>
  <c r="A1128" i="13"/>
  <c r="A1127" i="13"/>
  <c r="A1126" i="13"/>
  <c r="A1125" i="13"/>
  <c r="A1124" i="13"/>
  <c r="A1123" i="13"/>
  <c r="A1122" i="13"/>
  <c r="A1121" i="13"/>
  <c r="A1120" i="13"/>
  <c r="A1119" i="13"/>
  <c r="A1118" i="13"/>
  <c r="A1117" i="13"/>
  <c r="A1116" i="13"/>
  <c r="A1115" i="13"/>
  <c r="A1114" i="13"/>
  <c r="A1113" i="13"/>
  <c r="A1112" i="13"/>
  <c r="A1111" i="13"/>
  <c r="A1110" i="13"/>
  <c r="A1109" i="13"/>
  <c r="A1108" i="13"/>
  <c r="A1107" i="13"/>
  <c r="A1106" i="13"/>
  <c r="A1105" i="13"/>
  <c r="A1104" i="13"/>
  <c r="A1103" i="13"/>
  <c r="A1102" i="13"/>
  <c r="A1101" i="13"/>
  <c r="A1100" i="13"/>
  <c r="A1099" i="13"/>
  <c r="A1098" i="13"/>
  <c r="A1097" i="13"/>
  <c r="A1096" i="13"/>
  <c r="A1095" i="13"/>
  <c r="A1094" i="13"/>
  <c r="A1093" i="13"/>
  <c r="A1092" i="13"/>
  <c r="A1091" i="13"/>
  <c r="A1090" i="13"/>
  <c r="A1089" i="13"/>
  <c r="A1088" i="13"/>
  <c r="A1087" i="13"/>
  <c r="A1086" i="13"/>
  <c r="A1085" i="13"/>
  <c r="A1084" i="13"/>
  <c r="A1083" i="13"/>
  <c r="A1082" i="13"/>
  <c r="A1081" i="13"/>
  <c r="A1080" i="13"/>
  <c r="A1079" i="13"/>
  <c r="A1078" i="13"/>
  <c r="A1077" i="13"/>
  <c r="A1076" i="13"/>
  <c r="A1075" i="13"/>
  <c r="A1074" i="13"/>
  <c r="A1073" i="13"/>
  <c r="A1072" i="13"/>
  <c r="A1071" i="13"/>
  <c r="A1070" i="13"/>
  <c r="A1069" i="13"/>
  <c r="A1068" i="13"/>
  <c r="A1067" i="13"/>
  <c r="A1066" i="13"/>
  <c r="A1065" i="13"/>
  <c r="A1064" i="13"/>
  <c r="A1063" i="13"/>
  <c r="A1062" i="13"/>
  <c r="A1061" i="13"/>
  <c r="A1060" i="13"/>
  <c r="A1059" i="13"/>
  <c r="A1058" i="13"/>
  <c r="A1057" i="13"/>
  <c r="A1056" i="13"/>
  <c r="A1055" i="13"/>
  <c r="A1054" i="13"/>
  <c r="A1053" i="13"/>
  <c r="A1052" i="13"/>
  <c r="A1051" i="13"/>
  <c r="A1050" i="13"/>
  <c r="A1049" i="13"/>
  <c r="A1048" i="13"/>
  <c r="A1047" i="13"/>
  <c r="A1046" i="13"/>
  <c r="A1045" i="13"/>
  <c r="A1044" i="13"/>
  <c r="A1043" i="13"/>
  <c r="A1042" i="13"/>
  <c r="A1041" i="13"/>
  <c r="A1040" i="13"/>
  <c r="A1039" i="13"/>
  <c r="A1038" i="13"/>
  <c r="A1037" i="13"/>
  <c r="A1036" i="13"/>
  <c r="A1035" i="13"/>
  <c r="A1034" i="13"/>
  <c r="A1033" i="13"/>
  <c r="A1032" i="13"/>
  <c r="A1031" i="13"/>
  <c r="A1030" i="13"/>
  <c r="A1029" i="13"/>
  <c r="A1028" i="13"/>
  <c r="A1027" i="13"/>
  <c r="A1026" i="13"/>
  <c r="A1025" i="13"/>
  <c r="A1024" i="13"/>
  <c r="A1023" i="13"/>
  <c r="A1022" i="13"/>
  <c r="A1021" i="13"/>
  <c r="A1020" i="13"/>
  <c r="A1019" i="13"/>
  <c r="A1018" i="13"/>
  <c r="A1017" i="13"/>
  <c r="A1016" i="13"/>
  <c r="A1015" i="13"/>
  <c r="A1014" i="13"/>
  <c r="A1013" i="13"/>
  <c r="A1012" i="13"/>
  <c r="A1011" i="13"/>
  <c r="A1010" i="13"/>
  <c r="A1009" i="13"/>
  <c r="A1008" i="13"/>
  <c r="A1007" i="13"/>
  <c r="A1006" i="13"/>
  <c r="A1005" i="13"/>
  <c r="A1004" i="13"/>
  <c r="A1003" i="13"/>
  <c r="A1002" i="13"/>
  <c r="A1001" i="13"/>
  <c r="A1000" i="13"/>
  <c r="A999" i="13"/>
  <c r="A998" i="13"/>
  <c r="A997" i="13"/>
  <c r="A996" i="13"/>
  <c r="A995" i="13"/>
  <c r="A994" i="13"/>
  <c r="A993" i="13"/>
  <c r="A992" i="13"/>
  <c r="A991" i="13"/>
  <c r="A990" i="13"/>
  <c r="A989" i="13"/>
  <c r="A988" i="13"/>
  <c r="A987" i="13"/>
  <c r="A986" i="13"/>
  <c r="A985" i="13"/>
  <c r="A984" i="13"/>
  <c r="A983" i="13"/>
  <c r="A982" i="13"/>
  <c r="A981" i="13"/>
  <c r="A980" i="13"/>
  <c r="A979" i="13"/>
  <c r="A978" i="13"/>
  <c r="A977" i="13"/>
  <c r="A976" i="13"/>
  <c r="A975" i="13"/>
  <c r="A974" i="13"/>
  <c r="A973" i="13"/>
  <c r="A972" i="13"/>
  <c r="A971" i="13"/>
  <c r="A970" i="13"/>
  <c r="A969" i="13"/>
  <c r="A968" i="13"/>
  <c r="A967" i="13"/>
  <c r="A966" i="13"/>
  <c r="A965" i="13"/>
  <c r="A964" i="13"/>
  <c r="A963" i="13"/>
  <c r="A962" i="13"/>
  <c r="A961" i="13"/>
  <c r="A960" i="13"/>
  <c r="A959" i="13"/>
  <c r="A958" i="13"/>
  <c r="A957" i="13"/>
  <c r="A956" i="13"/>
  <c r="A955" i="13"/>
  <c r="A954" i="13"/>
  <c r="A953" i="13"/>
  <c r="A952" i="13"/>
  <c r="A951" i="13"/>
  <c r="A950" i="13"/>
  <c r="A949" i="13"/>
  <c r="A948" i="13"/>
  <c r="A947" i="13"/>
  <c r="A946" i="13"/>
  <c r="A945" i="13"/>
  <c r="A944" i="13"/>
  <c r="A943" i="13"/>
  <c r="A942" i="13"/>
  <c r="A941" i="13"/>
  <c r="A940" i="13"/>
  <c r="A939" i="13"/>
  <c r="A938" i="13"/>
  <c r="A937" i="13"/>
  <c r="A936" i="13"/>
  <c r="A935" i="13"/>
  <c r="A934" i="13"/>
  <c r="A933" i="13"/>
  <c r="A932" i="13"/>
  <c r="A931" i="13"/>
  <c r="A930" i="13"/>
  <c r="A929" i="13"/>
  <c r="A928" i="13"/>
  <c r="A927" i="13"/>
  <c r="A926" i="13"/>
  <c r="A925" i="13"/>
  <c r="A924" i="13"/>
  <c r="A923" i="13"/>
  <c r="A922" i="13"/>
  <c r="A921" i="13"/>
  <c r="A920" i="13"/>
  <c r="A919" i="13"/>
  <c r="A918" i="13"/>
  <c r="A917" i="13"/>
  <c r="A916" i="13"/>
  <c r="A915" i="13"/>
  <c r="A914" i="13"/>
  <c r="A913" i="13"/>
  <c r="A912" i="13"/>
  <c r="A911" i="13"/>
  <c r="A910" i="13"/>
  <c r="A909" i="13"/>
  <c r="A908" i="13"/>
  <c r="A907" i="13"/>
  <c r="A906" i="13"/>
  <c r="A905" i="13"/>
  <c r="A904" i="13"/>
  <c r="A903" i="13"/>
  <c r="A902" i="13"/>
  <c r="A901" i="13"/>
  <c r="A900" i="13"/>
  <c r="A899" i="13"/>
  <c r="A898" i="13"/>
  <c r="A897" i="13"/>
  <c r="A896" i="13"/>
  <c r="A895" i="13"/>
  <c r="A894" i="13"/>
  <c r="A893" i="13"/>
  <c r="A892" i="13"/>
  <c r="A891" i="13"/>
  <c r="A890" i="13"/>
  <c r="A889" i="13"/>
  <c r="A888" i="13"/>
  <c r="A887" i="13"/>
  <c r="A886" i="13"/>
  <c r="A885" i="13"/>
  <c r="A884" i="13"/>
  <c r="A883" i="13"/>
  <c r="A882" i="13"/>
  <c r="A881" i="13"/>
  <c r="A880" i="13"/>
  <c r="A879" i="13"/>
  <c r="A878" i="13"/>
  <c r="A877" i="13"/>
  <c r="A876" i="13"/>
  <c r="A875" i="13"/>
  <c r="A874" i="13"/>
  <c r="A873" i="13"/>
  <c r="A872" i="13"/>
  <c r="A871" i="13"/>
  <c r="A870" i="13"/>
  <c r="A869" i="13"/>
  <c r="A868" i="13"/>
  <c r="A867" i="13"/>
  <c r="A866" i="13"/>
  <c r="A865" i="13"/>
  <c r="A864" i="13"/>
  <c r="A863" i="13"/>
  <c r="A862" i="13"/>
  <c r="A861" i="13"/>
  <c r="A860" i="13"/>
  <c r="A859" i="13"/>
  <c r="A858" i="13"/>
  <c r="A857" i="13"/>
  <c r="A856" i="13"/>
  <c r="A855" i="13"/>
  <c r="A854" i="13"/>
  <c r="A853" i="13"/>
  <c r="A852" i="13"/>
  <c r="A851" i="13"/>
  <c r="A850" i="13"/>
  <c r="A849" i="13"/>
  <c r="A848" i="13"/>
  <c r="A847" i="13"/>
  <c r="A846" i="13"/>
  <c r="A845" i="13"/>
  <c r="A844" i="13"/>
  <c r="A843" i="13"/>
  <c r="A842" i="13"/>
  <c r="A841" i="13"/>
  <c r="A840" i="13"/>
  <c r="A839" i="13"/>
  <c r="A838" i="13"/>
  <c r="A837" i="13"/>
  <c r="A836" i="13"/>
  <c r="A835" i="13"/>
  <c r="A834" i="13"/>
  <c r="A833" i="13"/>
  <c r="A832" i="13"/>
  <c r="A831" i="13"/>
  <c r="A830" i="13"/>
  <c r="A829" i="13"/>
  <c r="A828" i="13"/>
  <c r="A827" i="13"/>
  <c r="A826" i="13"/>
  <c r="A825" i="13"/>
  <c r="A824" i="13"/>
  <c r="A823" i="13"/>
  <c r="A822" i="13"/>
  <c r="A821" i="13"/>
  <c r="A820" i="13"/>
  <c r="A819" i="13"/>
  <c r="A818" i="13"/>
  <c r="A817" i="13"/>
  <c r="A816" i="13"/>
  <c r="A815" i="13"/>
  <c r="A814" i="13"/>
  <c r="A813" i="13"/>
  <c r="A812" i="13"/>
  <c r="A811" i="13"/>
  <c r="A810" i="13"/>
  <c r="A809" i="13"/>
  <c r="A808" i="13"/>
  <c r="A807" i="13"/>
  <c r="A806" i="13"/>
  <c r="A805" i="13"/>
  <c r="A804" i="13"/>
  <c r="A803" i="13"/>
  <c r="A802" i="13"/>
  <c r="A801" i="13"/>
  <c r="A800" i="13"/>
  <c r="A799" i="13"/>
  <c r="A798" i="13"/>
  <c r="A797" i="13"/>
  <c r="A796" i="13"/>
  <c r="A795" i="13"/>
  <c r="A794" i="13"/>
  <c r="A793" i="13"/>
  <c r="A792" i="13"/>
  <c r="A791" i="13"/>
  <c r="A790" i="13"/>
  <c r="A789" i="13"/>
  <c r="A788" i="13"/>
  <c r="A787" i="13"/>
  <c r="A786" i="13"/>
  <c r="A785" i="13"/>
  <c r="A784" i="13"/>
  <c r="A783" i="13"/>
  <c r="A782" i="13"/>
  <c r="A781" i="13"/>
  <c r="A780" i="13"/>
  <c r="A779" i="13"/>
  <c r="A778" i="13"/>
  <c r="A777" i="13"/>
  <c r="A776" i="13"/>
  <c r="A775" i="13"/>
  <c r="A774" i="13"/>
  <c r="A773" i="13"/>
  <c r="A772" i="13"/>
  <c r="A771" i="13"/>
  <c r="A770" i="13"/>
  <c r="A769" i="13"/>
  <c r="A768" i="13"/>
  <c r="A767" i="13"/>
  <c r="A766" i="13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3" l="1"/>
  <c r="P2041" i="13"/>
  <c r="R2040" i="13"/>
  <c r="P2040" i="13"/>
  <c r="R2039" i="13"/>
  <c r="P2039" i="13"/>
  <c r="R2038" i="13"/>
  <c r="P2038" i="13"/>
  <c r="R2037" i="13"/>
  <c r="P2037" i="13"/>
  <c r="R2036" i="13"/>
  <c r="P2036" i="13"/>
  <c r="R2035" i="13"/>
  <c r="P2035" i="13"/>
  <c r="R2034" i="13"/>
  <c r="P2034" i="13"/>
  <c r="R2033" i="13"/>
  <c r="P2033" i="13"/>
  <c r="R2032" i="13"/>
  <c r="P2032" i="13"/>
  <c r="R2031" i="13"/>
  <c r="P2031" i="13"/>
  <c r="R2030" i="13"/>
  <c r="P2030" i="13"/>
  <c r="R2029" i="13"/>
  <c r="P2029" i="13"/>
  <c r="R2028" i="13"/>
  <c r="P2028" i="13"/>
  <c r="R2027" i="13"/>
  <c r="P2027" i="13"/>
  <c r="R2026" i="13"/>
  <c r="P2026" i="13"/>
  <c r="R2025" i="13"/>
  <c r="P2025" i="13"/>
  <c r="R2024" i="13"/>
  <c r="P2024" i="13"/>
  <c r="R2023" i="13"/>
  <c r="P2023" i="13"/>
  <c r="R2022" i="13"/>
  <c r="P2022" i="13"/>
  <c r="R2021" i="13"/>
  <c r="P2021" i="13"/>
  <c r="R2020" i="13"/>
  <c r="P2020" i="13"/>
  <c r="R2019" i="13"/>
  <c r="P2019" i="13"/>
  <c r="R2018" i="13"/>
  <c r="P2018" i="13"/>
  <c r="R2017" i="13"/>
  <c r="P2017" i="13"/>
  <c r="R2016" i="13"/>
  <c r="P2016" i="13"/>
  <c r="R2015" i="13"/>
  <c r="P2015" i="13"/>
  <c r="R2014" i="13"/>
  <c r="P2014" i="13"/>
  <c r="R2013" i="13"/>
  <c r="P2013" i="13"/>
  <c r="R2012" i="13"/>
  <c r="P2012" i="13"/>
  <c r="R2011" i="13"/>
  <c r="P2011" i="13"/>
  <c r="R2010" i="13"/>
  <c r="P2010" i="13"/>
  <c r="R2009" i="13"/>
  <c r="P2009" i="13"/>
  <c r="R2008" i="13"/>
  <c r="P2008" i="13"/>
  <c r="R2007" i="13"/>
  <c r="P2007" i="13"/>
  <c r="R2006" i="13"/>
  <c r="P2006" i="13"/>
  <c r="R2005" i="13"/>
  <c r="P2005" i="13"/>
  <c r="R2004" i="13"/>
  <c r="P2004" i="13"/>
  <c r="R2003" i="13"/>
  <c r="P2003" i="13"/>
  <c r="R2002" i="13"/>
  <c r="P2002" i="13"/>
  <c r="R2001" i="13"/>
  <c r="P2001" i="13"/>
  <c r="R2000" i="13"/>
  <c r="P2000" i="13"/>
  <c r="R1999" i="13"/>
  <c r="P1999" i="13"/>
  <c r="R1998" i="13"/>
  <c r="P1998" i="13"/>
  <c r="R1997" i="13"/>
  <c r="P1997" i="13"/>
  <c r="R1996" i="13"/>
  <c r="P1996" i="13"/>
  <c r="R1995" i="13"/>
  <c r="P1995" i="13"/>
  <c r="R1994" i="13"/>
  <c r="P1994" i="13"/>
  <c r="R1993" i="13"/>
  <c r="P1993" i="13"/>
  <c r="R1992" i="13"/>
  <c r="P1992" i="13"/>
  <c r="R1991" i="13"/>
  <c r="P1991" i="13"/>
  <c r="R1990" i="13"/>
  <c r="P1990" i="13"/>
  <c r="R1989" i="13"/>
  <c r="P1989" i="13"/>
  <c r="R1988" i="13"/>
  <c r="P1988" i="13"/>
  <c r="R1987" i="13"/>
  <c r="P1987" i="13"/>
  <c r="R1986" i="13"/>
  <c r="P1986" i="13"/>
  <c r="R1985" i="13"/>
  <c r="P1985" i="13"/>
  <c r="R1984" i="13"/>
  <c r="P1984" i="13"/>
  <c r="R1983" i="13"/>
  <c r="P1983" i="13"/>
  <c r="R1982" i="13"/>
  <c r="P1982" i="13"/>
  <c r="R1981" i="13"/>
  <c r="P1981" i="13"/>
  <c r="R1980" i="13"/>
  <c r="P1980" i="13"/>
  <c r="R1979" i="13"/>
  <c r="P1979" i="13"/>
  <c r="R1978" i="13"/>
  <c r="P1978" i="13"/>
  <c r="R1977" i="13"/>
  <c r="P1977" i="13"/>
  <c r="R1976" i="13"/>
  <c r="P1976" i="13"/>
  <c r="R1975" i="13"/>
  <c r="P1975" i="13"/>
  <c r="R1974" i="13"/>
  <c r="P1974" i="13"/>
  <c r="R1973" i="13"/>
  <c r="P1973" i="13"/>
  <c r="R1972" i="13"/>
  <c r="P1972" i="13"/>
  <c r="R1971" i="13"/>
  <c r="P1971" i="13"/>
  <c r="R1970" i="13"/>
  <c r="P1970" i="13"/>
  <c r="R1969" i="13"/>
  <c r="P1969" i="13"/>
  <c r="R1968" i="13"/>
  <c r="P1968" i="13"/>
  <c r="R1967" i="13"/>
  <c r="P1967" i="13"/>
  <c r="R1966" i="13"/>
  <c r="P1966" i="13"/>
  <c r="R1965" i="13"/>
  <c r="P1965" i="13"/>
  <c r="R1964" i="13"/>
  <c r="P1964" i="13"/>
  <c r="R1963" i="13"/>
  <c r="P1963" i="13"/>
  <c r="R1962" i="13"/>
  <c r="P1962" i="13"/>
  <c r="R1961" i="13"/>
  <c r="P1961" i="13"/>
  <c r="R1960" i="13"/>
  <c r="P1960" i="13"/>
  <c r="R1959" i="13"/>
  <c r="P1959" i="13"/>
  <c r="R1958" i="13"/>
  <c r="P1958" i="13"/>
  <c r="R1957" i="13"/>
  <c r="P1957" i="13"/>
  <c r="R1956" i="13"/>
  <c r="P1956" i="13"/>
  <c r="R1955" i="13"/>
  <c r="P1955" i="13"/>
  <c r="R1954" i="13"/>
  <c r="P1954" i="13"/>
  <c r="R1953" i="13"/>
  <c r="P1953" i="13"/>
  <c r="R1952" i="13"/>
  <c r="P1952" i="13"/>
  <c r="R1951" i="13"/>
  <c r="P1951" i="13"/>
  <c r="R1950" i="13"/>
  <c r="P1950" i="13"/>
  <c r="R1949" i="13"/>
  <c r="P1949" i="13"/>
  <c r="R1948" i="13"/>
  <c r="P1948" i="13"/>
  <c r="R1947" i="13"/>
  <c r="P1947" i="13"/>
  <c r="R1946" i="13"/>
  <c r="P1946" i="13"/>
  <c r="R1945" i="13"/>
  <c r="P1945" i="13"/>
  <c r="R1944" i="13"/>
  <c r="P1944" i="13"/>
  <c r="R1943" i="13"/>
  <c r="P1943" i="13"/>
  <c r="R1942" i="13"/>
  <c r="P1942" i="13"/>
  <c r="R1941" i="13"/>
  <c r="P1941" i="13"/>
  <c r="R1940" i="13"/>
  <c r="P1940" i="13"/>
  <c r="R1939" i="13"/>
  <c r="P1939" i="13"/>
  <c r="R1938" i="13"/>
  <c r="P1938" i="13"/>
  <c r="R1937" i="13"/>
  <c r="P1937" i="13"/>
  <c r="R1936" i="13"/>
  <c r="P1936" i="13"/>
  <c r="R1935" i="13"/>
  <c r="P1935" i="13"/>
  <c r="R1934" i="13"/>
  <c r="P1934" i="13"/>
  <c r="R1933" i="13"/>
  <c r="P1933" i="13"/>
  <c r="R1932" i="13"/>
  <c r="P1932" i="13"/>
  <c r="R1931" i="13"/>
  <c r="P1931" i="13"/>
  <c r="R1930" i="13"/>
  <c r="P1930" i="13"/>
  <c r="R1929" i="13"/>
  <c r="P1929" i="13"/>
  <c r="R1928" i="13"/>
  <c r="P1928" i="13"/>
  <c r="R1927" i="13"/>
  <c r="P1927" i="13"/>
  <c r="R1926" i="13"/>
  <c r="P1926" i="13"/>
  <c r="R1925" i="13"/>
  <c r="P1925" i="13"/>
  <c r="R1924" i="13"/>
  <c r="P1924" i="13"/>
  <c r="R1923" i="13"/>
  <c r="P1923" i="13"/>
  <c r="R1922" i="13"/>
  <c r="P1922" i="13"/>
  <c r="R1921" i="13"/>
  <c r="P1921" i="13"/>
  <c r="R1920" i="13"/>
  <c r="P1920" i="13"/>
  <c r="R1919" i="13"/>
  <c r="P1919" i="13"/>
  <c r="R1918" i="13"/>
  <c r="P1918" i="13"/>
  <c r="R1917" i="13"/>
  <c r="P1917" i="13"/>
  <c r="R1916" i="13"/>
  <c r="P1916" i="13"/>
  <c r="R1915" i="13"/>
  <c r="P1915" i="13"/>
  <c r="R1914" i="13"/>
  <c r="P1914" i="13"/>
  <c r="R1913" i="13"/>
  <c r="P1913" i="13"/>
  <c r="R1912" i="13"/>
  <c r="P1912" i="13"/>
  <c r="R1911" i="13"/>
  <c r="P1911" i="13"/>
  <c r="R1910" i="13"/>
  <c r="P1910" i="13"/>
  <c r="R1909" i="13"/>
  <c r="P1909" i="13"/>
  <c r="R1908" i="13"/>
  <c r="P1908" i="13"/>
  <c r="R1907" i="13"/>
  <c r="P1907" i="13"/>
  <c r="R1906" i="13"/>
  <c r="P1906" i="13"/>
  <c r="R1905" i="13"/>
  <c r="P1905" i="13"/>
  <c r="R1904" i="13"/>
  <c r="P1904" i="13"/>
  <c r="R1903" i="13"/>
  <c r="P1903" i="13"/>
  <c r="R1902" i="13"/>
  <c r="P1902" i="13"/>
  <c r="R1901" i="13"/>
  <c r="P1901" i="13"/>
  <c r="R1900" i="13"/>
  <c r="P1900" i="13"/>
  <c r="R1899" i="13"/>
  <c r="P1899" i="13"/>
  <c r="R1898" i="13"/>
  <c r="P1898" i="13"/>
  <c r="R1897" i="13"/>
  <c r="P1897" i="13"/>
  <c r="R1896" i="13"/>
  <c r="P1896" i="13"/>
  <c r="R1895" i="13"/>
  <c r="P1895" i="13"/>
  <c r="R1894" i="13"/>
  <c r="P1894" i="13"/>
  <c r="R1893" i="13"/>
  <c r="P1893" i="13"/>
  <c r="R1892" i="13"/>
  <c r="P1892" i="13"/>
  <c r="R1891" i="13"/>
  <c r="P1891" i="13"/>
  <c r="R1890" i="13"/>
  <c r="P1890" i="13"/>
  <c r="R1889" i="13"/>
  <c r="P1889" i="13"/>
  <c r="R1888" i="13"/>
  <c r="P1888" i="13"/>
  <c r="R1887" i="13"/>
  <c r="P1887" i="13"/>
  <c r="R1886" i="13"/>
  <c r="P1886" i="13"/>
  <c r="R1885" i="13"/>
  <c r="P1885" i="13"/>
  <c r="R1884" i="13"/>
  <c r="P1884" i="13"/>
  <c r="R1883" i="13"/>
  <c r="P1883" i="13"/>
  <c r="R1882" i="13"/>
  <c r="P1882" i="13"/>
  <c r="R1881" i="13"/>
  <c r="P1881" i="13"/>
  <c r="R1880" i="13"/>
  <c r="P1880" i="13"/>
  <c r="R1879" i="13"/>
  <c r="P1879" i="13"/>
  <c r="R1878" i="13"/>
  <c r="P1878" i="13"/>
  <c r="R1877" i="13"/>
  <c r="P1877" i="13"/>
  <c r="R1876" i="13"/>
  <c r="P1876" i="13"/>
  <c r="R1875" i="13"/>
  <c r="P1875" i="13"/>
  <c r="R1874" i="13"/>
  <c r="P1874" i="13"/>
  <c r="R1873" i="13"/>
  <c r="P1873" i="13"/>
  <c r="R1872" i="13"/>
  <c r="P1872" i="13"/>
  <c r="R1871" i="13"/>
  <c r="P1871" i="13"/>
  <c r="R1870" i="13"/>
  <c r="P1870" i="13"/>
  <c r="R1869" i="13"/>
  <c r="P1869" i="13"/>
  <c r="R1868" i="13"/>
  <c r="P1868" i="13"/>
  <c r="R1867" i="13"/>
  <c r="P1867" i="13"/>
  <c r="R1866" i="13"/>
  <c r="P1866" i="13"/>
  <c r="R1865" i="13"/>
  <c r="P1865" i="13"/>
  <c r="R1864" i="13"/>
  <c r="P1864" i="13"/>
  <c r="R1863" i="13"/>
  <c r="P1863" i="13"/>
  <c r="R1862" i="13"/>
  <c r="P1862" i="13"/>
  <c r="R1861" i="13"/>
  <c r="P1861" i="13"/>
  <c r="R1860" i="13"/>
  <c r="P1860" i="13"/>
  <c r="R1859" i="13"/>
  <c r="P1859" i="13"/>
  <c r="R1858" i="13"/>
  <c r="P1858" i="13"/>
  <c r="R1857" i="13"/>
  <c r="P1857" i="13"/>
  <c r="R1856" i="13"/>
  <c r="P1856" i="13"/>
  <c r="R1855" i="13"/>
  <c r="P1855" i="13"/>
  <c r="R1854" i="13"/>
  <c r="P1854" i="13"/>
  <c r="R1853" i="13"/>
  <c r="P1853" i="13"/>
  <c r="R1852" i="13"/>
  <c r="P1852" i="13"/>
  <c r="R1851" i="13"/>
  <c r="P1851" i="13"/>
  <c r="R1850" i="13"/>
  <c r="P1850" i="13"/>
  <c r="R1849" i="13"/>
  <c r="P1849" i="13"/>
  <c r="R1848" i="13"/>
  <c r="P1848" i="13"/>
  <c r="R1847" i="13"/>
  <c r="P1847" i="13"/>
  <c r="R1846" i="13"/>
  <c r="P1846" i="13"/>
  <c r="R1845" i="13"/>
  <c r="P1845" i="13"/>
  <c r="R1844" i="13"/>
  <c r="P1844" i="13"/>
  <c r="R1843" i="13"/>
  <c r="P1843" i="13"/>
  <c r="R1842" i="13"/>
  <c r="P1842" i="13"/>
  <c r="R1841" i="13"/>
  <c r="P1841" i="13"/>
  <c r="R1840" i="13"/>
  <c r="P1840" i="13"/>
  <c r="R1839" i="13"/>
  <c r="P1839" i="13"/>
  <c r="R1838" i="13"/>
  <c r="P1838" i="13"/>
  <c r="R1837" i="13"/>
  <c r="P1837" i="13"/>
  <c r="R1836" i="13"/>
  <c r="P1836" i="13"/>
  <c r="R1835" i="13"/>
  <c r="P1835" i="13"/>
  <c r="R1834" i="13"/>
  <c r="P1834" i="13"/>
  <c r="R1833" i="13"/>
  <c r="P1833" i="13"/>
  <c r="R1832" i="13"/>
  <c r="P1832" i="13"/>
  <c r="R1831" i="13"/>
  <c r="P1831" i="13"/>
  <c r="R1830" i="13"/>
  <c r="P1830" i="13"/>
  <c r="R1829" i="13"/>
  <c r="P1829" i="13"/>
  <c r="R1828" i="13"/>
  <c r="P1828" i="13"/>
  <c r="R1827" i="13"/>
  <c r="P1827" i="13"/>
  <c r="R1826" i="13"/>
  <c r="P1826" i="13"/>
  <c r="R1825" i="13"/>
  <c r="P1825" i="13"/>
  <c r="R1824" i="13"/>
  <c r="P1824" i="13"/>
  <c r="R1823" i="13"/>
  <c r="P1823" i="13"/>
  <c r="R1822" i="13"/>
  <c r="P1822" i="13"/>
  <c r="R1821" i="13"/>
  <c r="P1821" i="13"/>
  <c r="R1820" i="13"/>
  <c r="P1820" i="13"/>
  <c r="R1819" i="13"/>
  <c r="P1819" i="13"/>
  <c r="R1818" i="13"/>
  <c r="P1818" i="13"/>
  <c r="R1817" i="13"/>
  <c r="P1817" i="13"/>
  <c r="R1816" i="13"/>
  <c r="P1816" i="13"/>
  <c r="R1815" i="13"/>
  <c r="P1815" i="13"/>
  <c r="R1814" i="13"/>
  <c r="P1814" i="13"/>
  <c r="R1813" i="13"/>
  <c r="P1813" i="13"/>
  <c r="R1812" i="13"/>
  <c r="P1812" i="13"/>
  <c r="R1811" i="13"/>
  <c r="P1811" i="13"/>
  <c r="R1810" i="13"/>
  <c r="P1810" i="13"/>
  <c r="R1809" i="13"/>
  <c r="P1809" i="13"/>
  <c r="R1808" i="13"/>
  <c r="P1808" i="13"/>
  <c r="R1807" i="13"/>
  <c r="P1807" i="13"/>
  <c r="R1806" i="13"/>
  <c r="P1806" i="13"/>
  <c r="R1805" i="13"/>
  <c r="P1805" i="13"/>
  <c r="R1804" i="13"/>
  <c r="P1804" i="13"/>
  <c r="R1803" i="13"/>
  <c r="P1803" i="13"/>
  <c r="R1802" i="13"/>
  <c r="P1802" i="13"/>
  <c r="R1801" i="13"/>
  <c r="P1801" i="13"/>
  <c r="R1800" i="13"/>
  <c r="P1800" i="13"/>
  <c r="R1799" i="13"/>
  <c r="P1799" i="13"/>
  <c r="R1798" i="13"/>
  <c r="P1798" i="13"/>
  <c r="R1797" i="13"/>
  <c r="P1797" i="13"/>
  <c r="R1796" i="13"/>
  <c r="P1796" i="13"/>
  <c r="R1795" i="13"/>
  <c r="P1795" i="13"/>
  <c r="R1794" i="13"/>
  <c r="P1794" i="13"/>
  <c r="R1793" i="13"/>
  <c r="P1793" i="13"/>
  <c r="R1792" i="13"/>
  <c r="P1792" i="13"/>
  <c r="R1791" i="13"/>
  <c r="P1791" i="13"/>
  <c r="R1790" i="13"/>
  <c r="P1790" i="13"/>
  <c r="R1789" i="13"/>
  <c r="P1789" i="13"/>
  <c r="R1788" i="13"/>
  <c r="P1788" i="13"/>
  <c r="R1787" i="13"/>
  <c r="P1787" i="13"/>
  <c r="R1786" i="13"/>
  <c r="P1786" i="13"/>
  <c r="R1785" i="13"/>
  <c r="P1785" i="13"/>
  <c r="R1784" i="13"/>
  <c r="P1784" i="13"/>
  <c r="R1783" i="13"/>
  <c r="P1783" i="13"/>
  <c r="R1782" i="13"/>
  <c r="P1782" i="13"/>
  <c r="R1781" i="13"/>
  <c r="P1781" i="13"/>
  <c r="R1780" i="13"/>
  <c r="P1780" i="13"/>
  <c r="R1779" i="13"/>
  <c r="P1779" i="13"/>
  <c r="R1778" i="13"/>
  <c r="P1778" i="13"/>
  <c r="R1777" i="13"/>
  <c r="P1777" i="13"/>
  <c r="R1776" i="13"/>
  <c r="P1776" i="13"/>
  <c r="R1775" i="13"/>
  <c r="P1775" i="13"/>
  <c r="R1774" i="13"/>
  <c r="P1774" i="13"/>
  <c r="R1773" i="13"/>
  <c r="P1773" i="13"/>
  <c r="R1772" i="13"/>
  <c r="P1772" i="13"/>
  <c r="R1771" i="13"/>
  <c r="P1771" i="13"/>
  <c r="R1770" i="13"/>
  <c r="P1770" i="13"/>
  <c r="R1769" i="13"/>
  <c r="P1769" i="13"/>
  <c r="R1768" i="13"/>
  <c r="P1768" i="13"/>
  <c r="R1767" i="13"/>
  <c r="P1767" i="13"/>
  <c r="R1766" i="13"/>
  <c r="P1766" i="13"/>
  <c r="R1765" i="13"/>
  <c r="P1765" i="13"/>
  <c r="R1764" i="13"/>
  <c r="P1764" i="13"/>
  <c r="R1763" i="13"/>
  <c r="P1763" i="13"/>
  <c r="R1762" i="13"/>
  <c r="P1762" i="13"/>
  <c r="R1761" i="13"/>
  <c r="P1761" i="13"/>
  <c r="R1760" i="13"/>
  <c r="P1760" i="13"/>
  <c r="R1759" i="13"/>
  <c r="P1759" i="13"/>
  <c r="R1758" i="13"/>
  <c r="P1758" i="13"/>
  <c r="R1757" i="13"/>
  <c r="P1757" i="13"/>
  <c r="R1756" i="13"/>
  <c r="P1756" i="13"/>
  <c r="R1755" i="13"/>
  <c r="P1755" i="13"/>
  <c r="R1754" i="13"/>
  <c r="P1754" i="13"/>
  <c r="R1753" i="13"/>
  <c r="P1753" i="13"/>
  <c r="R1752" i="13"/>
  <c r="P1752" i="13"/>
  <c r="R1751" i="13"/>
  <c r="P1751" i="13"/>
  <c r="R1750" i="13"/>
  <c r="P1750" i="13"/>
  <c r="R1749" i="13"/>
  <c r="P1749" i="13"/>
  <c r="R1748" i="13"/>
  <c r="P1748" i="13"/>
  <c r="R1747" i="13"/>
  <c r="P1747" i="13"/>
  <c r="R1746" i="13"/>
  <c r="P1746" i="13"/>
  <c r="R1745" i="13"/>
  <c r="P1745" i="13"/>
  <c r="R1744" i="13"/>
  <c r="P1744" i="13"/>
  <c r="R1743" i="13"/>
  <c r="P1743" i="13"/>
  <c r="R1742" i="13"/>
  <c r="P1742" i="13"/>
  <c r="R1741" i="13"/>
  <c r="P1741" i="13"/>
  <c r="R1740" i="13"/>
  <c r="P1740" i="13"/>
  <c r="R1739" i="13"/>
  <c r="P1739" i="13"/>
  <c r="R1738" i="13"/>
  <c r="P1738" i="13"/>
  <c r="R1737" i="13"/>
  <c r="P1737" i="13"/>
  <c r="R1736" i="13"/>
  <c r="P1736" i="13"/>
  <c r="R1735" i="13"/>
  <c r="P1735" i="13"/>
  <c r="R1734" i="13"/>
  <c r="P1734" i="13"/>
  <c r="R1733" i="13"/>
  <c r="P1733" i="13"/>
  <c r="R1732" i="13"/>
  <c r="P1732" i="13"/>
  <c r="R1731" i="13"/>
  <c r="P1731" i="13"/>
  <c r="R1730" i="13"/>
  <c r="P1730" i="13"/>
  <c r="R1729" i="13"/>
  <c r="P1729" i="13"/>
  <c r="R1728" i="13"/>
  <c r="P1728" i="13"/>
  <c r="R1727" i="13"/>
  <c r="P1727" i="13"/>
  <c r="R1726" i="13"/>
  <c r="P1726" i="13"/>
  <c r="R1725" i="13"/>
  <c r="P1725" i="13"/>
  <c r="R1724" i="13"/>
  <c r="P1724" i="13"/>
  <c r="R1723" i="13"/>
  <c r="P1723" i="13"/>
  <c r="R1722" i="13"/>
  <c r="P1722" i="13"/>
  <c r="R1721" i="13"/>
  <c r="P1721" i="13"/>
  <c r="R1720" i="13"/>
  <c r="P1720" i="13"/>
  <c r="R1719" i="13"/>
  <c r="P1719" i="13"/>
  <c r="R1718" i="13"/>
  <c r="P1718" i="13"/>
  <c r="R1717" i="13"/>
  <c r="P1717" i="13"/>
  <c r="R1716" i="13"/>
  <c r="P1716" i="13"/>
  <c r="R1715" i="13"/>
  <c r="P1715" i="13"/>
  <c r="R1714" i="13"/>
  <c r="P1714" i="13"/>
  <c r="R1713" i="13"/>
  <c r="P1713" i="13"/>
  <c r="R1712" i="13"/>
  <c r="P1712" i="13"/>
  <c r="R1711" i="13"/>
  <c r="P1711" i="13"/>
  <c r="R1710" i="13"/>
  <c r="P1710" i="13"/>
  <c r="R1709" i="13"/>
  <c r="P1709" i="13"/>
  <c r="R1708" i="13"/>
  <c r="P1708" i="13"/>
  <c r="R1707" i="13"/>
  <c r="P1707" i="13"/>
  <c r="R1706" i="13"/>
  <c r="P1706" i="13"/>
  <c r="R1705" i="13"/>
  <c r="P1705" i="13"/>
  <c r="R1704" i="13"/>
  <c r="P1704" i="13"/>
  <c r="R1703" i="13"/>
  <c r="P1703" i="13"/>
  <c r="R1702" i="13"/>
  <c r="P1702" i="13"/>
  <c r="R1701" i="13"/>
  <c r="P1701" i="13"/>
  <c r="R1700" i="13"/>
  <c r="P1700" i="13"/>
  <c r="R1699" i="13"/>
  <c r="P1699" i="13"/>
  <c r="R1698" i="13"/>
  <c r="P1698" i="13"/>
  <c r="R1697" i="13"/>
  <c r="P1697" i="13"/>
  <c r="R1696" i="13"/>
  <c r="P1696" i="13"/>
  <c r="R1695" i="13"/>
  <c r="P1695" i="13"/>
  <c r="R1694" i="13"/>
  <c r="P1694" i="13"/>
  <c r="R1693" i="13"/>
  <c r="P1693" i="13"/>
  <c r="R1692" i="13"/>
  <c r="P1692" i="13"/>
  <c r="R1691" i="13"/>
  <c r="P1691" i="13"/>
  <c r="R1690" i="13"/>
  <c r="P1690" i="13"/>
  <c r="R1689" i="13"/>
  <c r="P1689" i="13"/>
  <c r="R1688" i="13"/>
  <c r="P1688" i="13"/>
  <c r="R1687" i="13"/>
  <c r="P1687" i="13"/>
  <c r="R1686" i="13"/>
  <c r="P1686" i="13"/>
  <c r="R1685" i="13"/>
  <c r="P1685" i="13"/>
  <c r="R1684" i="13"/>
  <c r="P1684" i="13"/>
  <c r="R1683" i="13"/>
  <c r="P1683" i="13"/>
  <c r="R1682" i="13"/>
  <c r="P1682" i="13"/>
  <c r="R1681" i="13"/>
  <c r="P1681" i="13"/>
  <c r="R1680" i="13"/>
  <c r="P1680" i="13"/>
  <c r="R1679" i="13"/>
  <c r="P1679" i="13"/>
  <c r="R1678" i="13"/>
  <c r="P1678" i="13"/>
  <c r="R1677" i="13"/>
  <c r="P1677" i="13"/>
  <c r="R1676" i="13"/>
  <c r="P1676" i="13"/>
  <c r="R1675" i="13"/>
  <c r="P1675" i="13"/>
  <c r="R1674" i="13"/>
  <c r="P1674" i="13"/>
  <c r="R1673" i="13"/>
  <c r="P1673" i="13"/>
  <c r="R1672" i="13"/>
  <c r="P1672" i="13"/>
  <c r="R1671" i="13"/>
  <c r="P1671" i="13"/>
  <c r="R1670" i="13"/>
  <c r="P1670" i="13"/>
  <c r="R1669" i="13"/>
  <c r="P1669" i="13"/>
  <c r="R1668" i="13"/>
  <c r="P1668" i="13"/>
  <c r="R1667" i="13"/>
  <c r="P1667" i="13"/>
  <c r="R1666" i="13"/>
  <c r="P1666" i="13"/>
  <c r="R1665" i="13"/>
  <c r="P1665" i="13"/>
  <c r="R1664" i="13"/>
  <c r="P1664" i="13"/>
  <c r="R1663" i="13"/>
  <c r="P1663" i="13"/>
  <c r="R1662" i="13"/>
  <c r="P1662" i="13"/>
  <c r="R1661" i="13"/>
  <c r="P1661" i="13"/>
  <c r="R1660" i="13"/>
  <c r="P1660" i="13"/>
  <c r="R1659" i="13"/>
  <c r="P1659" i="13"/>
  <c r="R1658" i="13"/>
  <c r="P1658" i="13"/>
  <c r="R1657" i="13"/>
  <c r="P1657" i="13"/>
  <c r="R1656" i="13"/>
  <c r="P1656" i="13"/>
  <c r="R1655" i="13"/>
  <c r="P1655" i="13"/>
  <c r="R1654" i="13"/>
  <c r="P1654" i="13"/>
  <c r="R1653" i="13"/>
  <c r="P1653" i="13"/>
  <c r="R1652" i="13"/>
  <c r="P1652" i="13"/>
  <c r="R1651" i="13"/>
  <c r="P1651" i="13"/>
  <c r="R1650" i="13"/>
  <c r="P1650" i="13"/>
  <c r="R1649" i="13"/>
  <c r="P1649" i="13"/>
  <c r="R1648" i="13"/>
  <c r="P1648" i="13"/>
  <c r="R1647" i="13"/>
  <c r="P1647" i="13"/>
  <c r="R1646" i="13"/>
  <c r="P1646" i="13"/>
  <c r="R1645" i="13"/>
  <c r="P1645" i="13"/>
  <c r="R1644" i="13"/>
  <c r="P1644" i="13"/>
  <c r="R1643" i="13"/>
  <c r="P1643" i="13"/>
  <c r="R1642" i="13"/>
  <c r="P1642" i="13"/>
  <c r="R1641" i="13"/>
  <c r="P1641" i="13"/>
  <c r="R1640" i="13"/>
  <c r="P1640" i="13"/>
  <c r="R1639" i="13"/>
  <c r="P1639" i="13"/>
  <c r="R1638" i="13"/>
  <c r="P1638" i="13"/>
  <c r="R1637" i="13"/>
  <c r="P1637" i="13"/>
  <c r="R1636" i="13"/>
  <c r="P1636" i="13"/>
  <c r="R1635" i="13"/>
  <c r="P1635" i="13"/>
  <c r="R1634" i="13"/>
  <c r="P1634" i="13"/>
  <c r="R1633" i="13"/>
  <c r="P1633" i="13"/>
  <c r="R1632" i="13"/>
  <c r="P1632" i="13"/>
  <c r="R1631" i="13"/>
  <c r="P1631" i="13"/>
  <c r="R1630" i="13"/>
  <c r="P1630" i="13"/>
  <c r="R1629" i="13"/>
  <c r="P1629" i="13"/>
  <c r="R1628" i="13"/>
  <c r="P1628" i="13"/>
  <c r="R1627" i="13"/>
  <c r="P1627" i="13"/>
  <c r="R1626" i="13"/>
  <c r="P1626" i="13"/>
  <c r="R1625" i="13"/>
  <c r="P1625" i="13"/>
  <c r="R1624" i="13"/>
  <c r="P1624" i="13"/>
  <c r="R1623" i="13"/>
  <c r="P1623" i="13"/>
  <c r="R1622" i="13"/>
  <c r="P1622" i="13"/>
  <c r="R1621" i="13"/>
  <c r="P1621" i="13"/>
  <c r="R1620" i="13"/>
  <c r="P1620" i="13"/>
  <c r="R1619" i="13"/>
  <c r="P1619" i="13"/>
  <c r="R1618" i="13"/>
  <c r="P1618" i="13"/>
  <c r="R1617" i="13"/>
  <c r="P1617" i="13"/>
  <c r="R1616" i="13"/>
  <c r="P1616" i="13"/>
  <c r="R1615" i="13"/>
  <c r="P1615" i="13"/>
  <c r="R1614" i="13"/>
  <c r="P1614" i="13"/>
  <c r="R1613" i="13"/>
  <c r="P1613" i="13"/>
  <c r="R1612" i="13"/>
  <c r="P1612" i="13"/>
  <c r="R1611" i="13"/>
  <c r="P1611" i="13"/>
  <c r="R1610" i="13"/>
  <c r="P1610" i="13"/>
  <c r="R1609" i="13"/>
  <c r="P1609" i="13"/>
  <c r="R1608" i="13"/>
  <c r="P1608" i="13"/>
  <c r="R1607" i="13"/>
  <c r="P1607" i="13"/>
  <c r="R1606" i="13"/>
  <c r="P1606" i="13"/>
  <c r="R1605" i="13"/>
  <c r="P1605" i="13"/>
  <c r="R1604" i="13"/>
  <c r="P1604" i="13"/>
  <c r="R1603" i="13"/>
  <c r="P1603" i="13"/>
  <c r="R1602" i="13"/>
  <c r="P1602" i="13"/>
  <c r="R1601" i="13"/>
  <c r="P1601" i="13"/>
  <c r="R1600" i="13"/>
  <c r="P1600" i="13"/>
  <c r="R1599" i="13"/>
  <c r="P1599" i="13"/>
  <c r="R1598" i="13"/>
  <c r="P1598" i="13"/>
  <c r="R1597" i="13"/>
  <c r="P1597" i="13"/>
  <c r="R1596" i="13"/>
  <c r="P1596" i="13"/>
  <c r="R1595" i="13"/>
  <c r="P1595" i="13"/>
  <c r="R1594" i="13"/>
  <c r="P1594" i="13"/>
  <c r="R1593" i="13"/>
  <c r="P1593" i="13"/>
  <c r="R1592" i="13"/>
  <c r="P1592" i="13"/>
  <c r="R1591" i="13"/>
  <c r="P1591" i="13"/>
  <c r="R1590" i="13"/>
  <c r="P1590" i="13"/>
  <c r="R1589" i="13"/>
  <c r="P1589" i="13"/>
  <c r="R1588" i="13"/>
  <c r="P1588" i="13"/>
  <c r="R1587" i="13"/>
  <c r="P1587" i="13"/>
  <c r="R1586" i="13"/>
  <c r="P1586" i="13"/>
  <c r="R1585" i="13"/>
  <c r="P1585" i="13"/>
  <c r="R1584" i="13"/>
  <c r="P1584" i="13"/>
  <c r="R1583" i="13"/>
  <c r="P1583" i="13"/>
  <c r="R1582" i="13"/>
  <c r="P1582" i="13"/>
  <c r="R1581" i="13"/>
  <c r="P1581" i="13"/>
  <c r="R1580" i="13"/>
  <c r="P1580" i="13"/>
  <c r="R1579" i="13"/>
  <c r="P1579" i="13"/>
  <c r="R1578" i="13"/>
  <c r="P1578" i="13"/>
  <c r="R1577" i="13"/>
  <c r="P1577" i="13"/>
  <c r="R1576" i="13"/>
  <c r="P1576" i="13"/>
  <c r="R1575" i="13"/>
  <c r="P1575" i="13"/>
  <c r="R1574" i="13"/>
  <c r="P1574" i="13"/>
  <c r="R1573" i="13"/>
  <c r="P1573" i="13"/>
  <c r="R1572" i="13"/>
  <c r="P1572" i="13"/>
  <c r="R1571" i="13"/>
  <c r="P1571" i="13"/>
  <c r="R1570" i="13"/>
  <c r="P1570" i="13"/>
  <c r="R1569" i="13"/>
  <c r="P1569" i="13"/>
  <c r="R1568" i="13"/>
  <c r="P1568" i="13"/>
  <c r="R1567" i="13"/>
  <c r="P1567" i="13"/>
  <c r="R1566" i="13"/>
  <c r="P1566" i="13"/>
  <c r="R1565" i="13"/>
  <c r="P1565" i="13"/>
  <c r="R1564" i="13"/>
  <c r="P1564" i="13"/>
  <c r="R1563" i="13"/>
  <c r="P1563" i="13"/>
  <c r="R1562" i="13"/>
  <c r="P1562" i="13"/>
  <c r="R1561" i="13"/>
  <c r="P1561" i="13"/>
  <c r="R1560" i="13"/>
  <c r="P1560" i="13"/>
  <c r="R1559" i="13"/>
  <c r="P1559" i="13"/>
  <c r="R1558" i="13"/>
  <c r="P1558" i="13"/>
  <c r="R1557" i="13"/>
  <c r="P1557" i="13"/>
  <c r="R1556" i="13"/>
  <c r="P1556" i="13"/>
  <c r="R1555" i="13"/>
  <c r="P1555" i="13"/>
  <c r="R1554" i="13"/>
  <c r="P1554" i="13"/>
  <c r="R1553" i="13"/>
  <c r="P1553" i="13"/>
  <c r="R1552" i="13"/>
  <c r="P1552" i="13"/>
  <c r="R1551" i="13"/>
  <c r="P1551" i="13"/>
  <c r="R1550" i="13"/>
  <c r="P1550" i="13"/>
  <c r="R1549" i="13"/>
  <c r="P1549" i="13"/>
  <c r="R1548" i="13"/>
  <c r="P1548" i="13"/>
  <c r="R1547" i="13"/>
  <c r="P1547" i="13"/>
  <c r="R1546" i="13"/>
  <c r="P1546" i="13"/>
  <c r="R1545" i="13"/>
  <c r="P1545" i="13"/>
  <c r="R1544" i="13"/>
  <c r="P1544" i="13"/>
  <c r="R1543" i="13"/>
  <c r="P1543" i="13"/>
  <c r="R1542" i="13"/>
  <c r="P1542" i="13"/>
  <c r="R1541" i="13"/>
  <c r="P1541" i="13"/>
  <c r="R1540" i="13"/>
  <c r="P1540" i="13"/>
  <c r="R1539" i="13"/>
  <c r="P1539" i="13"/>
  <c r="R1538" i="13"/>
  <c r="P1538" i="13"/>
  <c r="R1537" i="13"/>
  <c r="P1537" i="13"/>
  <c r="R1536" i="13"/>
  <c r="P1536" i="13"/>
  <c r="R1535" i="13"/>
  <c r="P1535" i="13"/>
  <c r="R1534" i="13"/>
  <c r="P1534" i="13"/>
  <c r="R1533" i="13"/>
  <c r="P1533" i="13"/>
  <c r="R1532" i="13"/>
  <c r="P1532" i="13"/>
  <c r="R1531" i="13"/>
  <c r="P1531" i="13"/>
  <c r="R1530" i="13"/>
  <c r="P1530" i="13"/>
  <c r="R1529" i="13"/>
  <c r="P1529" i="13"/>
  <c r="R1528" i="13"/>
  <c r="P1528" i="13"/>
  <c r="R1527" i="13"/>
  <c r="P1527" i="13"/>
  <c r="R1526" i="13"/>
  <c r="P1526" i="13"/>
  <c r="R1525" i="13"/>
  <c r="P1525" i="13"/>
  <c r="R1524" i="13"/>
  <c r="P1524" i="13"/>
  <c r="R1523" i="13"/>
  <c r="P1523" i="13"/>
  <c r="R1522" i="13"/>
  <c r="P1522" i="13"/>
  <c r="R1521" i="13"/>
  <c r="P1521" i="13"/>
  <c r="R1520" i="13"/>
  <c r="P1520" i="13"/>
  <c r="R1519" i="13"/>
  <c r="P1519" i="13"/>
  <c r="R1518" i="13"/>
  <c r="P1518" i="13"/>
  <c r="R1517" i="13"/>
  <c r="P1517" i="13"/>
  <c r="R1516" i="13"/>
  <c r="P1516" i="13"/>
  <c r="R1515" i="13"/>
  <c r="P1515" i="13"/>
  <c r="R1514" i="13"/>
  <c r="P1514" i="13"/>
  <c r="R1513" i="13"/>
  <c r="P1513" i="13"/>
  <c r="R1512" i="13"/>
  <c r="P1512" i="13"/>
  <c r="R1511" i="13"/>
  <c r="P1511" i="13"/>
  <c r="R1510" i="13"/>
  <c r="P1510" i="13"/>
  <c r="R1509" i="13"/>
  <c r="P1509" i="13"/>
  <c r="R1508" i="13"/>
  <c r="P1508" i="13"/>
  <c r="R1507" i="13"/>
  <c r="P1507" i="13"/>
  <c r="R1506" i="13"/>
  <c r="P1506" i="13"/>
  <c r="R1505" i="13"/>
  <c r="P1505" i="13"/>
  <c r="R1504" i="13"/>
  <c r="P1504" i="13"/>
  <c r="R1503" i="13"/>
  <c r="P1503" i="13"/>
  <c r="R1502" i="13"/>
  <c r="P1502" i="13"/>
  <c r="R1501" i="13"/>
  <c r="P1501" i="13"/>
  <c r="R1500" i="13"/>
  <c r="P1500" i="13"/>
  <c r="R1499" i="13"/>
  <c r="P1499" i="13"/>
  <c r="R1498" i="13"/>
  <c r="P1498" i="13"/>
  <c r="R1497" i="13"/>
  <c r="P1497" i="13"/>
  <c r="R1496" i="13"/>
  <c r="P1496" i="13"/>
  <c r="R1495" i="13"/>
  <c r="P1495" i="13"/>
  <c r="R1494" i="13"/>
  <c r="P1494" i="13"/>
  <c r="R1493" i="13"/>
  <c r="P1493" i="13"/>
  <c r="R1492" i="13"/>
  <c r="P1492" i="13"/>
  <c r="R1491" i="13"/>
  <c r="P1491" i="13"/>
  <c r="R1490" i="13"/>
  <c r="P1490" i="13"/>
  <c r="R1489" i="13"/>
  <c r="P1489" i="13"/>
  <c r="R1488" i="13"/>
  <c r="P1488" i="13"/>
  <c r="R1487" i="13"/>
  <c r="P1487" i="13"/>
  <c r="R1486" i="13"/>
  <c r="P1486" i="13"/>
  <c r="R1485" i="13"/>
  <c r="P1485" i="13"/>
  <c r="R1484" i="13"/>
  <c r="P1484" i="13"/>
  <c r="R1483" i="13"/>
  <c r="P1483" i="13"/>
  <c r="R1482" i="13"/>
  <c r="P1482" i="13"/>
  <c r="R1481" i="13"/>
  <c r="P1481" i="13"/>
  <c r="R1480" i="13"/>
  <c r="P1480" i="13"/>
  <c r="R1479" i="13"/>
  <c r="P1479" i="13"/>
  <c r="R1478" i="13"/>
  <c r="P1478" i="13"/>
  <c r="R1477" i="13"/>
  <c r="P1477" i="13"/>
  <c r="R1476" i="13"/>
  <c r="P1476" i="13"/>
  <c r="R1475" i="13"/>
  <c r="P1475" i="13"/>
  <c r="R1474" i="13"/>
  <c r="P1474" i="13"/>
  <c r="R1473" i="13"/>
  <c r="P1473" i="13"/>
  <c r="R1472" i="13"/>
  <c r="P1472" i="13"/>
  <c r="R1471" i="13"/>
  <c r="P1471" i="13"/>
  <c r="R1470" i="13"/>
  <c r="P1470" i="13"/>
  <c r="R1469" i="13"/>
  <c r="P1469" i="13"/>
  <c r="R1468" i="13"/>
  <c r="P1468" i="13"/>
  <c r="R1467" i="13"/>
  <c r="P1467" i="13"/>
  <c r="R1466" i="13"/>
  <c r="P1466" i="13"/>
  <c r="R1465" i="13"/>
  <c r="P1465" i="13"/>
  <c r="R1464" i="13"/>
  <c r="P1464" i="13"/>
  <c r="R1463" i="13"/>
  <c r="P1463" i="13"/>
  <c r="R1462" i="13"/>
  <c r="P1462" i="13"/>
  <c r="R1461" i="13"/>
  <c r="P1461" i="13"/>
  <c r="R1460" i="13"/>
  <c r="P1460" i="13"/>
  <c r="R1459" i="13"/>
  <c r="P1459" i="13"/>
  <c r="R1458" i="13"/>
  <c r="P1458" i="13"/>
  <c r="R1457" i="13"/>
  <c r="P1457" i="13"/>
  <c r="R1456" i="13"/>
  <c r="P1456" i="13"/>
  <c r="R1455" i="13"/>
  <c r="P1455" i="13"/>
  <c r="R1454" i="13"/>
  <c r="P1454" i="13"/>
  <c r="R1453" i="13"/>
  <c r="P1453" i="13"/>
  <c r="R1452" i="13"/>
  <c r="P1452" i="13"/>
  <c r="R1451" i="13"/>
  <c r="P1451" i="13"/>
  <c r="R1450" i="13"/>
  <c r="P1450" i="13"/>
  <c r="R1449" i="13"/>
  <c r="P1449" i="13"/>
  <c r="R1448" i="13"/>
  <c r="P1448" i="13"/>
  <c r="R1447" i="13"/>
  <c r="P1447" i="13"/>
  <c r="R1446" i="13"/>
  <c r="P1446" i="13"/>
  <c r="R1445" i="13"/>
  <c r="P1445" i="13"/>
  <c r="R1444" i="13"/>
  <c r="P1444" i="13"/>
  <c r="R1443" i="13"/>
  <c r="P1443" i="13"/>
  <c r="R1442" i="13"/>
  <c r="P1442" i="13"/>
  <c r="R1441" i="13"/>
  <c r="P1441" i="13"/>
  <c r="R1440" i="13"/>
  <c r="P1440" i="13"/>
  <c r="R1439" i="13"/>
  <c r="P1439" i="13"/>
  <c r="R1438" i="13"/>
  <c r="P1438" i="13"/>
  <c r="R1437" i="13"/>
  <c r="P1437" i="13"/>
  <c r="R1436" i="13"/>
  <c r="P1436" i="13"/>
  <c r="R1435" i="13"/>
  <c r="P1435" i="13"/>
  <c r="R1434" i="13"/>
  <c r="P1434" i="13"/>
  <c r="R1433" i="13"/>
  <c r="P1433" i="13"/>
  <c r="R1432" i="13"/>
  <c r="P1432" i="13"/>
  <c r="R1431" i="13"/>
  <c r="P1431" i="13"/>
  <c r="R1430" i="13"/>
  <c r="P1430" i="13"/>
  <c r="R1429" i="13"/>
  <c r="P1429" i="13"/>
  <c r="R1428" i="13"/>
  <c r="P1428" i="13"/>
  <c r="R1427" i="13"/>
  <c r="P1427" i="13"/>
  <c r="R1426" i="13"/>
  <c r="P1426" i="13"/>
  <c r="R1425" i="13"/>
  <c r="P1425" i="13"/>
  <c r="R1424" i="13"/>
  <c r="P1424" i="13"/>
  <c r="R1423" i="13"/>
  <c r="P1423" i="13"/>
  <c r="R1422" i="13"/>
  <c r="P1422" i="13"/>
  <c r="R1421" i="13"/>
  <c r="P1421" i="13"/>
  <c r="R1420" i="13"/>
  <c r="P1420" i="13"/>
  <c r="R1419" i="13"/>
  <c r="P1419" i="13"/>
  <c r="R1418" i="13"/>
  <c r="P1418" i="13"/>
  <c r="R1417" i="13"/>
  <c r="P1417" i="13"/>
  <c r="R1416" i="13"/>
  <c r="P1416" i="13"/>
  <c r="R1415" i="13"/>
  <c r="P1415" i="13"/>
  <c r="R1414" i="13"/>
  <c r="P1414" i="13"/>
  <c r="R1413" i="13"/>
  <c r="P1413" i="13"/>
  <c r="R1412" i="13"/>
  <c r="P1412" i="13"/>
  <c r="R1411" i="13"/>
  <c r="P1411" i="13"/>
  <c r="R1410" i="13"/>
  <c r="P1410" i="13"/>
  <c r="R1409" i="13"/>
  <c r="P1409" i="13"/>
  <c r="R1408" i="13"/>
  <c r="P1408" i="13"/>
  <c r="R1407" i="13"/>
  <c r="P1407" i="13"/>
  <c r="R1406" i="13"/>
  <c r="P1406" i="13"/>
  <c r="R1405" i="13"/>
  <c r="P1405" i="13"/>
  <c r="R1404" i="13"/>
  <c r="P1404" i="13"/>
  <c r="R1403" i="13"/>
  <c r="P1403" i="13"/>
  <c r="R1402" i="13"/>
  <c r="P1402" i="13"/>
  <c r="R1401" i="13"/>
  <c r="P1401" i="13"/>
  <c r="R1400" i="13"/>
  <c r="P1400" i="13"/>
  <c r="R1399" i="13"/>
  <c r="P1399" i="13"/>
  <c r="R1398" i="13"/>
  <c r="P1398" i="13"/>
  <c r="R1397" i="13"/>
  <c r="P1397" i="13"/>
  <c r="R1396" i="13"/>
  <c r="P1396" i="13"/>
  <c r="R1395" i="13"/>
  <c r="P1395" i="13"/>
  <c r="R1394" i="13"/>
  <c r="P1394" i="13"/>
  <c r="R1393" i="13"/>
  <c r="P1393" i="13"/>
  <c r="R1392" i="13"/>
  <c r="P1392" i="13"/>
  <c r="R1391" i="13"/>
  <c r="P1391" i="13"/>
  <c r="R1390" i="13"/>
  <c r="P1390" i="13"/>
  <c r="R1389" i="13"/>
  <c r="P1389" i="13"/>
  <c r="R1388" i="13"/>
  <c r="P1388" i="13"/>
  <c r="R1387" i="13"/>
  <c r="P1387" i="13"/>
  <c r="R1386" i="13"/>
  <c r="P1386" i="13"/>
  <c r="R1385" i="13"/>
  <c r="P1385" i="13"/>
  <c r="R1384" i="13"/>
  <c r="P1384" i="13"/>
  <c r="R1383" i="13"/>
  <c r="P1383" i="13"/>
  <c r="R1382" i="13"/>
  <c r="P1382" i="13"/>
  <c r="R1381" i="13"/>
  <c r="P1381" i="13"/>
  <c r="R1380" i="13"/>
  <c r="P1380" i="13"/>
  <c r="R1379" i="13"/>
  <c r="P1379" i="13"/>
  <c r="R1378" i="13"/>
  <c r="P1378" i="13"/>
  <c r="R1377" i="13"/>
  <c r="P1377" i="13"/>
  <c r="R1376" i="13"/>
  <c r="P1376" i="13"/>
  <c r="R1375" i="13"/>
  <c r="P1375" i="13"/>
  <c r="R1374" i="13"/>
  <c r="P1374" i="13"/>
  <c r="R1373" i="13"/>
  <c r="P1373" i="13"/>
  <c r="R1372" i="13"/>
  <c r="P1372" i="13"/>
  <c r="R1371" i="13"/>
  <c r="P1371" i="13"/>
  <c r="R1370" i="13"/>
  <c r="P1370" i="13"/>
  <c r="R1369" i="13"/>
  <c r="P1369" i="13"/>
  <c r="R1368" i="13"/>
  <c r="P1368" i="13"/>
  <c r="R1367" i="13"/>
  <c r="P1367" i="13"/>
  <c r="R1366" i="13"/>
  <c r="P1366" i="13"/>
  <c r="R1365" i="13"/>
  <c r="P1365" i="13"/>
  <c r="R1364" i="13"/>
  <c r="P1364" i="13"/>
  <c r="R1363" i="13"/>
  <c r="P1363" i="13"/>
  <c r="R1362" i="13"/>
  <c r="P1362" i="13"/>
  <c r="R1361" i="13"/>
  <c r="P1361" i="13"/>
  <c r="R1360" i="13"/>
  <c r="P1360" i="13"/>
  <c r="R1359" i="13"/>
  <c r="P1359" i="13"/>
  <c r="R1358" i="13"/>
  <c r="P1358" i="13"/>
  <c r="R1357" i="13"/>
  <c r="P1357" i="13"/>
  <c r="R1356" i="13"/>
  <c r="P1356" i="13"/>
  <c r="R1355" i="13"/>
  <c r="P1355" i="13"/>
  <c r="R1354" i="13"/>
  <c r="P1354" i="13"/>
  <c r="R1353" i="13"/>
  <c r="P1353" i="13"/>
  <c r="R1352" i="13"/>
  <c r="P1352" i="13"/>
  <c r="R1351" i="13"/>
  <c r="P1351" i="13"/>
  <c r="R1350" i="13"/>
  <c r="P1350" i="13"/>
  <c r="R1349" i="13"/>
  <c r="P1349" i="13"/>
  <c r="R1348" i="13"/>
  <c r="P1348" i="13"/>
  <c r="R1347" i="13"/>
  <c r="P1347" i="13"/>
  <c r="R1346" i="13"/>
  <c r="P1346" i="13"/>
  <c r="R1345" i="13"/>
  <c r="P1345" i="13"/>
  <c r="R1344" i="13"/>
  <c r="P1344" i="13"/>
  <c r="R1343" i="13"/>
  <c r="P1343" i="13"/>
  <c r="R1342" i="13"/>
  <c r="P1342" i="13"/>
  <c r="R1341" i="13"/>
  <c r="P1341" i="13"/>
  <c r="R1340" i="13"/>
  <c r="P1340" i="13"/>
  <c r="R1339" i="13"/>
  <c r="P1339" i="13"/>
  <c r="R1338" i="13"/>
  <c r="P1338" i="13"/>
  <c r="R1337" i="13"/>
  <c r="P1337" i="13"/>
  <c r="R1336" i="13"/>
  <c r="P1336" i="13"/>
  <c r="R1335" i="13"/>
  <c r="P1335" i="13"/>
  <c r="R1334" i="13"/>
  <c r="P1334" i="13"/>
  <c r="R1333" i="13"/>
  <c r="P1333" i="13"/>
  <c r="R1332" i="13"/>
  <c r="P1332" i="13"/>
  <c r="R1331" i="13"/>
  <c r="P1331" i="13"/>
  <c r="R1330" i="13"/>
  <c r="P1330" i="13"/>
  <c r="R1329" i="13"/>
  <c r="P1329" i="13"/>
  <c r="R1328" i="13"/>
  <c r="P1328" i="13"/>
  <c r="R1327" i="13"/>
  <c r="P1327" i="13"/>
  <c r="R1326" i="13"/>
  <c r="P1326" i="13"/>
  <c r="R1325" i="13"/>
  <c r="P1325" i="13"/>
  <c r="R1324" i="13"/>
  <c r="P1324" i="13"/>
  <c r="R1323" i="13"/>
  <c r="P1323" i="13"/>
  <c r="R1322" i="13"/>
  <c r="P1322" i="13"/>
  <c r="R1321" i="13"/>
  <c r="P1321" i="13"/>
  <c r="R1320" i="13"/>
  <c r="P1320" i="13"/>
  <c r="R1319" i="13"/>
  <c r="P1319" i="13"/>
  <c r="R1318" i="13"/>
  <c r="P1318" i="13"/>
  <c r="R1317" i="13"/>
  <c r="P1317" i="13"/>
  <c r="R1316" i="13"/>
  <c r="P1316" i="13"/>
  <c r="R1315" i="13"/>
  <c r="P1315" i="13"/>
  <c r="R1314" i="13"/>
  <c r="P1314" i="13"/>
  <c r="R1313" i="13"/>
  <c r="P1313" i="13"/>
  <c r="R1312" i="13"/>
  <c r="P1312" i="13"/>
  <c r="R1311" i="13"/>
  <c r="P1311" i="13"/>
  <c r="R1310" i="13"/>
  <c r="P1310" i="13"/>
  <c r="R1309" i="13"/>
  <c r="P1309" i="13"/>
  <c r="R1308" i="13"/>
  <c r="P1308" i="13"/>
  <c r="R1307" i="13"/>
  <c r="P1307" i="13"/>
  <c r="R1306" i="13"/>
  <c r="P1306" i="13"/>
  <c r="R1305" i="13"/>
  <c r="P1305" i="13"/>
  <c r="R1304" i="13"/>
  <c r="P1304" i="13"/>
  <c r="R1303" i="13"/>
  <c r="P1303" i="13"/>
  <c r="R1302" i="13"/>
  <c r="P1302" i="13"/>
  <c r="R1301" i="13"/>
  <c r="P1301" i="13"/>
  <c r="R1300" i="13"/>
  <c r="P1300" i="13"/>
  <c r="R1299" i="13"/>
  <c r="P1299" i="13"/>
  <c r="R1298" i="13"/>
  <c r="P1298" i="13"/>
  <c r="R1297" i="13"/>
  <c r="P1297" i="13"/>
  <c r="R1296" i="13"/>
  <c r="P1296" i="13"/>
  <c r="R1295" i="13"/>
  <c r="P1295" i="13"/>
  <c r="R1294" i="13"/>
  <c r="P1294" i="13"/>
  <c r="R1293" i="13"/>
  <c r="P1293" i="13"/>
  <c r="R1292" i="13"/>
  <c r="P1292" i="13"/>
  <c r="R1291" i="13"/>
  <c r="P1291" i="13"/>
  <c r="R1290" i="13"/>
  <c r="P1290" i="13"/>
  <c r="R1289" i="13"/>
  <c r="P1289" i="13"/>
  <c r="R1288" i="13"/>
  <c r="P1288" i="13"/>
  <c r="R1287" i="13"/>
  <c r="P1287" i="13"/>
  <c r="R1286" i="13"/>
  <c r="P1286" i="13"/>
  <c r="R1285" i="13"/>
  <c r="P1285" i="13"/>
  <c r="R1284" i="13"/>
  <c r="P1284" i="13"/>
  <c r="R1283" i="13"/>
  <c r="P1283" i="13"/>
  <c r="R1282" i="13"/>
  <c r="P1282" i="13"/>
  <c r="R1281" i="13"/>
  <c r="P1281" i="13"/>
  <c r="R1280" i="13"/>
  <c r="P1280" i="13"/>
  <c r="R1279" i="13"/>
  <c r="P1279" i="13"/>
  <c r="R1278" i="13"/>
  <c r="P1278" i="13"/>
  <c r="R1277" i="13"/>
  <c r="P1277" i="13"/>
  <c r="R1276" i="13"/>
  <c r="P1276" i="13"/>
  <c r="R1275" i="13"/>
  <c r="P1275" i="13"/>
  <c r="R1274" i="13"/>
  <c r="P1274" i="13"/>
  <c r="R1273" i="13"/>
  <c r="P1273" i="13"/>
  <c r="R1272" i="13"/>
  <c r="P1272" i="13"/>
  <c r="R1271" i="13"/>
  <c r="P1271" i="13"/>
  <c r="R1270" i="13"/>
  <c r="P1270" i="13"/>
  <c r="R1269" i="13"/>
  <c r="P1269" i="13"/>
  <c r="R1268" i="13"/>
  <c r="P1268" i="13"/>
  <c r="R1267" i="13"/>
  <c r="P1267" i="13"/>
  <c r="R1266" i="13"/>
  <c r="P1266" i="13"/>
  <c r="R1265" i="13"/>
  <c r="P1265" i="13"/>
  <c r="R1264" i="13"/>
  <c r="P1264" i="13"/>
  <c r="R1263" i="13"/>
  <c r="P1263" i="13"/>
  <c r="R1262" i="13"/>
  <c r="P1262" i="13"/>
  <c r="R1261" i="13"/>
  <c r="P1261" i="13"/>
  <c r="R1260" i="13"/>
  <c r="P1260" i="13"/>
  <c r="R1259" i="13"/>
  <c r="P1259" i="13"/>
  <c r="R1258" i="13"/>
  <c r="P1258" i="13"/>
  <c r="R1257" i="13"/>
  <c r="P1257" i="13"/>
  <c r="R1256" i="13"/>
  <c r="P1256" i="13"/>
  <c r="R1255" i="13"/>
  <c r="P1255" i="13"/>
  <c r="R1254" i="13"/>
  <c r="P1254" i="13"/>
  <c r="R1253" i="13"/>
  <c r="P1253" i="13"/>
  <c r="R1252" i="13"/>
  <c r="P1252" i="13"/>
  <c r="R1251" i="13"/>
  <c r="P1251" i="13"/>
  <c r="R1250" i="13"/>
  <c r="P1250" i="13"/>
  <c r="R1249" i="13"/>
  <c r="P1249" i="13"/>
  <c r="R1248" i="13"/>
  <c r="P1248" i="13"/>
  <c r="R1247" i="13"/>
  <c r="P1247" i="13"/>
  <c r="R1246" i="13"/>
  <c r="P1246" i="13"/>
  <c r="R1245" i="13"/>
  <c r="P1245" i="13"/>
  <c r="R1244" i="13"/>
  <c r="P1244" i="13"/>
  <c r="R1243" i="13"/>
  <c r="P1243" i="13"/>
  <c r="R1242" i="13"/>
  <c r="P1242" i="13"/>
  <c r="R1241" i="13"/>
  <c r="P1241" i="13"/>
  <c r="R1240" i="13"/>
  <c r="P1240" i="13"/>
  <c r="R1239" i="13"/>
  <c r="P1239" i="13"/>
  <c r="R1238" i="13"/>
  <c r="P1238" i="13"/>
  <c r="R1237" i="13"/>
  <c r="P1237" i="13"/>
  <c r="R1236" i="13"/>
  <c r="P1236" i="13"/>
  <c r="R1235" i="13"/>
  <c r="P1235" i="13"/>
  <c r="R1234" i="13"/>
  <c r="P1234" i="13"/>
  <c r="R1233" i="13"/>
  <c r="P1233" i="13"/>
  <c r="R1232" i="13"/>
  <c r="P1232" i="13"/>
  <c r="R1231" i="13"/>
  <c r="P1231" i="13"/>
  <c r="R1230" i="13"/>
  <c r="P1230" i="13"/>
  <c r="R1229" i="13"/>
  <c r="P1229" i="13"/>
  <c r="R1228" i="13"/>
  <c r="P1228" i="13"/>
  <c r="R1227" i="13"/>
  <c r="P1227" i="13"/>
  <c r="R1226" i="13"/>
  <c r="P1226" i="13"/>
  <c r="R1225" i="13"/>
  <c r="P1225" i="13"/>
  <c r="R1224" i="13"/>
  <c r="P1224" i="13"/>
  <c r="R1223" i="13"/>
  <c r="P1223" i="13"/>
  <c r="R1222" i="13"/>
  <c r="P1222" i="13"/>
  <c r="R1221" i="13"/>
  <c r="P1221" i="13"/>
  <c r="R1220" i="13"/>
  <c r="P1220" i="13"/>
  <c r="R1219" i="13"/>
  <c r="P1219" i="13"/>
  <c r="R1218" i="13"/>
  <c r="P1218" i="13"/>
  <c r="R1217" i="13"/>
  <c r="P1217" i="13"/>
  <c r="R1216" i="13"/>
  <c r="P1216" i="13"/>
  <c r="R1215" i="13"/>
  <c r="P1215" i="13"/>
  <c r="R1214" i="13"/>
  <c r="P1214" i="13"/>
  <c r="R1213" i="13"/>
  <c r="P1213" i="13"/>
  <c r="R1212" i="13"/>
  <c r="P1212" i="13"/>
  <c r="R1211" i="13"/>
  <c r="P1211" i="13"/>
  <c r="R1210" i="13"/>
  <c r="P1210" i="13"/>
  <c r="R1209" i="13"/>
  <c r="P1209" i="13"/>
  <c r="R1208" i="13"/>
  <c r="P1208" i="13"/>
  <c r="R1207" i="13"/>
  <c r="P1207" i="13"/>
  <c r="R1206" i="13"/>
  <c r="P1206" i="13"/>
  <c r="R1205" i="13"/>
  <c r="P1205" i="13"/>
  <c r="R1204" i="13"/>
  <c r="P1204" i="13"/>
  <c r="R1203" i="13"/>
  <c r="P1203" i="13"/>
  <c r="R1202" i="13"/>
  <c r="P1202" i="13"/>
  <c r="R1201" i="13"/>
  <c r="P1201" i="13"/>
  <c r="R1200" i="13"/>
  <c r="P1200" i="13"/>
  <c r="R1199" i="13"/>
  <c r="P1199" i="13"/>
  <c r="R1198" i="13"/>
  <c r="P1198" i="13"/>
  <c r="R1197" i="13"/>
  <c r="P1197" i="13"/>
  <c r="R1196" i="13"/>
  <c r="P1196" i="13"/>
  <c r="R1195" i="13"/>
  <c r="P1195" i="13"/>
  <c r="R1194" i="13"/>
  <c r="P1194" i="13"/>
  <c r="R1193" i="13"/>
  <c r="P1193" i="13"/>
  <c r="R1192" i="13"/>
  <c r="P1192" i="13"/>
  <c r="R1191" i="13"/>
  <c r="P1191" i="13"/>
  <c r="R1190" i="13"/>
  <c r="P1190" i="13"/>
  <c r="R1189" i="13"/>
  <c r="P1189" i="13"/>
  <c r="R1188" i="13"/>
  <c r="P1188" i="13"/>
  <c r="R1187" i="13"/>
  <c r="P1187" i="13"/>
  <c r="R1186" i="13"/>
  <c r="P1186" i="13"/>
  <c r="R1185" i="13"/>
  <c r="P1185" i="13"/>
  <c r="R1184" i="13"/>
  <c r="P1184" i="13"/>
  <c r="R1183" i="13"/>
  <c r="P1183" i="13"/>
  <c r="R1182" i="13"/>
  <c r="P1182" i="13"/>
  <c r="R1181" i="13"/>
  <c r="P1181" i="13"/>
  <c r="R1180" i="13"/>
  <c r="P1180" i="13"/>
  <c r="R1179" i="13"/>
  <c r="P1179" i="13"/>
  <c r="R1178" i="13"/>
  <c r="P1178" i="13"/>
  <c r="R1177" i="13"/>
  <c r="P1177" i="13"/>
  <c r="R1176" i="13"/>
  <c r="P1176" i="13"/>
  <c r="R1175" i="13"/>
  <c r="P1175" i="13"/>
  <c r="R1174" i="13"/>
  <c r="P1174" i="13"/>
  <c r="R1173" i="13"/>
  <c r="P1173" i="13"/>
  <c r="R1172" i="13"/>
  <c r="P1172" i="13"/>
  <c r="R1171" i="13"/>
  <c r="P1171" i="13"/>
  <c r="R1170" i="13"/>
  <c r="P1170" i="13"/>
  <c r="R1169" i="13"/>
  <c r="P1169" i="13"/>
  <c r="R1168" i="13"/>
  <c r="P1168" i="13"/>
  <c r="R1167" i="13"/>
  <c r="P1167" i="13"/>
  <c r="R1166" i="13"/>
  <c r="P1166" i="13"/>
  <c r="R1165" i="13"/>
  <c r="P1165" i="13"/>
  <c r="R1164" i="13"/>
  <c r="P1164" i="13"/>
  <c r="R1163" i="13"/>
  <c r="P1163" i="13"/>
  <c r="R1162" i="13"/>
  <c r="P1162" i="13"/>
  <c r="R1161" i="13"/>
  <c r="P1161" i="13"/>
  <c r="R1160" i="13"/>
  <c r="P1160" i="13"/>
  <c r="R1159" i="13"/>
  <c r="P1159" i="13"/>
  <c r="R1158" i="13"/>
  <c r="P1158" i="13"/>
  <c r="R1157" i="13"/>
  <c r="P1157" i="13"/>
  <c r="R1156" i="13"/>
  <c r="P1156" i="13"/>
  <c r="R1155" i="13"/>
  <c r="P1155" i="13"/>
  <c r="R1154" i="13"/>
  <c r="P1154" i="13"/>
  <c r="R1153" i="13"/>
  <c r="P1153" i="13"/>
  <c r="R1152" i="13"/>
  <c r="P1152" i="13"/>
  <c r="R1151" i="13"/>
  <c r="P1151" i="13"/>
  <c r="R1150" i="13"/>
  <c r="P1150" i="13"/>
  <c r="R1149" i="13"/>
  <c r="P1149" i="13"/>
  <c r="R1148" i="13"/>
  <c r="P1148" i="13"/>
  <c r="R1147" i="13"/>
  <c r="P1147" i="13"/>
  <c r="R1146" i="13"/>
  <c r="P1146" i="13"/>
  <c r="R1145" i="13"/>
  <c r="P1145" i="13"/>
  <c r="R1144" i="13"/>
  <c r="P1144" i="13"/>
  <c r="R1143" i="13"/>
  <c r="P1143" i="13"/>
  <c r="R1142" i="13"/>
  <c r="P1142" i="13"/>
  <c r="R1141" i="13"/>
  <c r="P1141" i="13"/>
  <c r="R1140" i="13"/>
  <c r="P1140" i="13"/>
  <c r="R1139" i="13"/>
  <c r="P1139" i="13"/>
  <c r="R1138" i="13"/>
  <c r="P1138" i="13"/>
  <c r="R1137" i="13"/>
  <c r="P1137" i="13"/>
  <c r="R1136" i="13"/>
  <c r="P1136" i="13"/>
  <c r="R1135" i="13"/>
  <c r="P1135" i="13"/>
  <c r="R1134" i="13"/>
  <c r="P1134" i="13"/>
  <c r="R1133" i="13"/>
  <c r="P1133" i="13"/>
  <c r="R1132" i="13"/>
  <c r="P1132" i="13"/>
  <c r="R1131" i="13"/>
  <c r="P1131" i="13"/>
  <c r="R1130" i="13"/>
  <c r="P1130" i="13"/>
  <c r="R1129" i="13"/>
  <c r="P1129" i="13"/>
  <c r="R1128" i="13"/>
  <c r="P1128" i="13"/>
  <c r="R1127" i="13"/>
  <c r="P1127" i="13"/>
  <c r="R1126" i="13"/>
  <c r="P1126" i="13"/>
  <c r="R1125" i="13"/>
  <c r="P1125" i="13"/>
  <c r="R1124" i="13"/>
  <c r="P1124" i="13"/>
  <c r="R1123" i="13"/>
  <c r="P1123" i="13"/>
  <c r="R1122" i="13"/>
  <c r="P1122" i="13"/>
  <c r="R1121" i="13"/>
  <c r="P1121" i="13"/>
  <c r="R1120" i="13"/>
  <c r="P1120" i="13"/>
  <c r="R1119" i="13"/>
  <c r="P1119" i="13"/>
  <c r="R1118" i="13"/>
  <c r="P1118" i="13"/>
  <c r="R1117" i="13"/>
  <c r="P1117" i="13"/>
  <c r="R1116" i="13"/>
  <c r="P1116" i="13"/>
  <c r="R1115" i="13"/>
  <c r="P1115" i="13"/>
  <c r="R1114" i="13"/>
  <c r="P1114" i="13"/>
  <c r="R1113" i="13"/>
  <c r="P1113" i="13"/>
  <c r="R1112" i="13"/>
  <c r="P1112" i="13"/>
  <c r="R1111" i="13"/>
  <c r="P1111" i="13"/>
  <c r="R1110" i="13"/>
  <c r="P1110" i="13"/>
  <c r="R1109" i="13"/>
  <c r="P1109" i="13"/>
  <c r="R1108" i="13"/>
  <c r="P1108" i="13"/>
  <c r="R1107" i="13"/>
  <c r="P1107" i="13"/>
  <c r="R1106" i="13"/>
  <c r="P1106" i="13"/>
  <c r="R1105" i="13"/>
  <c r="P1105" i="13"/>
  <c r="R1104" i="13"/>
  <c r="P1104" i="13"/>
  <c r="R1103" i="13"/>
  <c r="P1103" i="13"/>
  <c r="R1102" i="13"/>
  <c r="P1102" i="13"/>
  <c r="R1101" i="13"/>
  <c r="P1101" i="13"/>
  <c r="R1100" i="13"/>
  <c r="P1100" i="13"/>
  <c r="R1099" i="13"/>
  <c r="P1099" i="13"/>
  <c r="R1098" i="13"/>
  <c r="P1098" i="13"/>
  <c r="R1097" i="13"/>
  <c r="P1097" i="13"/>
  <c r="R1096" i="13"/>
  <c r="P1096" i="13"/>
  <c r="R1095" i="13"/>
  <c r="P1095" i="13"/>
  <c r="R1094" i="13"/>
  <c r="P1094" i="13"/>
  <c r="R1093" i="13"/>
  <c r="P1093" i="13"/>
  <c r="R1092" i="13"/>
  <c r="P1092" i="13"/>
  <c r="R1091" i="13"/>
  <c r="P1091" i="13"/>
  <c r="R1090" i="13"/>
  <c r="P1090" i="13"/>
  <c r="R1089" i="13"/>
  <c r="P1089" i="13"/>
  <c r="R1088" i="13"/>
  <c r="P1088" i="13"/>
  <c r="R1087" i="13"/>
  <c r="P1087" i="13"/>
  <c r="R1086" i="13"/>
  <c r="P1086" i="13"/>
  <c r="R1085" i="13"/>
  <c r="P1085" i="13"/>
  <c r="R1084" i="13"/>
  <c r="P1084" i="13"/>
  <c r="R1083" i="13"/>
  <c r="P1083" i="13"/>
  <c r="R1082" i="13"/>
  <c r="P1082" i="13"/>
  <c r="R1081" i="13"/>
  <c r="P1081" i="13"/>
  <c r="R1080" i="13"/>
  <c r="P1080" i="13"/>
  <c r="R1079" i="13"/>
  <c r="P1079" i="13"/>
  <c r="R1078" i="13"/>
  <c r="P1078" i="13"/>
  <c r="R1077" i="13"/>
  <c r="P1077" i="13"/>
  <c r="R1076" i="13"/>
  <c r="P1076" i="13"/>
  <c r="R1075" i="13"/>
  <c r="P1075" i="13"/>
  <c r="R1074" i="13"/>
  <c r="P1074" i="13"/>
  <c r="R1073" i="13"/>
  <c r="P1073" i="13"/>
  <c r="R1072" i="13"/>
  <c r="P1072" i="13"/>
  <c r="R1071" i="13"/>
  <c r="P1071" i="13"/>
  <c r="R1070" i="13"/>
  <c r="P1070" i="13"/>
  <c r="R1069" i="13"/>
  <c r="P1069" i="13"/>
  <c r="R1068" i="13"/>
  <c r="P1068" i="13"/>
  <c r="R1067" i="13"/>
  <c r="P1067" i="13"/>
  <c r="R1066" i="13"/>
  <c r="P1066" i="13"/>
  <c r="R1065" i="13"/>
  <c r="P1065" i="13"/>
  <c r="R1064" i="13"/>
  <c r="P1064" i="13"/>
  <c r="R1063" i="13"/>
  <c r="P1063" i="13"/>
  <c r="R1062" i="13"/>
  <c r="P1062" i="13"/>
  <c r="R1061" i="13"/>
  <c r="P1061" i="13"/>
  <c r="R1060" i="13"/>
  <c r="P1060" i="13"/>
  <c r="R1059" i="13"/>
  <c r="P1059" i="13"/>
  <c r="R1058" i="13"/>
  <c r="P1058" i="13"/>
  <c r="R1057" i="13"/>
  <c r="P1057" i="13"/>
  <c r="R1056" i="13"/>
  <c r="P1056" i="13"/>
  <c r="R1055" i="13"/>
  <c r="P1055" i="13"/>
  <c r="R1054" i="13"/>
  <c r="P1054" i="13"/>
  <c r="R1053" i="13"/>
  <c r="P1053" i="13"/>
  <c r="R1052" i="13"/>
  <c r="P1052" i="13"/>
  <c r="R1051" i="13"/>
  <c r="P1051" i="13"/>
  <c r="R1050" i="13"/>
  <c r="P1050" i="13"/>
  <c r="R1049" i="13"/>
  <c r="P1049" i="13"/>
  <c r="R1048" i="13"/>
  <c r="P1048" i="13"/>
  <c r="R1047" i="13"/>
  <c r="P1047" i="13"/>
  <c r="R1046" i="13"/>
  <c r="P1046" i="13"/>
  <c r="R1045" i="13"/>
  <c r="P1045" i="13"/>
  <c r="R1044" i="13"/>
  <c r="P1044" i="13"/>
  <c r="R1043" i="13"/>
  <c r="P1043" i="13"/>
  <c r="R1042" i="13"/>
  <c r="P1042" i="13"/>
  <c r="R1041" i="13"/>
  <c r="P1041" i="13"/>
  <c r="R1040" i="13"/>
  <c r="P1040" i="13"/>
  <c r="R1039" i="13"/>
  <c r="P1039" i="13"/>
  <c r="R1038" i="13"/>
  <c r="P1038" i="13"/>
  <c r="R1037" i="13"/>
  <c r="P1037" i="13"/>
  <c r="R1036" i="13"/>
  <c r="P1036" i="13"/>
  <c r="R1035" i="13"/>
  <c r="P1035" i="13"/>
  <c r="R1034" i="13"/>
  <c r="P1034" i="13"/>
  <c r="R1033" i="13"/>
  <c r="P1033" i="13"/>
  <c r="R1032" i="13"/>
  <c r="P1032" i="13"/>
  <c r="R1031" i="13"/>
  <c r="P1031" i="13"/>
  <c r="R1030" i="13"/>
  <c r="P1030" i="13"/>
  <c r="R1029" i="13"/>
  <c r="P1029" i="13"/>
  <c r="R1028" i="13"/>
  <c r="P1028" i="13"/>
  <c r="R1027" i="13"/>
  <c r="P1027" i="13"/>
  <c r="R1026" i="13"/>
  <c r="P1026" i="13"/>
  <c r="R1025" i="13"/>
  <c r="P1025" i="13"/>
  <c r="R1024" i="13"/>
  <c r="P1024" i="13"/>
  <c r="R1023" i="13"/>
  <c r="P1023" i="13"/>
  <c r="R1022" i="13"/>
  <c r="P1022" i="13"/>
  <c r="R1021" i="13"/>
  <c r="P1021" i="13"/>
  <c r="R1020" i="13"/>
  <c r="P1020" i="13"/>
  <c r="R1019" i="13"/>
  <c r="P1019" i="13"/>
  <c r="R1018" i="13"/>
  <c r="P1018" i="13"/>
  <c r="R1017" i="13"/>
  <c r="P1017" i="13"/>
  <c r="R1016" i="13"/>
  <c r="P1016" i="13"/>
  <c r="R1015" i="13"/>
  <c r="P1015" i="13"/>
  <c r="R1014" i="13"/>
  <c r="P1014" i="13"/>
  <c r="R1013" i="13"/>
  <c r="P1013" i="13"/>
  <c r="R1012" i="13"/>
  <c r="P1012" i="13"/>
  <c r="R1011" i="13"/>
  <c r="P1011" i="13"/>
  <c r="R1010" i="13"/>
  <c r="P1010" i="13"/>
  <c r="R1009" i="13"/>
  <c r="P1009" i="13"/>
  <c r="R1008" i="13"/>
  <c r="P1008" i="13"/>
  <c r="R1007" i="13"/>
  <c r="P1007" i="13"/>
  <c r="R1006" i="13"/>
  <c r="P1006" i="13"/>
  <c r="R1005" i="13"/>
  <c r="P1005" i="13"/>
  <c r="R1004" i="13"/>
  <c r="P1004" i="13"/>
  <c r="R1003" i="13"/>
  <c r="P1003" i="13"/>
  <c r="R1002" i="13"/>
  <c r="P1002" i="13"/>
  <c r="R1001" i="13"/>
  <c r="P1001" i="13"/>
  <c r="R1000" i="13"/>
  <c r="P1000" i="13"/>
  <c r="R999" i="13"/>
  <c r="P999" i="13"/>
  <c r="R998" i="13"/>
  <c r="P998" i="13"/>
  <c r="R997" i="13"/>
  <c r="P997" i="13"/>
  <c r="R996" i="13"/>
  <c r="P996" i="13"/>
  <c r="R995" i="13"/>
  <c r="P995" i="13"/>
  <c r="R994" i="13"/>
  <c r="P994" i="13"/>
  <c r="R993" i="13"/>
  <c r="P993" i="13"/>
  <c r="R992" i="13"/>
  <c r="P992" i="13"/>
  <c r="R991" i="13"/>
  <c r="P991" i="13"/>
  <c r="R990" i="13"/>
  <c r="P990" i="13"/>
  <c r="R989" i="13"/>
  <c r="P989" i="13"/>
  <c r="R988" i="13"/>
  <c r="P988" i="13"/>
  <c r="R987" i="13"/>
  <c r="P987" i="13"/>
  <c r="R986" i="13"/>
  <c r="P986" i="13"/>
  <c r="R985" i="13"/>
  <c r="P985" i="13"/>
  <c r="R984" i="13"/>
  <c r="P984" i="13"/>
  <c r="R983" i="13"/>
  <c r="P983" i="13"/>
  <c r="R982" i="13"/>
  <c r="P982" i="13"/>
  <c r="R981" i="13"/>
  <c r="P981" i="13"/>
  <c r="R980" i="13"/>
  <c r="P980" i="13"/>
  <c r="R979" i="13"/>
  <c r="P979" i="13"/>
  <c r="R978" i="13"/>
  <c r="P978" i="13"/>
  <c r="R977" i="13"/>
  <c r="P977" i="13"/>
  <c r="R976" i="13"/>
  <c r="P976" i="13"/>
  <c r="R975" i="13"/>
  <c r="P975" i="13"/>
  <c r="R974" i="13"/>
  <c r="P974" i="13"/>
  <c r="R973" i="13"/>
  <c r="P973" i="13"/>
  <c r="R972" i="13"/>
  <c r="P972" i="13"/>
  <c r="R971" i="13"/>
  <c r="P971" i="13"/>
  <c r="R970" i="13"/>
  <c r="P970" i="13"/>
  <c r="R969" i="13"/>
  <c r="P969" i="13"/>
  <c r="R968" i="13"/>
  <c r="P968" i="13"/>
  <c r="R967" i="13"/>
  <c r="P967" i="13"/>
  <c r="R966" i="13"/>
  <c r="P966" i="13"/>
  <c r="R965" i="13"/>
  <c r="P965" i="13"/>
  <c r="R964" i="13"/>
  <c r="P964" i="13"/>
  <c r="R963" i="13"/>
  <c r="P963" i="13"/>
  <c r="R962" i="13"/>
  <c r="P962" i="13"/>
  <c r="R961" i="13"/>
  <c r="P961" i="13"/>
  <c r="R960" i="13"/>
  <c r="P960" i="13"/>
  <c r="R959" i="13"/>
  <c r="P959" i="13"/>
  <c r="R958" i="13"/>
  <c r="P958" i="13"/>
  <c r="R957" i="13"/>
  <c r="P957" i="13"/>
  <c r="R956" i="13"/>
  <c r="P956" i="13"/>
  <c r="R955" i="13"/>
  <c r="P955" i="13"/>
  <c r="R954" i="13"/>
  <c r="P954" i="13"/>
  <c r="R953" i="13"/>
  <c r="P953" i="13"/>
  <c r="R952" i="13"/>
  <c r="P952" i="13"/>
  <c r="R951" i="13"/>
  <c r="P951" i="13"/>
  <c r="R950" i="13"/>
  <c r="P950" i="13"/>
  <c r="R949" i="13"/>
  <c r="P949" i="13"/>
  <c r="R948" i="13"/>
  <c r="P948" i="13"/>
  <c r="R947" i="13"/>
  <c r="P947" i="13"/>
  <c r="R946" i="13"/>
  <c r="P946" i="13"/>
  <c r="R945" i="13"/>
  <c r="P945" i="13"/>
  <c r="R944" i="13"/>
  <c r="P944" i="13"/>
  <c r="R943" i="13"/>
  <c r="P943" i="13"/>
  <c r="R942" i="13"/>
  <c r="P942" i="13"/>
  <c r="R941" i="13"/>
  <c r="P941" i="13"/>
  <c r="R940" i="13"/>
  <c r="P940" i="13"/>
  <c r="R939" i="13"/>
  <c r="P939" i="13"/>
  <c r="R938" i="13"/>
  <c r="P938" i="13"/>
  <c r="R937" i="13"/>
  <c r="P937" i="13"/>
  <c r="R936" i="13"/>
  <c r="P936" i="13"/>
  <c r="R935" i="13"/>
  <c r="P935" i="13"/>
  <c r="R934" i="13"/>
  <c r="P934" i="13"/>
  <c r="R933" i="13"/>
  <c r="P933" i="13"/>
  <c r="R932" i="13"/>
  <c r="P932" i="13"/>
  <c r="R931" i="13"/>
  <c r="P931" i="13"/>
  <c r="R930" i="13"/>
  <c r="P930" i="13"/>
  <c r="R929" i="13"/>
  <c r="P929" i="13"/>
  <c r="R928" i="13"/>
  <c r="P928" i="13"/>
  <c r="R927" i="13"/>
  <c r="P927" i="13"/>
  <c r="R926" i="13"/>
  <c r="P926" i="13"/>
  <c r="R925" i="13"/>
  <c r="P925" i="13"/>
  <c r="R924" i="13"/>
  <c r="P924" i="13"/>
  <c r="R923" i="13"/>
  <c r="P923" i="13"/>
  <c r="R922" i="13"/>
  <c r="P922" i="13"/>
  <c r="R921" i="13"/>
  <c r="P921" i="13"/>
  <c r="R920" i="13"/>
  <c r="P920" i="13"/>
  <c r="R919" i="13"/>
  <c r="P919" i="13"/>
  <c r="R918" i="13"/>
  <c r="P918" i="13"/>
  <c r="R917" i="13"/>
  <c r="P917" i="13"/>
  <c r="R916" i="13"/>
  <c r="P916" i="13"/>
  <c r="R915" i="13"/>
  <c r="P915" i="13"/>
  <c r="R914" i="13"/>
  <c r="P914" i="13"/>
  <c r="R913" i="13"/>
  <c r="P913" i="13"/>
  <c r="R912" i="13"/>
  <c r="P912" i="13"/>
  <c r="R911" i="13"/>
  <c r="P911" i="13"/>
  <c r="R910" i="13"/>
  <c r="P910" i="13"/>
  <c r="R909" i="13"/>
  <c r="P909" i="13"/>
  <c r="R908" i="13"/>
  <c r="P908" i="13"/>
  <c r="R907" i="13"/>
  <c r="P907" i="13"/>
  <c r="R906" i="13"/>
  <c r="P906" i="13"/>
  <c r="R905" i="13"/>
  <c r="P905" i="13"/>
  <c r="R904" i="13"/>
  <c r="P904" i="13"/>
  <c r="R903" i="13"/>
  <c r="P903" i="13"/>
  <c r="R902" i="13"/>
  <c r="P902" i="13"/>
  <c r="R901" i="13"/>
  <c r="P901" i="13"/>
  <c r="R900" i="13"/>
  <c r="P900" i="13"/>
  <c r="R899" i="13"/>
  <c r="P899" i="13"/>
  <c r="R898" i="13"/>
  <c r="P898" i="13"/>
  <c r="R897" i="13"/>
  <c r="P897" i="13"/>
  <c r="R896" i="13"/>
  <c r="P896" i="13"/>
  <c r="R895" i="13"/>
  <c r="P895" i="13"/>
  <c r="R894" i="13"/>
  <c r="P894" i="13"/>
  <c r="R893" i="13"/>
  <c r="P893" i="13"/>
  <c r="R892" i="13"/>
  <c r="P892" i="13"/>
  <c r="R891" i="13"/>
  <c r="P891" i="13"/>
  <c r="R890" i="13"/>
  <c r="P890" i="13"/>
  <c r="R889" i="13"/>
  <c r="P889" i="13"/>
  <c r="R888" i="13"/>
  <c r="P888" i="13"/>
  <c r="R887" i="13"/>
  <c r="P887" i="13"/>
  <c r="R886" i="13"/>
  <c r="P886" i="13"/>
  <c r="R885" i="13"/>
  <c r="P885" i="13"/>
  <c r="R884" i="13"/>
  <c r="P884" i="13"/>
  <c r="R883" i="13"/>
  <c r="P883" i="13"/>
  <c r="R882" i="13"/>
  <c r="P882" i="13"/>
  <c r="R881" i="13"/>
  <c r="P881" i="13"/>
  <c r="R880" i="13"/>
  <c r="P880" i="13"/>
  <c r="R879" i="13"/>
  <c r="P879" i="13"/>
  <c r="R878" i="13"/>
  <c r="P878" i="13"/>
  <c r="R877" i="13"/>
  <c r="P877" i="13"/>
  <c r="R876" i="13"/>
  <c r="P876" i="13"/>
  <c r="R875" i="13"/>
  <c r="P875" i="13"/>
  <c r="R874" i="13"/>
  <c r="P874" i="13"/>
  <c r="R873" i="13"/>
  <c r="P873" i="13"/>
  <c r="R872" i="13"/>
  <c r="P872" i="13"/>
  <c r="R871" i="13"/>
  <c r="P871" i="13"/>
  <c r="R870" i="13"/>
  <c r="P870" i="13"/>
  <c r="R869" i="13"/>
  <c r="P869" i="13"/>
  <c r="R868" i="13"/>
  <c r="P868" i="13"/>
  <c r="R867" i="13"/>
  <c r="P867" i="13"/>
  <c r="R866" i="13"/>
  <c r="P866" i="13"/>
  <c r="R865" i="13"/>
  <c r="P865" i="13"/>
  <c r="R864" i="13"/>
  <c r="P864" i="13"/>
  <c r="R863" i="13"/>
  <c r="P863" i="13"/>
  <c r="R862" i="13"/>
  <c r="P862" i="13"/>
  <c r="R861" i="13"/>
  <c r="P861" i="13"/>
  <c r="R860" i="13"/>
  <c r="P860" i="13"/>
  <c r="R859" i="13"/>
  <c r="P859" i="13"/>
  <c r="R858" i="13"/>
  <c r="P858" i="13"/>
  <c r="R857" i="13"/>
  <c r="P857" i="13"/>
  <c r="R856" i="13"/>
  <c r="P856" i="13"/>
  <c r="R855" i="13"/>
  <c r="P855" i="13"/>
  <c r="R854" i="13"/>
  <c r="P854" i="13"/>
  <c r="R853" i="13"/>
  <c r="P853" i="13"/>
  <c r="R852" i="13"/>
  <c r="P852" i="13"/>
  <c r="R851" i="13"/>
  <c r="P851" i="13"/>
  <c r="R850" i="13"/>
  <c r="P850" i="13"/>
  <c r="R849" i="13"/>
  <c r="P849" i="13"/>
  <c r="R848" i="13"/>
  <c r="P848" i="13"/>
  <c r="R847" i="13"/>
  <c r="P847" i="13"/>
  <c r="R846" i="13"/>
  <c r="P846" i="13"/>
  <c r="R845" i="13"/>
  <c r="P845" i="13"/>
  <c r="R844" i="13"/>
  <c r="P844" i="13"/>
  <c r="R843" i="13"/>
  <c r="P843" i="13"/>
  <c r="R842" i="13"/>
  <c r="P842" i="13"/>
  <c r="R841" i="13"/>
  <c r="P841" i="13"/>
  <c r="R840" i="13"/>
  <c r="P840" i="13"/>
  <c r="R839" i="13"/>
  <c r="P839" i="13"/>
  <c r="R838" i="13"/>
  <c r="P838" i="13"/>
  <c r="R837" i="13"/>
  <c r="P837" i="13"/>
  <c r="R836" i="13"/>
  <c r="P836" i="13"/>
  <c r="R835" i="13"/>
  <c r="P835" i="13"/>
  <c r="R834" i="13"/>
  <c r="P834" i="13"/>
  <c r="R833" i="13"/>
  <c r="P833" i="13"/>
  <c r="R832" i="13"/>
  <c r="P832" i="13"/>
  <c r="R831" i="13"/>
  <c r="P831" i="13"/>
  <c r="R830" i="13"/>
  <c r="P830" i="13"/>
  <c r="R829" i="13"/>
  <c r="P829" i="13"/>
  <c r="R828" i="13"/>
  <c r="P828" i="13"/>
  <c r="R827" i="13"/>
  <c r="P827" i="13"/>
  <c r="R826" i="13"/>
  <c r="P826" i="13"/>
  <c r="R825" i="13"/>
  <c r="P825" i="13"/>
  <c r="R824" i="13"/>
  <c r="P824" i="13"/>
  <c r="R823" i="13"/>
  <c r="P823" i="13"/>
  <c r="R822" i="13"/>
  <c r="P822" i="13"/>
  <c r="R821" i="13"/>
  <c r="P821" i="13"/>
  <c r="R820" i="13"/>
  <c r="P820" i="13"/>
  <c r="R819" i="13"/>
  <c r="P819" i="13"/>
  <c r="R818" i="13"/>
  <c r="P818" i="13"/>
  <c r="R817" i="13"/>
  <c r="P817" i="13"/>
  <c r="R816" i="13"/>
  <c r="P816" i="13"/>
  <c r="R815" i="13"/>
  <c r="P815" i="13"/>
  <c r="R814" i="13"/>
  <c r="P814" i="13"/>
  <c r="R813" i="13"/>
  <c r="P813" i="13"/>
  <c r="R812" i="13"/>
  <c r="P812" i="13"/>
  <c r="R811" i="13"/>
  <c r="P811" i="13"/>
  <c r="R810" i="13"/>
  <c r="P810" i="13"/>
  <c r="R809" i="13"/>
  <c r="P809" i="13"/>
  <c r="R808" i="13"/>
  <c r="P808" i="13"/>
  <c r="R807" i="13"/>
  <c r="P807" i="13"/>
  <c r="R806" i="13"/>
  <c r="P806" i="13"/>
  <c r="R805" i="13"/>
  <c r="P805" i="13"/>
  <c r="R804" i="13"/>
  <c r="P804" i="13"/>
  <c r="R803" i="13"/>
  <c r="P803" i="13"/>
  <c r="R802" i="13"/>
  <c r="P802" i="13"/>
  <c r="R801" i="13"/>
  <c r="P801" i="13"/>
  <c r="R800" i="13"/>
  <c r="P800" i="13"/>
  <c r="R799" i="13"/>
  <c r="P799" i="13"/>
  <c r="R798" i="13"/>
  <c r="P798" i="13"/>
  <c r="R797" i="13"/>
  <c r="P797" i="13"/>
  <c r="R796" i="13"/>
  <c r="P796" i="13"/>
  <c r="R795" i="13"/>
  <c r="P795" i="13"/>
  <c r="R794" i="13"/>
  <c r="P794" i="13"/>
  <c r="R793" i="13"/>
  <c r="P793" i="13"/>
  <c r="R792" i="13"/>
  <c r="P792" i="13"/>
  <c r="R791" i="13"/>
  <c r="P791" i="13"/>
  <c r="R790" i="13"/>
  <c r="P790" i="13"/>
  <c r="R789" i="13"/>
  <c r="P789" i="13"/>
  <c r="R788" i="13"/>
  <c r="P788" i="13"/>
  <c r="R787" i="13"/>
  <c r="P787" i="13"/>
  <c r="R786" i="13"/>
  <c r="P786" i="13"/>
  <c r="R785" i="13"/>
  <c r="P785" i="13"/>
  <c r="R784" i="13"/>
  <c r="P784" i="13"/>
  <c r="R783" i="13"/>
  <c r="P783" i="13"/>
  <c r="R782" i="13"/>
  <c r="P782" i="13"/>
  <c r="R781" i="13"/>
  <c r="P781" i="13"/>
  <c r="R780" i="13"/>
  <c r="P780" i="13"/>
  <c r="R779" i="13"/>
  <c r="P779" i="13"/>
  <c r="R778" i="13"/>
  <c r="P778" i="13"/>
  <c r="R777" i="13"/>
  <c r="P777" i="13"/>
  <c r="R776" i="13"/>
  <c r="P776" i="13"/>
  <c r="R775" i="13"/>
  <c r="P775" i="13"/>
  <c r="R774" i="13"/>
  <c r="P774" i="13"/>
  <c r="R773" i="13"/>
  <c r="P773" i="13"/>
  <c r="R772" i="13"/>
  <c r="P772" i="13"/>
  <c r="R771" i="13"/>
  <c r="P771" i="13"/>
  <c r="R770" i="13"/>
  <c r="P770" i="13"/>
  <c r="R769" i="13"/>
  <c r="P769" i="13"/>
  <c r="R768" i="13"/>
  <c r="P768" i="13"/>
  <c r="R767" i="13"/>
  <c r="P767" i="13"/>
  <c r="R766" i="13"/>
  <c r="P766" i="13"/>
  <c r="R765" i="13"/>
  <c r="P765" i="13"/>
  <c r="R764" i="13"/>
  <c r="P764" i="13"/>
  <c r="R763" i="13"/>
  <c r="P763" i="13"/>
  <c r="R762" i="13"/>
  <c r="P762" i="13"/>
  <c r="R761" i="13"/>
  <c r="P761" i="13"/>
  <c r="R760" i="13"/>
  <c r="P760" i="13"/>
  <c r="R759" i="13"/>
  <c r="P759" i="13"/>
  <c r="R758" i="13"/>
  <c r="P758" i="13"/>
  <c r="R757" i="13"/>
  <c r="P757" i="13"/>
  <c r="R756" i="13"/>
  <c r="P756" i="13"/>
  <c r="R755" i="13"/>
  <c r="P755" i="13"/>
  <c r="R754" i="13"/>
  <c r="P754" i="13"/>
  <c r="R753" i="13"/>
  <c r="P753" i="13"/>
  <c r="R752" i="13"/>
  <c r="P752" i="13"/>
  <c r="R751" i="13"/>
  <c r="P751" i="13"/>
  <c r="R750" i="13"/>
  <c r="P750" i="13"/>
  <c r="R749" i="13"/>
  <c r="P749" i="13"/>
  <c r="R748" i="13"/>
  <c r="P748" i="13"/>
  <c r="R747" i="13"/>
  <c r="P747" i="13"/>
  <c r="R746" i="13"/>
  <c r="P746" i="13"/>
  <c r="R745" i="13"/>
  <c r="P745" i="13"/>
  <c r="R744" i="13"/>
  <c r="P744" i="13"/>
  <c r="R743" i="13"/>
  <c r="P743" i="13"/>
  <c r="R742" i="13"/>
  <c r="P742" i="13"/>
  <c r="R741" i="13"/>
  <c r="P741" i="13"/>
  <c r="R740" i="13"/>
  <c r="P740" i="13"/>
  <c r="R739" i="13"/>
  <c r="P739" i="13"/>
  <c r="R738" i="13"/>
  <c r="P738" i="13"/>
  <c r="R737" i="13"/>
  <c r="P737" i="13"/>
  <c r="R736" i="13"/>
  <c r="P736" i="13"/>
  <c r="R735" i="13"/>
  <c r="P735" i="13"/>
  <c r="R734" i="13"/>
  <c r="P734" i="13"/>
  <c r="R733" i="13"/>
  <c r="P733" i="13"/>
  <c r="R732" i="13"/>
  <c r="P732" i="13"/>
  <c r="R731" i="13"/>
  <c r="P731" i="13"/>
  <c r="R730" i="13"/>
  <c r="P730" i="13"/>
  <c r="R729" i="13"/>
  <c r="P729" i="13"/>
  <c r="R728" i="13"/>
  <c r="P728" i="13"/>
  <c r="R727" i="13"/>
  <c r="P727" i="13"/>
  <c r="R726" i="13"/>
  <c r="P726" i="13"/>
  <c r="R725" i="13"/>
  <c r="P725" i="13"/>
  <c r="R724" i="13"/>
  <c r="P724" i="13"/>
  <c r="R723" i="13"/>
  <c r="P723" i="13"/>
  <c r="R722" i="13"/>
  <c r="P722" i="13"/>
  <c r="R721" i="13"/>
  <c r="P721" i="13"/>
  <c r="R720" i="13"/>
  <c r="P720" i="13"/>
  <c r="R719" i="13"/>
  <c r="P719" i="13"/>
  <c r="R718" i="13"/>
  <c r="P718" i="13"/>
  <c r="R717" i="13"/>
  <c r="P717" i="13"/>
  <c r="R716" i="13"/>
  <c r="P716" i="13"/>
  <c r="R715" i="13"/>
  <c r="P715" i="13"/>
  <c r="R714" i="13"/>
  <c r="P714" i="13"/>
  <c r="R713" i="13"/>
  <c r="P713" i="13"/>
  <c r="R712" i="13"/>
  <c r="P712" i="13"/>
  <c r="R711" i="13"/>
  <c r="P711" i="13"/>
  <c r="R710" i="13"/>
  <c r="P710" i="13"/>
  <c r="R709" i="13"/>
  <c r="P709" i="13"/>
  <c r="R708" i="13"/>
  <c r="P708" i="13"/>
  <c r="R707" i="13"/>
  <c r="P707" i="13"/>
  <c r="R706" i="13"/>
  <c r="P706" i="13"/>
  <c r="R705" i="13"/>
  <c r="P705" i="13"/>
  <c r="R704" i="13"/>
  <c r="P704" i="13"/>
  <c r="R703" i="13"/>
  <c r="P703" i="13"/>
  <c r="R702" i="13"/>
  <c r="P702" i="13"/>
  <c r="R701" i="13"/>
  <c r="P701" i="13"/>
  <c r="R700" i="13"/>
  <c r="P700" i="13"/>
  <c r="R699" i="13"/>
  <c r="P699" i="13"/>
  <c r="R698" i="13"/>
  <c r="P698" i="13"/>
  <c r="R697" i="13"/>
  <c r="P697" i="13"/>
  <c r="R696" i="13"/>
  <c r="P696" i="13"/>
  <c r="R695" i="13"/>
  <c r="P695" i="13"/>
  <c r="R694" i="13"/>
  <c r="P694" i="13"/>
  <c r="R693" i="13"/>
  <c r="P693" i="13"/>
  <c r="R692" i="13"/>
  <c r="P692" i="13"/>
  <c r="R691" i="13"/>
  <c r="P691" i="13"/>
  <c r="R690" i="13"/>
  <c r="P690" i="13"/>
  <c r="R689" i="13"/>
  <c r="P689" i="13"/>
  <c r="R688" i="13"/>
  <c r="P688" i="13"/>
  <c r="R687" i="13"/>
  <c r="P687" i="13"/>
  <c r="R686" i="13"/>
  <c r="P686" i="13"/>
  <c r="R685" i="13"/>
  <c r="P685" i="13"/>
  <c r="R684" i="13"/>
  <c r="P684" i="13"/>
  <c r="R683" i="13"/>
  <c r="P683" i="13"/>
  <c r="R682" i="13"/>
  <c r="P682" i="13"/>
  <c r="R681" i="13"/>
  <c r="P681" i="13"/>
  <c r="R680" i="13"/>
  <c r="P680" i="13"/>
  <c r="R679" i="13"/>
  <c r="P679" i="13"/>
  <c r="R678" i="13"/>
  <c r="P678" i="13"/>
  <c r="R677" i="13"/>
  <c r="P677" i="13"/>
  <c r="R676" i="13"/>
  <c r="P676" i="13"/>
  <c r="R675" i="13"/>
  <c r="P675" i="13"/>
  <c r="R674" i="13"/>
  <c r="P674" i="13"/>
  <c r="R673" i="13"/>
  <c r="P673" i="13"/>
  <c r="R672" i="13"/>
  <c r="P672" i="13"/>
  <c r="R671" i="13"/>
  <c r="P671" i="13"/>
  <c r="R670" i="13"/>
  <c r="P670" i="13"/>
  <c r="R669" i="13"/>
  <c r="P669" i="13"/>
  <c r="R668" i="13"/>
  <c r="P668" i="13"/>
  <c r="R667" i="13"/>
  <c r="P667" i="13"/>
  <c r="R666" i="13"/>
  <c r="P666" i="13"/>
  <c r="R665" i="13"/>
  <c r="P665" i="13"/>
  <c r="R664" i="13"/>
  <c r="P664" i="13"/>
  <c r="R663" i="13"/>
  <c r="P663" i="13"/>
  <c r="R662" i="13"/>
  <c r="P662" i="13"/>
  <c r="R661" i="13"/>
  <c r="P661" i="13"/>
  <c r="R660" i="13"/>
  <c r="P660" i="13"/>
  <c r="R659" i="13"/>
  <c r="P659" i="13"/>
  <c r="R658" i="13"/>
  <c r="P658" i="13"/>
  <c r="R657" i="13"/>
  <c r="P657" i="13"/>
  <c r="R656" i="13"/>
  <c r="P656" i="13"/>
  <c r="R655" i="13"/>
  <c r="P655" i="13"/>
  <c r="R654" i="13"/>
  <c r="P654" i="13"/>
  <c r="R653" i="13"/>
  <c r="P653" i="13"/>
  <c r="R652" i="13"/>
  <c r="P652" i="13"/>
  <c r="R651" i="13"/>
  <c r="P651" i="13"/>
  <c r="R650" i="13"/>
  <c r="P650" i="13"/>
  <c r="R649" i="13"/>
  <c r="P649" i="13"/>
  <c r="R648" i="13"/>
  <c r="P648" i="13"/>
  <c r="R647" i="13"/>
  <c r="P647" i="13"/>
  <c r="R646" i="13"/>
  <c r="P646" i="13"/>
  <c r="R645" i="13"/>
  <c r="P645" i="13"/>
  <c r="R644" i="13"/>
  <c r="P644" i="13"/>
  <c r="R643" i="13"/>
  <c r="P643" i="13"/>
  <c r="R642" i="13"/>
  <c r="P642" i="13"/>
  <c r="R641" i="13"/>
  <c r="P641" i="13"/>
  <c r="R640" i="13"/>
  <c r="P640" i="13"/>
  <c r="R639" i="13"/>
  <c r="P639" i="13"/>
  <c r="R638" i="13"/>
  <c r="P638" i="13"/>
  <c r="R637" i="13"/>
  <c r="P637" i="13"/>
  <c r="R636" i="13"/>
  <c r="P636" i="13"/>
  <c r="R635" i="13"/>
  <c r="P635" i="13"/>
  <c r="R634" i="13"/>
  <c r="P634" i="13"/>
  <c r="R633" i="13"/>
  <c r="P633" i="13"/>
  <c r="R632" i="13"/>
  <c r="P632" i="13"/>
  <c r="R631" i="13"/>
  <c r="P631" i="13"/>
  <c r="R630" i="13"/>
  <c r="P630" i="13"/>
  <c r="R629" i="13"/>
  <c r="P629" i="13"/>
  <c r="R628" i="13"/>
  <c r="P628" i="13"/>
  <c r="R627" i="13"/>
  <c r="P627" i="13"/>
  <c r="R626" i="13"/>
  <c r="P626" i="13"/>
  <c r="R625" i="13"/>
  <c r="P625" i="13"/>
  <c r="R624" i="13"/>
  <c r="P624" i="13"/>
  <c r="R623" i="13"/>
  <c r="P623" i="13"/>
  <c r="R622" i="13"/>
  <c r="P622" i="13"/>
  <c r="R621" i="13"/>
  <c r="P621" i="13"/>
  <c r="R620" i="13"/>
  <c r="P620" i="13"/>
  <c r="R619" i="13"/>
  <c r="P619" i="13"/>
  <c r="R618" i="13"/>
  <c r="P618" i="13"/>
  <c r="R617" i="13"/>
  <c r="P617" i="13"/>
  <c r="R616" i="13"/>
  <c r="P616" i="13"/>
  <c r="R615" i="13"/>
  <c r="P615" i="13"/>
  <c r="R614" i="13"/>
  <c r="P614" i="13"/>
  <c r="R613" i="13"/>
  <c r="P613" i="13"/>
  <c r="R612" i="13"/>
  <c r="P612" i="13"/>
  <c r="R611" i="13"/>
  <c r="P611" i="13"/>
  <c r="R610" i="13"/>
  <c r="P610" i="13"/>
  <c r="R609" i="13"/>
  <c r="P609" i="13"/>
  <c r="R608" i="13"/>
  <c r="P608" i="13"/>
  <c r="R607" i="13"/>
  <c r="P607" i="13"/>
  <c r="R606" i="13"/>
  <c r="P606" i="13"/>
  <c r="R605" i="13"/>
  <c r="P605" i="13"/>
  <c r="R604" i="13"/>
  <c r="P604" i="13"/>
  <c r="R603" i="13"/>
  <c r="P603" i="13"/>
  <c r="R602" i="13"/>
  <c r="P602" i="13"/>
  <c r="R601" i="13"/>
  <c r="P601" i="13"/>
  <c r="R600" i="13"/>
  <c r="P600" i="13"/>
  <c r="R599" i="13"/>
  <c r="P599" i="13"/>
  <c r="R598" i="13"/>
  <c r="P598" i="13"/>
  <c r="R597" i="13"/>
  <c r="P597" i="13"/>
  <c r="R596" i="13"/>
  <c r="P596" i="13"/>
  <c r="R595" i="13"/>
  <c r="P595" i="13"/>
  <c r="R594" i="13"/>
  <c r="P594" i="13"/>
  <c r="R593" i="13"/>
  <c r="P593" i="13"/>
  <c r="R592" i="13"/>
  <c r="P592" i="13"/>
  <c r="R591" i="13"/>
  <c r="P591" i="13"/>
  <c r="R590" i="13"/>
  <c r="P590" i="13"/>
  <c r="R589" i="13"/>
  <c r="P589" i="13"/>
  <c r="R588" i="13"/>
  <c r="P588" i="13"/>
  <c r="R587" i="13"/>
  <c r="P587" i="13"/>
  <c r="R586" i="13"/>
  <c r="P586" i="13"/>
  <c r="R585" i="13"/>
  <c r="P585" i="13"/>
  <c r="R584" i="13"/>
  <c r="P584" i="13"/>
  <c r="R583" i="13"/>
  <c r="P583" i="13"/>
  <c r="R582" i="13"/>
  <c r="P582" i="13"/>
  <c r="R581" i="13"/>
  <c r="P581" i="13"/>
  <c r="R580" i="13"/>
  <c r="P580" i="13"/>
  <c r="R579" i="13"/>
  <c r="P579" i="13"/>
  <c r="R578" i="13"/>
  <c r="P578" i="13"/>
  <c r="R577" i="13"/>
  <c r="P577" i="13"/>
  <c r="R576" i="13"/>
  <c r="P576" i="13"/>
  <c r="R575" i="13"/>
  <c r="P575" i="13"/>
  <c r="R574" i="13"/>
  <c r="P574" i="13"/>
  <c r="R573" i="13"/>
  <c r="P573" i="13"/>
  <c r="R572" i="13"/>
  <c r="P572" i="13"/>
  <c r="R571" i="13"/>
  <c r="P571" i="13"/>
  <c r="R570" i="13"/>
  <c r="P570" i="13"/>
  <c r="R569" i="13"/>
  <c r="P569" i="13"/>
  <c r="R568" i="13"/>
  <c r="P568" i="13"/>
  <c r="R567" i="13"/>
  <c r="P567" i="13"/>
  <c r="R566" i="13"/>
  <c r="P566" i="13"/>
  <c r="R565" i="13"/>
  <c r="P565" i="13"/>
  <c r="R564" i="13"/>
  <c r="P564" i="13"/>
  <c r="R563" i="13"/>
  <c r="P563" i="13"/>
  <c r="R562" i="13"/>
  <c r="P562" i="13"/>
  <c r="R561" i="13"/>
  <c r="P561" i="13"/>
  <c r="R560" i="13"/>
  <c r="P560" i="13"/>
  <c r="R559" i="13"/>
  <c r="P559" i="13"/>
  <c r="R558" i="13"/>
  <c r="P558" i="13"/>
  <c r="R557" i="13"/>
  <c r="P557" i="13"/>
  <c r="R556" i="13"/>
  <c r="P556" i="13"/>
  <c r="R555" i="13"/>
  <c r="P555" i="13"/>
  <c r="R554" i="13"/>
  <c r="P554" i="13"/>
  <c r="R553" i="13"/>
  <c r="P553" i="13"/>
  <c r="R552" i="13"/>
  <c r="P552" i="13"/>
  <c r="R551" i="13"/>
  <c r="P551" i="13"/>
  <c r="R550" i="13"/>
  <c r="P550" i="13"/>
  <c r="R549" i="13"/>
  <c r="P549" i="13"/>
  <c r="R548" i="13"/>
  <c r="P548" i="13"/>
  <c r="R547" i="13"/>
  <c r="P547" i="13"/>
  <c r="R546" i="13"/>
  <c r="P546" i="13"/>
  <c r="R545" i="13"/>
  <c r="P545" i="13"/>
  <c r="R544" i="13"/>
  <c r="P544" i="13"/>
  <c r="R543" i="13"/>
  <c r="P543" i="13"/>
  <c r="R542" i="13"/>
  <c r="P542" i="13"/>
  <c r="R541" i="13"/>
  <c r="P541" i="13"/>
  <c r="R540" i="13"/>
  <c r="P540" i="13"/>
  <c r="R539" i="13"/>
  <c r="P539" i="13"/>
  <c r="R538" i="13"/>
  <c r="P538" i="13"/>
  <c r="R537" i="13"/>
  <c r="P537" i="13"/>
  <c r="R536" i="13"/>
  <c r="P536" i="13"/>
  <c r="R535" i="13"/>
  <c r="P535" i="13"/>
  <c r="R534" i="13"/>
  <c r="P534" i="13"/>
  <c r="R533" i="13"/>
  <c r="P533" i="13"/>
  <c r="R532" i="13"/>
  <c r="P532" i="13"/>
  <c r="R531" i="13"/>
  <c r="P531" i="13"/>
  <c r="R530" i="13"/>
  <c r="P530" i="13"/>
  <c r="R529" i="13"/>
  <c r="P529" i="13"/>
  <c r="R528" i="13"/>
  <c r="P528" i="13"/>
  <c r="R527" i="13"/>
  <c r="P527" i="13"/>
  <c r="R526" i="13"/>
  <c r="P526" i="13"/>
  <c r="R525" i="13"/>
  <c r="P525" i="13"/>
  <c r="R524" i="13"/>
  <c r="P524" i="13"/>
  <c r="R523" i="13"/>
  <c r="P523" i="13"/>
  <c r="R522" i="13"/>
  <c r="P522" i="13"/>
  <c r="R521" i="13"/>
  <c r="P521" i="13"/>
  <c r="R520" i="13"/>
  <c r="P520" i="13"/>
  <c r="R519" i="13"/>
  <c r="P519" i="13"/>
  <c r="R518" i="13"/>
  <c r="P518" i="13"/>
  <c r="R517" i="13"/>
  <c r="P517" i="13"/>
  <c r="R516" i="13"/>
  <c r="P516" i="13"/>
  <c r="R515" i="13"/>
  <c r="P515" i="13"/>
  <c r="R514" i="13"/>
  <c r="P514" i="13"/>
  <c r="R513" i="13"/>
  <c r="P513" i="13"/>
  <c r="R512" i="13"/>
  <c r="P512" i="13"/>
  <c r="R511" i="13"/>
  <c r="P511" i="13"/>
  <c r="R510" i="13"/>
  <c r="P510" i="13"/>
  <c r="R509" i="13"/>
  <c r="P509" i="13"/>
  <c r="R508" i="13"/>
  <c r="P508" i="13"/>
  <c r="R507" i="13"/>
  <c r="P507" i="13"/>
  <c r="R506" i="13"/>
  <c r="P506" i="13"/>
  <c r="R505" i="13"/>
  <c r="P505" i="13"/>
  <c r="R504" i="13"/>
  <c r="P504" i="13"/>
  <c r="R503" i="13"/>
  <c r="P503" i="13"/>
  <c r="R502" i="13"/>
  <c r="P502" i="13"/>
  <c r="R501" i="13"/>
  <c r="P501" i="13"/>
  <c r="R500" i="13"/>
  <c r="P500" i="13"/>
  <c r="R499" i="13"/>
  <c r="P499" i="13"/>
  <c r="R498" i="13"/>
  <c r="P498" i="13"/>
  <c r="R497" i="13"/>
  <c r="P497" i="13"/>
  <c r="R496" i="13"/>
  <c r="P496" i="13"/>
  <c r="R495" i="13"/>
  <c r="P495" i="13"/>
  <c r="R494" i="13"/>
  <c r="P494" i="13"/>
  <c r="R493" i="13"/>
  <c r="P493" i="13"/>
  <c r="R492" i="13"/>
  <c r="P492" i="13"/>
  <c r="R491" i="13"/>
  <c r="P491" i="13"/>
  <c r="R490" i="13"/>
  <c r="P490" i="13"/>
  <c r="R489" i="13"/>
  <c r="P489" i="13"/>
  <c r="R488" i="13"/>
  <c r="P488" i="13"/>
  <c r="R487" i="13"/>
  <c r="P487" i="13"/>
  <c r="R486" i="13"/>
  <c r="P486" i="13"/>
  <c r="R485" i="13"/>
  <c r="P485" i="13"/>
  <c r="R484" i="13"/>
  <c r="P484" i="13"/>
  <c r="R483" i="13"/>
  <c r="P483" i="13"/>
  <c r="R482" i="13"/>
  <c r="P482" i="13"/>
  <c r="R481" i="13"/>
  <c r="P481" i="13"/>
  <c r="R480" i="13"/>
  <c r="P480" i="13"/>
  <c r="R479" i="13"/>
  <c r="P479" i="13"/>
  <c r="R478" i="13"/>
  <c r="P478" i="13"/>
  <c r="R477" i="13"/>
  <c r="P477" i="13"/>
  <c r="R476" i="13"/>
  <c r="P476" i="13"/>
  <c r="R475" i="13"/>
  <c r="P475" i="13"/>
  <c r="R474" i="13"/>
  <c r="P474" i="13"/>
  <c r="R473" i="13"/>
  <c r="P473" i="13"/>
  <c r="R472" i="13"/>
  <c r="P472" i="13"/>
  <c r="R471" i="13"/>
  <c r="P471" i="13"/>
  <c r="R470" i="13"/>
  <c r="P470" i="13"/>
  <c r="R469" i="13"/>
  <c r="P469" i="13"/>
  <c r="R468" i="13"/>
  <c r="P468" i="13"/>
  <c r="R467" i="13"/>
  <c r="P467" i="13"/>
  <c r="R466" i="13"/>
  <c r="P466" i="13"/>
  <c r="R465" i="13"/>
  <c r="P465" i="13"/>
  <c r="R464" i="13"/>
  <c r="P464" i="13"/>
  <c r="R463" i="13"/>
  <c r="P463" i="13"/>
  <c r="R462" i="13"/>
  <c r="P462" i="13"/>
  <c r="R461" i="13"/>
  <c r="P461" i="13"/>
  <c r="R460" i="13"/>
  <c r="P460" i="13"/>
  <c r="R459" i="13"/>
  <c r="P459" i="13"/>
  <c r="R458" i="13"/>
  <c r="P458" i="13"/>
  <c r="R457" i="13"/>
  <c r="P457" i="13"/>
  <c r="R456" i="13"/>
  <c r="P456" i="13"/>
  <c r="R455" i="13"/>
  <c r="P455" i="13"/>
  <c r="R454" i="13"/>
  <c r="P454" i="13"/>
  <c r="R453" i="13"/>
  <c r="P453" i="13"/>
  <c r="R452" i="13"/>
  <c r="P452" i="13"/>
  <c r="R451" i="13"/>
  <c r="P451" i="13"/>
  <c r="R450" i="13"/>
  <c r="P450" i="13"/>
  <c r="R449" i="13"/>
  <c r="P449" i="13"/>
  <c r="R448" i="13"/>
  <c r="P448" i="13"/>
  <c r="R447" i="13"/>
  <c r="P447" i="13"/>
  <c r="R446" i="13"/>
  <c r="P446" i="13"/>
  <c r="R445" i="13"/>
  <c r="P445" i="13"/>
  <c r="R444" i="13"/>
  <c r="P444" i="13"/>
  <c r="R443" i="13"/>
  <c r="P443" i="13"/>
  <c r="R442" i="13"/>
  <c r="P442" i="13"/>
  <c r="R441" i="13"/>
  <c r="P441" i="13"/>
  <c r="R440" i="13"/>
  <c r="P440" i="13"/>
  <c r="R439" i="13"/>
  <c r="P439" i="13"/>
  <c r="R438" i="13"/>
  <c r="P438" i="13"/>
  <c r="R437" i="13"/>
  <c r="P437" i="13"/>
  <c r="R436" i="13"/>
  <c r="P436" i="13"/>
  <c r="R435" i="13"/>
  <c r="P435" i="13"/>
  <c r="R434" i="13"/>
  <c r="P434" i="13"/>
  <c r="R433" i="13"/>
  <c r="P433" i="13"/>
  <c r="R432" i="13"/>
  <c r="P432" i="13"/>
  <c r="R431" i="13"/>
  <c r="P431" i="13"/>
  <c r="R430" i="13"/>
  <c r="P430" i="13"/>
  <c r="R429" i="13"/>
  <c r="P429" i="13"/>
  <c r="R428" i="13"/>
  <c r="P428" i="13"/>
  <c r="R427" i="13"/>
  <c r="P427" i="13"/>
  <c r="R426" i="13"/>
  <c r="P426" i="13"/>
  <c r="R425" i="13"/>
  <c r="P425" i="13"/>
  <c r="R424" i="13"/>
  <c r="P424" i="13"/>
  <c r="R423" i="13"/>
  <c r="P423" i="13"/>
  <c r="R422" i="13"/>
  <c r="P422" i="13"/>
  <c r="R421" i="13"/>
  <c r="P421" i="13"/>
  <c r="R420" i="13"/>
  <c r="P420" i="13"/>
  <c r="R419" i="13"/>
  <c r="P419" i="13"/>
  <c r="R418" i="13"/>
  <c r="P418" i="13"/>
  <c r="R417" i="13"/>
  <c r="P417" i="13"/>
  <c r="R416" i="13"/>
  <c r="P416" i="13"/>
  <c r="R415" i="13"/>
  <c r="P415" i="13"/>
  <c r="R414" i="13"/>
  <c r="P414" i="13"/>
  <c r="R413" i="13"/>
  <c r="P413" i="13"/>
  <c r="R412" i="13"/>
  <c r="P412" i="13"/>
  <c r="R411" i="13"/>
  <c r="P411" i="13"/>
  <c r="R410" i="13"/>
  <c r="P410" i="13"/>
  <c r="R409" i="13"/>
  <c r="P409" i="13"/>
  <c r="R408" i="13"/>
  <c r="P408" i="13"/>
  <c r="R407" i="13"/>
  <c r="P407" i="13"/>
  <c r="R406" i="13"/>
  <c r="P406" i="13"/>
  <c r="R405" i="13"/>
  <c r="P405" i="13"/>
  <c r="R404" i="13"/>
  <c r="P404" i="13"/>
  <c r="R403" i="13"/>
  <c r="P403" i="13"/>
  <c r="R402" i="13"/>
  <c r="P402" i="13"/>
  <c r="R401" i="13"/>
  <c r="P401" i="13"/>
  <c r="R400" i="13"/>
  <c r="P400" i="13"/>
  <c r="R399" i="13"/>
  <c r="P399" i="13"/>
  <c r="R398" i="13"/>
  <c r="P398" i="13"/>
  <c r="R397" i="13"/>
  <c r="P397" i="13"/>
  <c r="R396" i="13"/>
  <c r="P396" i="13"/>
  <c r="R395" i="13"/>
  <c r="P395" i="13"/>
  <c r="R394" i="13"/>
  <c r="P394" i="13"/>
  <c r="R393" i="13"/>
  <c r="P393" i="13"/>
  <c r="R392" i="13"/>
  <c r="P392" i="13"/>
  <c r="R391" i="13"/>
  <c r="P391" i="13"/>
  <c r="R390" i="13"/>
  <c r="P390" i="13"/>
  <c r="R389" i="13"/>
  <c r="P389" i="13"/>
  <c r="R388" i="13"/>
  <c r="P388" i="13"/>
  <c r="R387" i="13"/>
  <c r="P387" i="13"/>
  <c r="R386" i="13"/>
  <c r="P386" i="13"/>
  <c r="R385" i="13"/>
  <c r="P385" i="13"/>
  <c r="R384" i="13"/>
  <c r="P384" i="13"/>
  <c r="R383" i="13"/>
  <c r="P383" i="13"/>
  <c r="R382" i="13"/>
  <c r="P382" i="13"/>
  <c r="R381" i="13"/>
  <c r="P381" i="13"/>
  <c r="R380" i="13"/>
  <c r="P380" i="13"/>
  <c r="R379" i="13"/>
  <c r="P379" i="13"/>
  <c r="R378" i="13"/>
  <c r="P378" i="13"/>
  <c r="G379" i="13"/>
  <c r="R377" i="13"/>
  <c r="P377" i="13"/>
  <c r="G378" i="13"/>
  <c r="R376" i="13"/>
  <c r="P376" i="13"/>
  <c r="G377" i="13"/>
  <c r="R375" i="13"/>
  <c r="P375" i="13"/>
  <c r="G376" i="13"/>
  <c r="R374" i="13"/>
  <c r="P374" i="13"/>
  <c r="G375" i="13"/>
  <c r="R373" i="13"/>
  <c r="P373" i="13"/>
  <c r="G374" i="13"/>
  <c r="R372" i="13"/>
  <c r="P372" i="13"/>
  <c r="G373" i="13"/>
  <c r="R371" i="13"/>
  <c r="P371" i="13"/>
  <c r="G372" i="13"/>
  <c r="R370" i="13"/>
  <c r="P370" i="13"/>
  <c r="G371" i="13"/>
  <c r="R369" i="13"/>
  <c r="P369" i="13"/>
  <c r="G370" i="13"/>
  <c r="R368" i="13"/>
  <c r="P368" i="13"/>
  <c r="G369" i="13"/>
  <c r="R367" i="13"/>
  <c r="P367" i="13"/>
  <c r="G368" i="13"/>
  <c r="R366" i="13"/>
  <c r="P366" i="13"/>
  <c r="G367" i="13"/>
  <c r="R365" i="13"/>
  <c r="P365" i="13"/>
  <c r="G366" i="13"/>
  <c r="R364" i="13"/>
  <c r="P364" i="13"/>
  <c r="G365" i="13"/>
  <c r="R363" i="13"/>
  <c r="P363" i="13"/>
  <c r="G364" i="13"/>
  <c r="R362" i="13"/>
  <c r="P362" i="13"/>
  <c r="G363" i="13"/>
  <c r="R361" i="13"/>
  <c r="P361" i="13"/>
  <c r="G362" i="13"/>
  <c r="R360" i="13"/>
  <c r="P360" i="13"/>
  <c r="G361" i="13"/>
  <c r="R359" i="13"/>
  <c r="P359" i="13"/>
  <c r="G360" i="13"/>
  <c r="R358" i="13"/>
  <c r="P358" i="13"/>
  <c r="G359" i="13"/>
  <c r="R357" i="13"/>
  <c r="P357" i="13"/>
  <c r="G358" i="13"/>
  <c r="R356" i="13"/>
  <c r="P356" i="13"/>
  <c r="G357" i="13"/>
  <c r="R355" i="13"/>
  <c r="P355" i="13"/>
  <c r="G356" i="13"/>
  <c r="R354" i="13"/>
  <c r="P354" i="13"/>
  <c r="G355" i="13"/>
  <c r="R353" i="13"/>
  <c r="P353" i="13"/>
  <c r="G354" i="13"/>
  <c r="R352" i="13"/>
  <c r="P352" i="13"/>
  <c r="G353" i="13"/>
  <c r="R351" i="13"/>
  <c r="P351" i="13"/>
  <c r="G352" i="13"/>
  <c r="R350" i="13"/>
  <c r="P350" i="13"/>
  <c r="G351" i="13"/>
  <c r="R349" i="13"/>
  <c r="P349" i="13"/>
  <c r="G350" i="13"/>
  <c r="R348" i="13"/>
  <c r="P348" i="13"/>
  <c r="G349" i="13"/>
  <c r="R347" i="13"/>
  <c r="P347" i="13"/>
  <c r="R346" i="13"/>
  <c r="P346" i="13"/>
  <c r="G347" i="13"/>
  <c r="R345" i="13"/>
  <c r="P345" i="13"/>
  <c r="G346" i="13"/>
  <c r="R344" i="13"/>
  <c r="P344" i="13"/>
  <c r="G345" i="13"/>
  <c r="R343" i="13"/>
  <c r="P343" i="13"/>
  <c r="G344" i="13"/>
  <c r="R342" i="13"/>
  <c r="P342" i="13"/>
  <c r="G343" i="13"/>
  <c r="R341" i="13"/>
  <c r="P341" i="13"/>
  <c r="G342" i="13"/>
  <c r="R340" i="13"/>
  <c r="P340" i="13"/>
  <c r="G341" i="13"/>
  <c r="R339" i="13"/>
  <c r="P339" i="13"/>
  <c r="G340" i="13"/>
  <c r="R338" i="13"/>
  <c r="P338" i="13"/>
  <c r="G339" i="13"/>
  <c r="R337" i="13"/>
  <c r="P337" i="13"/>
  <c r="G338" i="13"/>
  <c r="R336" i="13"/>
  <c r="P336" i="13"/>
  <c r="G337" i="13"/>
  <c r="R335" i="13"/>
  <c r="P335" i="13"/>
  <c r="G336" i="13"/>
  <c r="R334" i="13"/>
  <c r="P334" i="13"/>
  <c r="G335" i="13"/>
  <c r="R333" i="13"/>
  <c r="P333" i="13"/>
  <c r="G334" i="13"/>
  <c r="R332" i="13"/>
  <c r="P332" i="13"/>
  <c r="G333" i="13"/>
  <c r="R331" i="13"/>
  <c r="P331" i="13"/>
  <c r="G332" i="13"/>
  <c r="R330" i="13"/>
  <c r="P330" i="13"/>
  <c r="G331" i="13"/>
  <c r="R329" i="13"/>
  <c r="P329" i="13"/>
  <c r="G330" i="13"/>
  <c r="R328" i="13"/>
  <c r="P328" i="13"/>
  <c r="G329" i="13"/>
  <c r="R327" i="13"/>
  <c r="P327" i="13"/>
  <c r="G328" i="13"/>
  <c r="R326" i="13"/>
  <c r="P326" i="13"/>
  <c r="G327" i="13"/>
  <c r="R325" i="13"/>
  <c r="P325" i="13"/>
  <c r="G326" i="13"/>
  <c r="R324" i="13"/>
  <c r="P324" i="13"/>
  <c r="G325" i="13"/>
  <c r="R323" i="13"/>
  <c r="P323" i="13"/>
  <c r="G324" i="13"/>
  <c r="R322" i="13"/>
  <c r="P322" i="13"/>
  <c r="G323" i="13"/>
  <c r="R321" i="13"/>
  <c r="P321" i="13"/>
  <c r="G322" i="13"/>
  <c r="R320" i="13"/>
  <c r="P320" i="13"/>
  <c r="G321" i="13"/>
  <c r="R319" i="13"/>
  <c r="P319" i="13"/>
  <c r="G320" i="13"/>
  <c r="R318" i="13"/>
  <c r="P318" i="13"/>
  <c r="G319" i="13"/>
  <c r="R317" i="13"/>
  <c r="P317" i="13"/>
  <c r="G318" i="13"/>
  <c r="R316" i="13"/>
  <c r="P316" i="13"/>
  <c r="G317" i="13"/>
  <c r="R315" i="13"/>
  <c r="P315" i="13"/>
  <c r="R314" i="13"/>
  <c r="P314" i="13"/>
  <c r="G315" i="13"/>
  <c r="R313" i="13"/>
  <c r="P313" i="13"/>
  <c r="G314" i="13"/>
  <c r="R312" i="13"/>
  <c r="P312" i="13"/>
  <c r="G313" i="13"/>
  <c r="R311" i="13"/>
  <c r="P311" i="13"/>
  <c r="G312" i="13"/>
  <c r="R310" i="13"/>
  <c r="P310" i="13"/>
  <c r="G311" i="13"/>
  <c r="R309" i="13"/>
  <c r="P309" i="13"/>
  <c r="G310" i="13"/>
  <c r="R308" i="13"/>
  <c r="P308" i="13"/>
  <c r="G309" i="13"/>
  <c r="R307" i="13"/>
  <c r="P307" i="13"/>
  <c r="G308" i="13"/>
  <c r="R306" i="13"/>
  <c r="P306" i="13"/>
  <c r="G307" i="13"/>
  <c r="R305" i="13"/>
  <c r="P305" i="13"/>
  <c r="G306" i="13"/>
  <c r="R304" i="13"/>
  <c r="P304" i="13"/>
  <c r="G305" i="13"/>
  <c r="R303" i="13"/>
  <c r="P303" i="13"/>
  <c r="G304" i="13"/>
  <c r="R302" i="13"/>
  <c r="P302" i="13"/>
  <c r="G303" i="13"/>
  <c r="R301" i="13"/>
  <c r="P301" i="13"/>
  <c r="G302" i="13"/>
  <c r="R300" i="13"/>
  <c r="P300" i="13"/>
  <c r="G301" i="13"/>
  <c r="R299" i="13"/>
  <c r="P299" i="13"/>
  <c r="G300" i="13"/>
  <c r="R298" i="13"/>
  <c r="P298" i="13"/>
  <c r="G299" i="13"/>
  <c r="R297" i="13"/>
  <c r="P297" i="13"/>
  <c r="G298" i="13"/>
  <c r="R296" i="13"/>
  <c r="P296" i="13"/>
  <c r="G297" i="13"/>
  <c r="R295" i="13"/>
  <c r="P295" i="13"/>
  <c r="G296" i="13"/>
  <c r="R294" i="13"/>
  <c r="P294" i="13"/>
  <c r="G295" i="13"/>
  <c r="R293" i="13"/>
  <c r="P293" i="13"/>
  <c r="G294" i="13"/>
  <c r="R292" i="13"/>
  <c r="P292" i="13"/>
  <c r="G293" i="13"/>
  <c r="R291" i="13"/>
  <c r="P291" i="13"/>
  <c r="G292" i="13"/>
  <c r="R290" i="13"/>
  <c r="P290" i="13"/>
  <c r="G291" i="13"/>
  <c r="R289" i="13"/>
  <c r="P289" i="13"/>
  <c r="G290" i="13"/>
  <c r="R288" i="13"/>
  <c r="P288" i="13"/>
  <c r="G289" i="13"/>
  <c r="R287" i="13"/>
  <c r="P287" i="13"/>
  <c r="G288" i="13"/>
  <c r="R286" i="13"/>
  <c r="P286" i="13"/>
  <c r="G287" i="13"/>
  <c r="R285" i="13"/>
  <c r="P285" i="13"/>
  <c r="G286" i="13"/>
  <c r="R284" i="13"/>
  <c r="P284" i="13"/>
  <c r="G285" i="13"/>
  <c r="R283" i="13"/>
  <c r="P283" i="13"/>
  <c r="R282" i="13"/>
  <c r="P282" i="13"/>
  <c r="G283" i="13"/>
  <c r="R281" i="13"/>
  <c r="P281" i="13"/>
  <c r="G282" i="13"/>
  <c r="R280" i="13"/>
  <c r="P280" i="13"/>
  <c r="G281" i="13"/>
  <c r="R279" i="13"/>
  <c r="P279" i="13"/>
  <c r="G280" i="13"/>
  <c r="R278" i="13"/>
  <c r="P278" i="13"/>
  <c r="G279" i="13"/>
  <c r="R277" i="13"/>
  <c r="P277" i="13"/>
  <c r="G278" i="13"/>
  <c r="R276" i="13"/>
  <c r="P276" i="13"/>
  <c r="G277" i="13"/>
  <c r="R275" i="13"/>
  <c r="P275" i="13"/>
  <c r="G276" i="13"/>
  <c r="R274" i="13"/>
  <c r="P274" i="13"/>
  <c r="G275" i="13"/>
  <c r="R273" i="13"/>
  <c r="P273" i="13"/>
  <c r="G274" i="13"/>
  <c r="R272" i="13"/>
  <c r="P272" i="13"/>
  <c r="G273" i="13"/>
  <c r="R271" i="13"/>
  <c r="P271" i="13"/>
  <c r="G272" i="13"/>
  <c r="R270" i="13"/>
  <c r="P270" i="13"/>
  <c r="G271" i="13"/>
  <c r="R269" i="13"/>
  <c r="P269" i="13"/>
  <c r="G270" i="13"/>
  <c r="R268" i="13"/>
  <c r="P268" i="13"/>
  <c r="G269" i="13"/>
  <c r="R267" i="13"/>
  <c r="P267" i="13"/>
  <c r="G268" i="13"/>
  <c r="R266" i="13"/>
  <c r="P266" i="13"/>
  <c r="G267" i="13"/>
  <c r="R265" i="13"/>
  <c r="P265" i="13"/>
  <c r="G266" i="13"/>
  <c r="R264" i="13"/>
  <c r="P264" i="13"/>
  <c r="G265" i="13"/>
  <c r="R263" i="13"/>
  <c r="P263" i="13"/>
  <c r="G264" i="13"/>
  <c r="R262" i="13"/>
  <c r="P262" i="13"/>
  <c r="G263" i="13"/>
  <c r="R261" i="13"/>
  <c r="P261" i="13"/>
  <c r="G262" i="13"/>
  <c r="R260" i="13"/>
  <c r="P260" i="13"/>
  <c r="G261" i="13"/>
  <c r="R259" i="13"/>
  <c r="P259" i="13"/>
  <c r="G260" i="13"/>
  <c r="R258" i="13"/>
  <c r="P258" i="13"/>
  <c r="G259" i="13"/>
  <c r="R257" i="13"/>
  <c r="P257" i="13"/>
  <c r="G258" i="13"/>
  <c r="R256" i="13"/>
  <c r="P256" i="13"/>
  <c r="G257" i="13"/>
  <c r="R255" i="13"/>
  <c r="P255" i="13"/>
  <c r="G256" i="13"/>
  <c r="R254" i="13"/>
  <c r="P254" i="13"/>
  <c r="G255" i="13"/>
  <c r="R253" i="13"/>
  <c r="P253" i="13"/>
  <c r="G254" i="13"/>
  <c r="R252" i="13"/>
  <c r="P252" i="13"/>
  <c r="G253" i="13"/>
  <c r="R251" i="13"/>
  <c r="P251" i="13"/>
  <c r="R250" i="13"/>
  <c r="P250" i="13"/>
  <c r="R249" i="13"/>
  <c r="P249" i="13"/>
  <c r="R248" i="13"/>
  <c r="P248" i="13"/>
  <c r="R247" i="13"/>
  <c r="P247" i="13"/>
  <c r="R246" i="13"/>
  <c r="P246" i="13"/>
  <c r="R245" i="13"/>
  <c r="P245" i="13"/>
  <c r="R244" i="13"/>
  <c r="P244" i="13"/>
  <c r="R243" i="13"/>
  <c r="P243" i="13"/>
  <c r="R242" i="13"/>
  <c r="P242" i="13"/>
  <c r="R241" i="13"/>
  <c r="P241" i="13"/>
  <c r="R240" i="13"/>
  <c r="P240" i="13"/>
  <c r="R239" i="13"/>
  <c r="P239" i="13"/>
  <c r="R238" i="13"/>
  <c r="P238" i="13"/>
  <c r="R237" i="13"/>
  <c r="P237" i="13"/>
  <c r="R236" i="13"/>
  <c r="P236" i="13"/>
  <c r="R235" i="13"/>
  <c r="P235" i="13"/>
  <c r="R234" i="13"/>
  <c r="P234" i="13"/>
  <c r="R233" i="13"/>
  <c r="P233" i="13"/>
  <c r="R232" i="13"/>
  <c r="P232" i="13"/>
  <c r="R231" i="13"/>
  <c r="P231" i="13"/>
  <c r="R230" i="13"/>
  <c r="P230" i="13"/>
  <c r="R229" i="13"/>
  <c r="P229" i="13"/>
  <c r="R228" i="13"/>
  <c r="P228" i="13"/>
  <c r="R227" i="13"/>
  <c r="P227" i="13"/>
  <c r="R226" i="13"/>
  <c r="P226" i="13"/>
  <c r="R225" i="13"/>
  <c r="P225" i="13"/>
  <c r="R224" i="13"/>
  <c r="P224" i="13"/>
  <c r="R223" i="13"/>
  <c r="P223" i="13"/>
  <c r="R222" i="13"/>
  <c r="P222" i="13"/>
  <c r="R221" i="13"/>
  <c r="P221" i="13"/>
  <c r="R220" i="13"/>
  <c r="P220" i="13"/>
  <c r="R219" i="13"/>
  <c r="P219" i="13"/>
  <c r="R218" i="13"/>
  <c r="P218" i="13"/>
  <c r="R217" i="13"/>
  <c r="P217" i="13"/>
  <c r="R216" i="13"/>
  <c r="P216" i="13"/>
  <c r="R215" i="13"/>
  <c r="P215" i="13"/>
  <c r="R214" i="13"/>
  <c r="P214" i="13"/>
  <c r="R213" i="13"/>
  <c r="P213" i="13"/>
  <c r="R212" i="13"/>
  <c r="P212" i="13"/>
  <c r="R211" i="13"/>
  <c r="P211" i="13"/>
  <c r="R210" i="13"/>
  <c r="P210" i="13"/>
  <c r="R209" i="13"/>
  <c r="P209" i="13"/>
  <c r="R208" i="13"/>
  <c r="P208" i="13"/>
  <c r="R207" i="13"/>
  <c r="P207" i="13"/>
  <c r="R206" i="13"/>
  <c r="P206" i="13"/>
  <c r="R205" i="13"/>
  <c r="P205" i="13"/>
  <c r="R204" i="13"/>
  <c r="P204" i="13"/>
  <c r="R203" i="13"/>
  <c r="P203" i="13"/>
  <c r="R202" i="13"/>
  <c r="P202" i="13"/>
  <c r="R201" i="13"/>
  <c r="P201" i="13"/>
  <c r="R200" i="13"/>
  <c r="P200" i="13"/>
  <c r="R199" i="13"/>
  <c r="P199" i="13"/>
  <c r="R198" i="13"/>
  <c r="P198" i="13"/>
  <c r="R197" i="13"/>
  <c r="P197" i="13"/>
  <c r="R196" i="13"/>
  <c r="P196" i="13"/>
  <c r="R195" i="13"/>
  <c r="P195" i="13"/>
  <c r="R194" i="13"/>
  <c r="P194" i="13"/>
  <c r="R193" i="13"/>
  <c r="P193" i="13"/>
  <c r="R192" i="13"/>
  <c r="P192" i="13"/>
  <c r="R191" i="13"/>
  <c r="P191" i="13"/>
  <c r="R190" i="13"/>
  <c r="P190" i="13"/>
  <c r="R189" i="13"/>
  <c r="P189" i="13"/>
  <c r="R188" i="13"/>
  <c r="P188" i="13"/>
  <c r="R187" i="13"/>
  <c r="P187" i="13"/>
  <c r="R186" i="13"/>
  <c r="P186" i="13"/>
  <c r="R185" i="13"/>
  <c r="P185" i="13"/>
  <c r="R184" i="13"/>
  <c r="P184" i="13"/>
  <c r="R183" i="13"/>
  <c r="P183" i="13"/>
  <c r="R182" i="13"/>
  <c r="P182" i="13"/>
  <c r="R181" i="13"/>
  <c r="P181" i="13"/>
  <c r="R180" i="13"/>
  <c r="P180" i="13"/>
  <c r="R179" i="13"/>
  <c r="P179" i="13"/>
  <c r="R178" i="13"/>
  <c r="P178" i="13"/>
  <c r="R177" i="13"/>
  <c r="P177" i="13"/>
  <c r="R176" i="13"/>
  <c r="P176" i="13"/>
  <c r="R175" i="13"/>
  <c r="P175" i="13"/>
  <c r="R174" i="13"/>
  <c r="P174" i="13"/>
  <c r="R173" i="13"/>
  <c r="P173" i="13"/>
  <c r="R172" i="13"/>
  <c r="P172" i="13"/>
  <c r="R171" i="13"/>
  <c r="P171" i="13"/>
  <c r="R170" i="13"/>
  <c r="P170" i="13"/>
  <c r="R169" i="13"/>
  <c r="P169" i="13"/>
  <c r="R168" i="13"/>
  <c r="P168" i="13"/>
  <c r="R167" i="13"/>
  <c r="P167" i="13"/>
  <c r="R166" i="13"/>
  <c r="P166" i="13"/>
  <c r="R165" i="13"/>
  <c r="P165" i="13"/>
  <c r="R164" i="13"/>
  <c r="P164" i="13"/>
  <c r="R163" i="13"/>
  <c r="P163" i="13"/>
  <c r="R162" i="13"/>
  <c r="P162" i="13"/>
  <c r="R161" i="13"/>
  <c r="P161" i="13"/>
  <c r="R160" i="13"/>
  <c r="P160" i="13"/>
  <c r="R159" i="13"/>
  <c r="P159" i="13"/>
  <c r="R158" i="13"/>
  <c r="P158" i="13"/>
  <c r="R157" i="13"/>
  <c r="P157" i="13"/>
  <c r="R156" i="13"/>
  <c r="P156" i="13"/>
  <c r="R155" i="13"/>
  <c r="P155" i="13"/>
  <c r="R154" i="13"/>
  <c r="P154" i="13"/>
  <c r="R153" i="13"/>
  <c r="P153" i="13"/>
  <c r="R152" i="13"/>
  <c r="P152" i="13"/>
  <c r="R151" i="13"/>
  <c r="P151" i="13"/>
  <c r="R150" i="13"/>
  <c r="P150" i="13"/>
  <c r="R149" i="13"/>
  <c r="P149" i="13"/>
  <c r="R148" i="13"/>
  <c r="P148" i="13"/>
  <c r="R147" i="13"/>
  <c r="P147" i="13"/>
  <c r="R146" i="13"/>
  <c r="P146" i="13"/>
  <c r="R145" i="13"/>
  <c r="P145" i="13"/>
  <c r="R144" i="13"/>
  <c r="P144" i="13"/>
  <c r="R143" i="13"/>
  <c r="P143" i="13"/>
  <c r="R142" i="13"/>
  <c r="P142" i="13"/>
  <c r="R141" i="13"/>
  <c r="P141" i="13"/>
  <c r="R140" i="13"/>
  <c r="P140" i="13"/>
  <c r="R139" i="13"/>
  <c r="P139" i="13"/>
  <c r="R138" i="13"/>
  <c r="P138" i="13"/>
  <c r="R137" i="13"/>
  <c r="P137" i="13"/>
  <c r="R136" i="13"/>
  <c r="P136" i="13"/>
  <c r="R135" i="13"/>
  <c r="P135" i="13"/>
  <c r="R134" i="13"/>
  <c r="P134" i="13"/>
  <c r="R133" i="13"/>
  <c r="P133" i="13"/>
  <c r="R132" i="13"/>
  <c r="P132" i="13"/>
  <c r="R131" i="13"/>
  <c r="P131" i="13"/>
  <c r="R130" i="13"/>
  <c r="P130" i="13"/>
  <c r="R129" i="13"/>
  <c r="P129" i="13"/>
  <c r="R128" i="13"/>
  <c r="P128" i="13"/>
  <c r="R127" i="13"/>
  <c r="P127" i="13"/>
  <c r="R126" i="13"/>
  <c r="P126" i="13"/>
  <c r="R125" i="13"/>
  <c r="P125" i="13"/>
  <c r="R124" i="13"/>
  <c r="P124" i="13"/>
  <c r="R123" i="13"/>
  <c r="P123" i="13"/>
  <c r="R122" i="13"/>
  <c r="P122" i="13"/>
  <c r="R121" i="13"/>
  <c r="P121" i="13"/>
  <c r="R120" i="13"/>
  <c r="P120" i="13"/>
  <c r="R119" i="13"/>
  <c r="P119" i="13"/>
  <c r="R118" i="13"/>
  <c r="P118" i="13"/>
  <c r="R117" i="13"/>
  <c r="P117" i="13"/>
  <c r="R116" i="13"/>
  <c r="P116" i="13"/>
  <c r="R115" i="13"/>
  <c r="P115" i="13"/>
  <c r="R114" i="13"/>
  <c r="P114" i="13"/>
  <c r="R113" i="13"/>
  <c r="P113" i="13"/>
  <c r="R112" i="13"/>
  <c r="P112" i="13"/>
  <c r="R111" i="13"/>
  <c r="P111" i="13"/>
  <c r="R110" i="13"/>
  <c r="P110" i="13"/>
  <c r="R109" i="13"/>
  <c r="P109" i="13"/>
  <c r="R108" i="13"/>
  <c r="P108" i="13"/>
  <c r="R107" i="13"/>
  <c r="P107" i="13"/>
  <c r="R106" i="13"/>
  <c r="P106" i="13"/>
  <c r="R105" i="13"/>
  <c r="P105" i="13"/>
  <c r="R104" i="13"/>
  <c r="P104" i="13"/>
  <c r="R103" i="13"/>
  <c r="P103" i="13"/>
  <c r="R102" i="13"/>
  <c r="P102" i="13"/>
  <c r="R101" i="13"/>
  <c r="P101" i="13"/>
  <c r="R100" i="13"/>
  <c r="P100" i="13"/>
  <c r="R99" i="13"/>
  <c r="P99" i="13"/>
  <c r="R98" i="13"/>
  <c r="P98" i="13"/>
  <c r="R97" i="13"/>
  <c r="P97" i="13"/>
  <c r="R96" i="13"/>
  <c r="P96" i="13"/>
  <c r="R95" i="13"/>
  <c r="P95" i="13"/>
  <c r="R94" i="13"/>
  <c r="P94" i="13"/>
  <c r="R93" i="13"/>
  <c r="P93" i="13"/>
  <c r="R92" i="13"/>
  <c r="P92" i="13"/>
  <c r="R91" i="13"/>
  <c r="P91" i="13"/>
  <c r="R90" i="13"/>
  <c r="P90" i="13"/>
  <c r="R89" i="13"/>
  <c r="P89" i="13"/>
  <c r="R88" i="13"/>
  <c r="P88" i="13"/>
  <c r="R87" i="13"/>
  <c r="P87" i="13"/>
  <c r="R86" i="13"/>
  <c r="P86" i="13"/>
  <c r="R85" i="13"/>
  <c r="P85" i="13"/>
  <c r="R84" i="13"/>
  <c r="P84" i="13"/>
  <c r="R83" i="13"/>
  <c r="P83" i="13"/>
  <c r="R82" i="13"/>
  <c r="P82" i="13"/>
  <c r="R81" i="13"/>
  <c r="P81" i="13"/>
  <c r="R80" i="13"/>
  <c r="P80" i="13"/>
  <c r="R79" i="13"/>
  <c r="P79" i="13"/>
  <c r="R78" i="13"/>
  <c r="P78" i="13"/>
  <c r="R77" i="13"/>
  <c r="P77" i="13"/>
  <c r="R76" i="13"/>
  <c r="P76" i="13"/>
  <c r="R75" i="13"/>
  <c r="P75" i="13"/>
  <c r="R74" i="13"/>
  <c r="P74" i="13"/>
  <c r="R73" i="13"/>
  <c r="P73" i="13"/>
  <c r="R72" i="13"/>
  <c r="P72" i="13"/>
  <c r="R71" i="13"/>
  <c r="P71" i="13"/>
  <c r="R70" i="13"/>
  <c r="P70" i="13"/>
  <c r="R69" i="13"/>
  <c r="P69" i="13"/>
  <c r="R68" i="13"/>
  <c r="P68" i="13"/>
  <c r="R67" i="13"/>
  <c r="P67" i="13"/>
  <c r="R66" i="13"/>
  <c r="P66" i="13"/>
  <c r="R65" i="13"/>
  <c r="P65" i="13"/>
  <c r="R64" i="13"/>
  <c r="P64" i="13"/>
  <c r="R63" i="13"/>
  <c r="P63" i="13"/>
  <c r="R62" i="13"/>
  <c r="P62" i="13"/>
  <c r="R61" i="13"/>
  <c r="P61" i="13"/>
  <c r="R60" i="13"/>
  <c r="P60" i="13"/>
  <c r="R59" i="13"/>
  <c r="P59" i="13"/>
  <c r="R58" i="13"/>
  <c r="P58" i="13"/>
  <c r="R57" i="13"/>
  <c r="P57" i="13"/>
  <c r="R56" i="13"/>
  <c r="P56" i="13"/>
  <c r="R55" i="13"/>
  <c r="P55" i="13"/>
  <c r="R54" i="13"/>
  <c r="P54" i="13"/>
  <c r="R53" i="13"/>
  <c r="P53" i="13"/>
  <c r="R52" i="13"/>
  <c r="P52" i="13"/>
  <c r="R51" i="13"/>
  <c r="P51" i="13"/>
  <c r="R50" i="13"/>
  <c r="P50" i="13"/>
  <c r="R49" i="13"/>
  <c r="P49" i="13"/>
  <c r="R48" i="13"/>
  <c r="P48" i="13"/>
  <c r="R47" i="13"/>
  <c r="P47" i="13"/>
  <c r="R46" i="13"/>
  <c r="P46" i="13"/>
  <c r="R45" i="13"/>
  <c r="P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B6" i="13"/>
  <c r="B5" i="13"/>
  <c r="W4" i="13"/>
  <c r="V4" i="13"/>
  <c r="U4" i="13"/>
  <c r="T4" i="13"/>
  <c r="R4" i="13"/>
  <c r="Q4" i="13"/>
  <c r="P4" i="13"/>
  <c r="O4" i="13"/>
  <c r="M4" i="13"/>
  <c r="L4" i="13"/>
  <c r="J4" i="13"/>
  <c r="I4" i="13"/>
  <c r="G4" i="13"/>
  <c r="F4" i="13"/>
  <c r="E4" i="13"/>
  <c r="D4" i="13"/>
  <c r="C4" i="13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G378" i="11"/>
  <c r="R377" i="11"/>
  <c r="P377" i="11"/>
  <c r="G377" i="11"/>
  <c r="R376" i="11"/>
  <c r="P376" i="11"/>
  <c r="G376" i="11"/>
  <c r="R375" i="11"/>
  <c r="P375" i="11"/>
  <c r="G375" i="11"/>
  <c r="R374" i="11"/>
  <c r="P374" i="11"/>
  <c r="G374" i="11"/>
  <c r="R373" i="11"/>
  <c r="P373" i="11"/>
  <c r="G373" i="11"/>
  <c r="R372" i="11"/>
  <c r="P372" i="11"/>
  <c r="G372" i="11"/>
  <c r="R371" i="11"/>
  <c r="P371" i="11"/>
  <c r="G371" i="11"/>
  <c r="R370" i="11"/>
  <c r="P370" i="11"/>
  <c r="G370" i="11"/>
  <c r="R369" i="11"/>
  <c r="P369" i="11"/>
  <c r="G369" i="11"/>
  <c r="R368" i="11"/>
  <c r="P368" i="11"/>
  <c r="G368" i="11"/>
  <c r="R367" i="11"/>
  <c r="P367" i="11"/>
  <c r="G367" i="11"/>
  <c r="R366" i="11"/>
  <c r="P366" i="11"/>
  <c r="G366" i="11"/>
  <c r="R365" i="11"/>
  <c r="P365" i="11"/>
  <c r="G365" i="11"/>
  <c r="R364" i="11"/>
  <c r="P364" i="11"/>
  <c r="G364" i="11"/>
  <c r="R363" i="11"/>
  <c r="P363" i="11"/>
  <c r="G363" i="11"/>
  <c r="R362" i="11"/>
  <c r="P362" i="11"/>
  <c r="G362" i="11"/>
  <c r="R361" i="11"/>
  <c r="P361" i="11"/>
  <c r="G361" i="11"/>
  <c r="R360" i="11"/>
  <c r="P360" i="11"/>
  <c r="G360" i="11"/>
  <c r="R359" i="11"/>
  <c r="P359" i="11"/>
  <c r="G359" i="11"/>
  <c r="R358" i="11"/>
  <c r="P358" i="11"/>
  <c r="G358" i="11"/>
  <c r="R357" i="11"/>
  <c r="P357" i="11"/>
  <c r="G357" i="11"/>
  <c r="R356" i="11"/>
  <c r="P356" i="11"/>
  <c r="G356" i="11"/>
  <c r="R355" i="11"/>
  <c r="P355" i="11"/>
  <c r="G355" i="11"/>
  <c r="R354" i="11"/>
  <c r="P354" i="11"/>
  <c r="G354" i="11"/>
  <c r="R353" i="11"/>
  <c r="P353" i="11"/>
  <c r="G353" i="11"/>
  <c r="R352" i="11"/>
  <c r="P352" i="11"/>
  <c r="G352" i="11"/>
  <c r="R351" i="11"/>
  <c r="P351" i="11"/>
  <c r="G351" i="11"/>
  <c r="R350" i="11"/>
  <c r="P350" i="11"/>
  <c r="G350" i="11"/>
  <c r="R349" i="11"/>
  <c r="P349" i="11"/>
  <c r="G349" i="11"/>
  <c r="R348" i="11"/>
  <c r="P348" i="11"/>
  <c r="G348" i="11"/>
  <c r="R347" i="11"/>
  <c r="P347" i="11"/>
  <c r="R346" i="11"/>
  <c r="P346" i="11"/>
  <c r="G346" i="11"/>
  <c r="R345" i="11"/>
  <c r="P345" i="11"/>
  <c r="G345" i="11"/>
  <c r="R344" i="11"/>
  <c r="P344" i="11"/>
  <c r="G344" i="11"/>
  <c r="R343" i="11"/>
  <c r="P343" i="11"/>
  <c r="G343" i="11"/>
  <c r="R342" i="11"/>
  <c r="P342" i="11"/>
  <c r="G342" i="11"/>
  <c r="R341" i="11"/>
  <c r="P341" i="11"/>
  <c r="G341" i="11"/>
  <c r="R340" i="11"/>
  <c r="P340" i="11"/>
  <c r="G340" i="11"/>
  <c r="R339" i="11"/>
  <c r="P339" i="11"/>
  <c r="G339" i="11"/>
  <c r="R338" i="11"/>
  <c r="P338" i="11"/>
  <c r="G338" i="11"/>
  <c r="R337" i="11"/>
  <c r="P337" i="11"/>
  <c r="G337" i="11"/>
  <c r="R336" i="11"/>
  <c r="P336" i="11"/>
  <c r="G336" i="11"/>
  <c r="R335" i="11"/>
  <c r="P335" i="11"/>
  <c r="G335" i="11"/>
  <c r="R334" i="11"/>
  <c r="P334" i="11"/>
  <c r="G334" i="11"/>
  <c r="R333" i="11"/>
  <c r="P333" i="11"/>
  <c r="G333" i="11"/>
  <c r="R332" i="11"/>
  <c r="P332" i="11"/>
  <c r="G332" i="11"/>
  <c r="R331" i="11"/>
  <c r="P331" i="11"/>
  <c r="G331" i="11"/>
  <c r="R330" i="11"/>
  <c r="P330" i="11"/>
  <c r="G330" i="11"/>
  <c r="R329" i="11"/>
  <c r="P329" i="11"/>
  <c r="G329" i="11"/>
  <c r="R328" i="11"/>
  <c r="P328" i="11"/>
  <c r="G328" i="11"/>
  <c r="R327" i="11"/>
  <c r="P327" i="11"/>
  <c r="G327" i="11"/>
  <c r="R326" i="11"/>
  <c r="P326" i="11"/>
  <c r="G326" i="11"/>
  <c r="R325" i="11"/>
  <c r="P325" i="11"/>
  <c r="G325" i="11"/>
  <c r="R324" i="11"/>
  <c r="P324" i="11"/>
  <c r="G324" i="11"/>
  <c r="R323" i="11"/>
  <c r="P323" i="11"/>
  <c r="G323" i="11"/>
  <c r="R322" i="11"/>
  <c r="P322" i="11"/>
  <c r="G322" i="11"/>
  <c r="R321" i="11"/>
  <c r="P321" i="11"/>
  <c r="G321" i="11"/>
  <c r="R320" i="11"/>
  <c r="P320" i="11"/>
  <c r="G320" i="11"/>
  <c r="R319" i="11"/>
  <c r="P319" i="11"/>
  <c r="G319" i="11"/>
  <c r="R318" i="11"/>
  <c r="P318" i="11"/>
  <c r="G318" i="11"/>
  <c r="R317" i="11"/>
  <c r="P317" i="11"/>
  <c r="G317" i="11"/>
  <c r="R316" i="11"/>
  <c r="P316" i="11"/>
  <c r="G316" i="11"/>
  <c r="R315" i="11"/>
  <c r="P315" i="11"/>
  <c r="R314" i="11"/>
  <c r="P314" i="11"/>
  <c r="G314" i="11"/>
  <c r="R313" i="11"/>
  <c r="P313" i="11"/>
  <c r="G313" i="11"/>
  <c r="R312" i="11"/>
  <c r="P312" i="11"/>
  <c r="G312" i="11"/>
  <c r="R311" i="11"/>
  <c r="P311" i="11"/>
  <c r="G311" i="11"/>
  <c r="R310" i="11"/>
  <c r="P310" i="11"/>
  <c r="G310" i="11"/>
  <c r="R309" i="11"/>
  <c r="P309" i="11"/>
  <c r="G309" i="11"/>
  <c r="R308" i="11"/>
  <c r="P308" i="11"/>
  <c r="G308" i="11"/>
  <c r="R307" i="11"/>
  <c r="P307" i="11"/>
  <c r="G307" i="11"/>
  <c r="R306" i="11"/>
  <c r="P306" i="11"/>
  <c r="G306" i="11"/>
  <c r="R305" i="11"/>
  <c r="P305" i="11"/>
  <c r="G305" i="11"/>
  <c r="R304" i="11"/>
  <c r="P304" i="11"/>
  <c r="G304" i="11"/>
  <c r="R303" i="11"/>
  <c r="P303" i="11"/>
  <c r="G303" i="11"/>
  <c r="R302" i="11"/>
  <c r="P302" i="11"/>
  <c r="G302" i="11"/>
  <c r="R301" i="11"/>
  <c r="P301" i="11"/>
  <c r="G301" i="11"/>
  <c r="R300" i="11"/>
  <c r="P300" i="11"/>
  <c r="G300" i="11"/>
  <c r="R299" i="11"/>
  <c r="P299" i="11"/>
  <c r="G299" i="11"/>
  <c r="R298" i="11"/>
  <c r="P298" i="11"/>
  <c r="G298" i="11"/>
  <c r="R297" i="11"/>
  <c r="P297" i="11"/>
  <c r="G297" i="11"/>
  <c r="R296" i="11"/>
  <c r="P296" i="11"/>
  <c r="G296" i="11"/>
  <c r="R295" i="11"/>
  <c r="P295" i="11"/>
  <c r="G295" i="11"/>
  <c r="R294" i="11"/>
  <c r="P294" i="11"/>
  <c r="G294" i="11"/>
  <c r="R293" i="11"/>
  <c r="P293" i="11"/>
  <c r="G293" i="11"/>
  <c r="R292" i="11"/>
  <c r="P292" i="11"/>
  <c r="G292" i="11"/>
  <c r="R291" i="11"/>
  <c r="P291" i="11"/>
  <c r="G291" i="11"/>
  <c r="R290" i="11"/>
  <c r="P290" i="11"/>
  <c r="G290" i="11"/>
  <c r="R289" i="11"/>
  <c r="P289" i="11"/>
  <c r="G289" i="11"/>
  <c r="R288" i="11"/>
  <c r="P288" i="11"/>
  <c r="G288" i="11"/>
  <c r="R287" i="11"/>
  <c r="P287" i="11"/>
  <c r="G287" i="11"/>
  <c r="R286" i="11"/>
  <c r="P286" i="11"/>
  <c r="G286" i="11"/>
  <c r="R285" i="11"/>
  <c r="P285" i="11"/>
  <c r="G285" i="11"/>
  <c r="R284" i="11"/>
  <c r="P284" i="11"/>
  <c r="G284" i="11"/>
  <c r="R283" i="11"/>
  <c r="P283" i="11"/>
  <c r="R282" i="11"/>
  <c r="P282" i="11"/>
  <c r="G282" i="11"/>
  <c r="R281" i="11"/>
  <c r="P281" i="11"/>
  <c r="G281" i="11"/>
  <c r="R280" i="11"/>
  <c r="P280" i="11"/>
  <c r="G280" i="11"/>
  <c r="R279" i="11"/>
  <c r="P279" i="11"/>
  <c r="G279" i="11"/>
  <c r="R278" i="11"/>
  <c r="P278" i="11"/>
  <c r="G278" i="11"/>
  <c r="R277" i="11"/>
  <c r="P277" i="11"/>
  <c r="G277" i="11"/>
  <c r="R276" i="11"/>
  <c r="P276" i="11"/>
  <c r="G276" i="11"/>
  <c r="R275" i="11"/>
  <c r="P275" i="11"/>
  <c r="G275" i="11"/>
  <c r="R274" i="11"/>
  <c r="P274" i="11"/>
  <c r="G274" i="11"/>
  <c r="R273" i="11"/>
  <c r="P273" i="11"/>
  <c r="G273" i="11"/>
  <c r="R272" i="11"/>
  <c r="P272" i="11"/>
  <c r="G272" i="11"/>
  <c r="R271" i="11"/>
  <c r="P271" i="11"/>
  <c r="G271" i="11"/>
  <c r="R270" i="11"/>
  <c r="P270" i="11"/>
  <c r="G270" i="11"/>
  <c r="R269" i="11"/>
  <c r="P269" i="11"/>
  <c r="G269" i="11"/>
  <c r="R268" i="11"/>
  <c r="P268" i="11"/>
  <c r="G268" i="11"/>
  <c r="R267" i="11"/>
  <c r="P267" i="11"/>
  <c r="R266" i="11"/>
  <c r="P266" i="11"/>
  <c r="G266" i="11"/>
  <c r="R265" i="11"/>
  <c r="P265" i="11"/>
  <c r="G265" i="11"/>
  <c r="R264" i="11"/>
  <c r="P264" i="11"/>
  <c r="G264" i="11"/>
  <c r="R263" i="11"/>
  <c r="P263" i="11"/>
  <c r="G263" i="11"/>
  <c r="R262" i="11"/>
  <c r="P262" i="11"/>
  <c r="G262" i="11"/>
  <c r="R261" i="11"/>
  <c r="P261" i="11"/>
  <c r="G261" i="11"/>
  <c r="R260" i="11"/>
  <c r="P260" i="11"/>
  <c r="G260" i="11"/>
  <c r="R259" i="11"/>
  <c r="P259" i="11"/>
  <c r="G259" i="11"/>
  <c r="R258" i="11"/>
  <c r="P258" i="11"/>
  <c r="G258" i="11"/>
  <c r="R257" i="11"/>
  <c r="P257" i="11"/>
  <c r="G257" i="11"/>
  <c r="R256" i="11"/>
  <c r="P256" i="11"/>
  <c r="G256" i="11"/>
  <c r="R255" i="11"/>
  <c r="P255" i="11"/>
  <c r="G255" i="11"/>
  <c r="R254" i="11"/>
  <c r="P254" i="11"/>
  <c r="G254" i="11"/>
  <c r="R253" i="11"/>
  <c r="P253" i="11"/>
  <c r="G253" i="11"/>
  <c r="R252" i="11"/>
  <c r="P252" i="11"/>
  <c r="G252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P51" i="11"/>
  <c r="R50" i="11"/>
  <c r="P50" i="11"/>
  <c r="R49" i="11"/>
  <c r="P49" i="11"/>
  <c r="R48" i="11"/>
  <c r="P48" i="11"/>
  <c r="R47" i="11"/>
  <c r="P47" i="11"/>
  <c r="R46" i="11"/>
  <c r="P46" i="11"/>
  <c r="R45" i="11"/>
  <c r="P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<sst xmlns="http://schemas.openxmlformats.org/spreadsheetml/2006/main" count="28425" uniqueCount="739">
  <si>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</si>
  <si>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</si>
  <si>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</si>
  <si>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</si>
  <si>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</si>
  <si>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</si>
  <si>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</si>
  <si>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</si>
  <si>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</si>
  <si>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</si>
  <si>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</si>
  <si>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</si>
  <si>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</si>
  <si>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</si>
  <si>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</si>
  <si>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</si>
  <si>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</si>
  <si>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</si>
  <si>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</si>
  <si>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MXC_08</t>
  </si>
  <si>
    <t>MXC_09</t>
  </si>
  <si>
    <t>MXC_10</t>
  </si>
  <si>
    <t>MXC_11</t>
  </si>
  <si>
    <t>MXC_12</t>
  </si>
  <si>
    <t>MXC_13</t>
  </si>
  <si>
    <t>EXT_IN_SL_00</t>
  </si>
  <si>
    <t>EXT_IN_SL_01</t>
  </si>
  <si>
    <t>EXT_IN_SL_02</t>
  </si>
  <si>
    <t>EXT_IN_SL_03</t>
  </si>
  <si>
    <t>EXT_IN_SL_04</t>
  </si>
  <si>
    <t>EXT_IN_SL_05</t>
  </si>
  <si>
    <t>EXT_IN_SL_06</t>
  </si>
  <si>
    <t>EXT_IN_SL_07</t>
  </si>
  <si>
    <t>EXT_IN_SL_08</t>
  </si>
  <si>
    <t>EXT_IN_SL_09</t>
  </si>
  <si>
    <t>EXT_IN_SL_10</t>
  </si>
  <si>
    <t>EXT_IN_SL_11</t>
  </si>
  <si>
    <t>EXT_IN_SL_12</t>
  </si>
  <si>
    <t>EXT_IN_SL_13</t>
  </si>
  <si>
    <t>EXT_IN_SL_14</t>
  </si>
  <si>
    <t>EXT_IN_SL_15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</si>
  <si>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</si>
  <si>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</si>
  <si>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</si>
  <si>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</si>
  <si>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</si>
  <si>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</si>
  <si>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</si>
  <si>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</si>
  <si>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</si>
  <si>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</si>
  <si>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</si>
  <si>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</si>
  <si>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</si>
  <si>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</si>
  <si>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</si>
  <si>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</si>
  <si>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</si>
  <si>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</si>
  <si>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</si>
  <si>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</si>
  <si>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</si>
  <si>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</si>
  <si>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0000000A</t>
  </si>
  <si>
    <t>0000000B</t>
  </si>
  <si>
    <t>0000000C</t>
  </si>
  <si>
    <t>0000000D</t>
  </si>
  <si>
    <t>0000000E</t>
  </si>
  <si>
    <t>0000000F</t>
  </si>
  <si>
    <t>0000001A</t>
  </si>
  <si>
    <t>0000001B</t>
  </si>
  <si>
    <t>0000001C</t>
  </si>
  <si>
    <t>0000001D</t>
  </si>
  <si>
    <t>0000001E</t>
  </si>
  <si>
    <t>00000000</t>
    <phoneticPr fontId="1" type="noConversion"/>
  </si>
  <si>
    <t>00000001</t>
    <phoneticPr fontId="1" type="noConversion"/>
  </si>
  <si>
    <t>00000002</t>
    <phoneticPr fontId="1" type="noConversion"/>
  </si>
  <si>
    <t>00000003</t>
    <phoneticPr fontId="1" type="noConversion"/>
  </si>
  <si>
    <t>00000004</t>
    <phoneticPr fontId="1" type="noConversion"/>
  </si>
  <si>
    <t>00000005</t>
    <phoneticPr fontId="1" type="noConversion"/>
  </si>
  <si>
    <t>00000006</t>
    <phoneticPr fontId="1" type="noConversion"/>
  </si>
  <si>
    <t>00000007</t>
    <phoneticPr fontId="1" type="noConversion"/>
  </si>
  <si>
    <t>00000008</t>
    <phoneticPr fontId="1" type="noConversion"/>
  </si>
  <si>
    <t>00000009</t>
    <phoneticPr fontId="1" type="noConversion"/>
  </si>
  <si>
    <t>00000010</t>
    <phoneticPr fontId="1" type="noConversion"/>
  </si>
  <si>
    <t>00000011</t>
    <phoneticPr fontId="1" type="noConversion"/>
  </si>
  <si>
    <t>00000012</t>
    <phoneticPr fontId="1" type="noConversion"/>
  </si>
  <si>
    <t>00000013</t>
    <phoneticPr fontId="1" type="noConversion"/>
  </si>
  <si>
    <t>00000014</t>
    <phoneticPr fontId="1" type="noConversion"/>
  </si>
  <si>
    <t>00000015</t>
    <phoneticPr fontId="1" type="noConversion"/>
  </si>
  <si>
    <t>00000016</t>
    <phoneticPr fontId="1" type="noConversion"/>
  </si>
  <si>
    <t>00000017</t>
    <phoneticPr fontId="1" type="noConversion"/>
  </si>
  <si>
    <t>00000018</t>
    <phoneticPr fontId="1" type="noConversion"/>
  </si>
  <si>
    <t>00000019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</si>
  <si>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</si>
  <si>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</si>
  <si>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</si>
  <si>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</si>
  <si>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</si>
  <si>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</si>
  <si>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</si>
  <si>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</si>
  <si>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</si>
  <si>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</si>
  <si>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</si>
  <si>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</si>
  <si>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</si>
  <si>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</si>
  <si>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</si>
  <si>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</si>
  <si>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</si>
  <si>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</si>
  <si>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</si>
  <si>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</si>
  <si>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</si>
  <si>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</si>
  <si>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</si>
  <si>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</si>
  <si>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</si>
  <si>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</si>
  <si>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</si>
  <si>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</si>
  <si>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</si>
  <si>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</si>
  <si>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</si>
  <si>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</si>
  <si>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</si>
  <si>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</si>
  <si>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</si>
  <si>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</si>
  <si>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</si>
  <si>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</si>
  <si>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</si>
  <si>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</si>
  <si>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</si>
  <si>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</si>
  <si>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</si>
  <si>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</si>
  <si>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</si>
  <si>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</si>
  <si>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</si>
  <si>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</si>
  <si>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</si>
  <si>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</si>
  <si>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</si>
  <si>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</si>
  <si>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</si>
  <si>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</si>
  <si>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</si>
  <si>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</si>
  <si>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</si>
  <si>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</si>
  <si>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</si>
  <si>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</si>
  <si>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</si>
  <si>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</si>
  <si>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</si>
  <si>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</si>
  <si>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</si>
  <si>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</si>
  <si>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</si>
  <si>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</si>
  <si>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</si>
  <si>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</si>
  <si>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</si>
  <si>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</si>
  <si>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</si>
  <si>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</si>
  <si>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</si>
  <si>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</si>
  <si>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</si>
  <si>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</si>
  <si>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</si>
  <si>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</si>
  <si>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</si>
  <si>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</si>
  <si>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</si>
  <si>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</si>
  <si>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</si>
  <si>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</si>
  <si>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</si>
  <si>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</si>
  <si>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</si>
  <si>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</si>
  <si>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</si>
  <si>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</si>
  <si>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</si>
  <si>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</si>
  <si>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</si>
  <si>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</si>
  <si>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</si>
  <si>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</si>
  <si>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</si>
  <si>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</si>
  <si>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</si>
  <si>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</si>
  <si>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</si>
  <si>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</si>
  <si>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</si>
  <si>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</si>
  <si>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</si>
  <si>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</si>
  <si>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</si>
  <si>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</si>
  <si>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</si>
  <si>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</si>
  <si>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</si>
  <si>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</si>
  <si>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</si>
  <si>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</si>
  <si>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</si>
  <si>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</si>
  <si>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</si>
  <si>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</si>
  <si>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</si>
  <si>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</si>
  <si>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</si>
  <si>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</si>
  <si>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</si>
  <si>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</si>
  <si>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</si>
  <si>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</si>
  <si>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</si>
  <si>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</si>
  <si>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</si>
  <si>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</si>
  <si>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</si>
  <si>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</si>
  <si>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</si>
  <si>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</si>
  <si>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</si>
  <si>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</si>
  <si>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</si>
  <si>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</si>
  <si>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</si>
  <si>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</si>
  <si>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</si>
  <si>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</si>
  <si>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</si>
  <si>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</si>
  <si>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</si>
  <si>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</si>
  <si>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</si>
  <si>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</si>
  <si>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</si>
  <si>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</si>
  <si>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</si>
  <si>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</si>
  <si>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</si>
  <si>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</si>
  <si>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</si>
  <si>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</si>
  <si>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</si>
  <si>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</si>
  <si>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</si>
  <si>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</si>
  <si>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</si>
  <si>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</si>
  <si>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</si>
  <si>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</si>
  <si>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</si>
  <si>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</si>
  <si>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</si>
  <si>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</si>
  <si>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</si>
  <si>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</si>
  <si>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</si>
  <si>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</si>
  <si>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</si>
  <si>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</si>
  <si>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</si>
  <si>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</si>
  <si>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</si>
  <si>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</si>
  <si>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</si>
  <si>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</si>
  <si>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</si>
  <si>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</si>
  <si>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</si>
  <si>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</si>
  <si>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</si>
  <si>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</si>
  <si>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</si>
  <si>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</si>
  <si>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</si>
  <si>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</si>
  <si>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</si>
  <si>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</si>
  <si>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</si>
  <si>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</si>
  <si>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</si>
  <si>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</si>
  <si>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</si>
  <si>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</si>
  <si>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</si>
  <si>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</si>
  <si>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</si>
  <si>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</si>
  <si>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</si>
  <si>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</si>
  <si>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</si>
  <si>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</si>
  <si>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</si>
  <si>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</si>
  <si>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</si>
  <si>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</si>
  <si>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</si>
  <si>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</si>
  <si>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</si>
  <si>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</si>
  <si>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</si>
  <si>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</si>
  <si>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</si>
  <si>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</si>
  <si>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</si>
  <si>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</si>
  <si>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</si>
  <si>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</si>
  <si>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</si>
  <si>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</si>
  <si>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</si>
  <si>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</si>
  <si>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</si>
  <si>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</si>
  <si>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</si>
  <si>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</si>
  <si>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</si>
  <si>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</si>
  <si>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</si>
  <si>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</si>
  <si>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</si>
  <si>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</si>
  <si>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</si>
  <si>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</si>
  <si>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</si>
  <si>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</si>
  <si>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</si>
  <si>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</si>
  <si>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</si>
  <si>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</si>
  <si>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</si>
  <si>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</si>
  <si>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</si>
  <si>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</si>
  <si>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</si>
  <si>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</si>
  <si>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</si>
  <si>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</si>
  <si>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</si>
  <si>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</si>
  <si>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</si>
  <si>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</si>
  <si>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</si>
  <si>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</si>
  <si>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</si>
  <si>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</si>
  <si>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</si>
  <si>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</si>
  <si>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</si>
  <si>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</si>
  <si>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</si>
  <si>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</si>
  <si>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</si>
  <si>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</si>
  <si>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</si>
  <si>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</si>
  <si>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</si>
  <si>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</si>
  <si>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</si>
  <si>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</si>
  <si>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</si>
  <si>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</si>
  <si>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</si>
  <si>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</si>
  <si>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</si>
  <si>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</si>
  <si>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</si>
  <si>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</si>
  <si>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</si>
  <si>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</si>
  <si>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</si>
  <si>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</si>
  <si>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</si>
  <si>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</si>
  <si>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</si>
  <si>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</si>
  <si>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</si>
  <si>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</si>
  <si>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</si>
  <si>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</si>
  <si>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</si>
  <si>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</si>
  <si>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</si>
  <si>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</si>
  <si>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</si>
  <si>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</si>
  <si>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</si>
  <si>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</si>
  <si>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</si>
  <si>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</si>
  <si>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</si>
  <si>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</si>
  <si>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</si>
  <si>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</si>
  <si>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</si>
  <si>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</si>
  <si>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</si>
  <si>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</si>
  <si>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</si>
  <si>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</si>
  <si>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</si>
  <si>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</si>
  <si>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</si>
  <si>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</si>
  <si>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</si>
  <si>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</si>
  <si>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</si>
  <si>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</si>
  <si>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</si>
  <si>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</si>
  <si>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</si>
  <si>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</si>
  <si>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</si>
  <si>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</si>
  <si>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</si>
  <si>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</si>
  <si>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</si>
  <si>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</si>
  <si>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</si>
  <si>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</si>
  <si>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</si>
  <si>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</si>
  <si>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</si>
  <si>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</si>
  <si>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</si>
  <si>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</si>
  <si>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</si>
  <si>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</si>
  <si>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</si>
  <si>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</si>
  <si>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</si>
  <si>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</si>
  <si>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</si>
  <si>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</si>
  <si>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</si>
  <si>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</si>
  <si>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</si>
  <si>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</si>
  <si>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</si>
  <si>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</si>
  <si>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</si>
  <si>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</si>
  <si>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</si>
  <si>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</si>
  <si>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</si>
  <si>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</si>
  <si>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</si>
  <si>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</si>
  <si>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</si>
  <si>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</si>
  <si>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</si>
  <si>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</si>
  <si>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</si>
  <si>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</si>
  <si>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</si>
  <si>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</si>
  <si>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</si>
  <si>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</si>
  <si>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</si>
  <si>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</si>
  <si>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</si>
  <si>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</si>
  <si>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</si>
  <si>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</si>
  <si>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</si>
  <si>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</si>
  <si>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</si>
  <si>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</si>
  <si>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</si>
  <si>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</si>
  <si>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</si>
  <si>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</si>
  <si>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</si>
  <si>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</si>
  <si>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</si>
  <si>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</si>
  <si>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</si>
  <si>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</si>
  <si>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</si>
  <si>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</si>
  <si>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</si>
  <si>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</si>
  <si>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</si>
  <si>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</si>
  <si>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</si>
  <si>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</si>
  <si>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</si>
  <si>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</si>
  <si>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</si>
  <si>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</si>
  <si>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</si>
  <si>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</si>
  <si>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</si>
  <si>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</si>
  <si>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</si>
  <si>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</si>
  <si>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</si>
  <si>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</si>
  <si>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</si>
  <si>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</si>
  <si>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</si>
  <si>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</si>
  <si>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</si>
  <si>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</si>
  <si>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</si>
  <si>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</si>
  <si>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</si>
  <si>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</si>
  <si>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</si>
  <si>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</si>
  <si>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</si>
  <si>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</si>
  <si>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</si>
  <si>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</si>
  <si>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</si>
  <si>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</si>
  <si>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</si>
  <si>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</si>
  <si>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</si>
  <si>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</si>
  <si>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</si>
  <si>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</si>
  <si>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</si>
  <si>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</si>
  <si>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</si>
  <si>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</si>
  <si>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</si>
  <si>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</si>
  <si>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</si>
  <si>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</si>
  <si>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</si>
  <si>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</si>
  <si>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</si>
  <si>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</si>
  <si>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</si>
  <si>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</si>
  <si>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</si>
  <si>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</si>
  <si>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</si>
  <si>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</si>
  <si>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</si>
  <si>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</si>
  <si>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</si>
  <si>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</si>
  <si>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</si>
  <si>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</si>
  <si>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</si>
  <si>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</si>
  <si>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</si>
  <si>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</si>
  <si>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</si>
  <si>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</si>
  <si>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</si>
  <si>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</si>
  <si>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</si>
  <si>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0xFFFF0000</t>
    <phoneticPr fontId="1" type="noConversion"/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</si>
  <si>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</si>
  <si>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</si>
  <si>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</si>
  <si>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</si>
  <si>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</si>
  <si>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</si>
  <si>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</si>
  <si>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</si>
  <si>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</si>
  <si>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</si>
  <si>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</si>
  <si>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</si>
  <si>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</si>
  <si>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</si>
  <si>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</si>
  <si>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</si>
  <si>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</si>
  <si>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</si>
  <si>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</si>
  <si>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</si>
  <si>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</si>
  <si>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</si>
  <si>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</si>
  <si>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</si>
  <si>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</si>
  <si>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</si>
  <si>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</si>
  <si>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</si>
  <si>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</si>
  <si>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</si>
  <si>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</si>
  <si>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</si>
  <si>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</si>
  <si>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</si>
  <si>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</si>
  <si>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</si>
  <si>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</si>
  <si>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</si>
  <si>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</si>
  <si>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</si>
  <si>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</si>
  <si>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</si>
  <si>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</si>
  <si>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</si>
  <si>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</si>
  <si>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</si>
  <si>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</si>
  <si>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</si>
  <si>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</si>
  <si>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</si>
  <si>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</si>
  <si>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</si>
  <si>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</si>
  <si>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</si>
  <si>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</si>
  <si>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</si>
  <si>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</si>
  <si>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</si>
  <si>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</si>
  <si>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</si>
  <si>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</si>
  <si>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</si>
  <si>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</si>
  <si>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</si>
  <si>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</si>
  <si>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</si>
  <si>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</si>
  <si>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</si>
  <si>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</si>
  <si>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</si>
  <si>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</si>
  <si>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</si>
  <si>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</si>
  <si>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</si>
  <si>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</si>
  <si>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</si>
  <si>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</si>
  <si>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</si>
  <si>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</si>
  <si>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</si>
  <si>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</si>
  <si>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</si>
  <si>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</si>
  <si>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</si>
  <si>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</si>
  <si>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</si>
  <si>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</si>
  <si>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</si>
  <si>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</si>
  <si>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</si>
  <si>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</si>
  <si>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</si>
  <si>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</si>
  <si>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</si>
  <si>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</si>
  <si>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</si>
  <si>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</si>
  <si>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</si>
  <si>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</si>
  <si>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</si>
  <si>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</si>
  <si>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</si>
  <si>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</si>
  <si>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</si>
  <si>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</si>
  <si>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</si>
  <si>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</si>
  <si>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</si>
  <si>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</si>
  <si>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</si>
  <si>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</si>
  <si>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</si>
  <si>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</si>
  <si>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</si>
  <si>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</si>
  <si>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</si>
  <si>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</si>
  <si>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</si>
  <si>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</si>
  <si>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</si>
  <si>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</si>
  <si>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</si>
  <si>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</si>
  <si>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</si>
  <si>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</si>
  <si>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</si>
  <si>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</si>
  <si>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</si>
  <si>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</si>
  <si>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</si>
  <si>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</si>
  <si>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</si>
  <si>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</si>
  <si>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</si>
  <si>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</si>
  <si>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</si>
  <si>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</si>
  <si>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</si>
  <si>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</si>
  <si>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</si>
  <si>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</si>
  <si>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</si>
  <si>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</si>
  <si>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</si>
  <si>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</si>
  <si>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</si>
  <si>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</si>
  <si>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</si>
  <si>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</si>
  <si>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</si>
  <si>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</si>
  <si>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</si>
  <si>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EXT_IN_SL_08</t>
    <phoneticPr fontId="1" type="noConversion"/>
  </si>
  <si>
    <t>EXT_IN_SL_09</t>
    <phoneticPr fontId="1" type="noConversion"/>
  </si>
  <si>
    <t>EXT_IN_SL_10</t>
    <phoneticPr fontId="1" type="noConversion"/>
  </si>
  <si>
    <t>EXT_IN_SL_11</t>
    <phoneticPr fontId="1" type="noConversion"/>
  </si>
  <si>
    <t>EXT_IN_SL_12</t>
    <phoneticPr fontId="1" type="noConversion"/>
  </si>
  <si>
    <t>EXT_IN_SL_13</t>
    <phoneticPr fontId="1" type="noConversion"/>
  </si>
  <si>
    <t>EXT_IN_SL_14</t>
    <phoneticPr fontId="1" type="noConversion"/>
  </si>
  <si>
    <t>EXT_IN_SL_15</t>
    <phoneticPr fontId="1" type="noConversion"/>
  </si>
  <si>
    <t>end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</si>
  <si>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</si>
  <si>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</si>
  <si>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</si>
  <si>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</si>
  <si>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</si>
  <si>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</si>
  <si>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EVR0_RXENABLE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</si>
  <si>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</si>
  <si>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</si>
  <si>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</si>
  <si>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</si>
  <si>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EVG1_EVUSER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</si>
</sst>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</cellXfs>
  <cellStyles count="2">
    <cellStyle name="Comma [0]" xfId="1" builtinId="6"/>
    <cellStyle name="Normal" xfId="0" builtinId="0"/>
  </cellStyles>
  <dxfs count="1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49:E74" totalsRowShown="0" headerRowDxfId="175">
  <autoFilter ref="B49:E74"/>
  <tableColumns count="4">
    <tableColumn id="1" name="seq Mask combination" dataDxfId="174"/>
    <tableColumn id="2" name="value type" dataDxfId="173"/>
    <tableColumn id="3" name="열1" dataDxfId="172"/>
    <tableColumn id="4" name="index" dataDxfId="17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47" totalsRowShown="0" headerRowDxfId="170" dataDxfId="169">
  <autoFilter ref="B10:E47"/>
  <tableColumns count="4">
    <tableColumn id="1" name="ev source" dataDxfId="168"/>
    <tableColumn id="2" name="ev source number" dataDxfId="167"/>
    <tableColumn id="3" name="Column1" dataDxfId="166"/>
    <tableColumn id="4" name="Column2" dataDxfId="16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79:B94" totalsRowShown="0" headerRowDxfId="164" dataDxfId="163">
  <autoFilter ref="B79:B94"/>
  <tableColumns count="1">
    <tableColumn id="1" name="Column1" dataDxfId="16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4" name="Table131925" displayName="Table131925" ref="C3:G2092" totalsRowShown="0" headerRowDxfId="161" dataDxfId="160">
  <autoFilter ref="C3:G209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6" name="Table1319257" displayName="Table1319257" ref="C3:G2094" totalsRowShown="0" headerRowDxfId="134" dataDxfId="133">
  <autoFilter ref="C3:G2094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7" name="Table13220268" displayName="Table13220268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8" name="Table132321279" displayName="Table132321279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9" name="Table13234222810" displayName="Table13234222810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10" name="Table1326232911" displayName="Table1326232911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7" Type="http://schemas.openxmlformats.org/officeDocument/2006/relationships/table" Target="../tables/table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72"/>
  <sheetViews>
    <sheetView zoomScaleNormal="100" workbookViewId="0">
      <selection activeCell="B87" sqref="B87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41</v>
      </c>
      <c r="C10" s="2" t="s">
        <v>42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95</v>
      </c>
      <c r="C11" s="2" t="s">
        <v>74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75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76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77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78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79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x14ac:dyDescent="0.3">
      <c r="B17" s="5" t="s">
        <v>17</v>
      </c>
      <c r="C17" s="2" t="s">
        <v>80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81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155</v>
      </c>
      <c r="C19" s="2" t="s">
        <v>82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19</v>
      </c>
      <c r="C20" s="2" t="s">
        <v>83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20</v>
      </c>
      <c r="C21" s="2" t="s">
        <v>63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21</v>
      </c>
      <c r="C22" s="2" t="s">
        <v>64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 t="s">
        <v>22</v>
      </c>
      <c r="C23" s="2" t="s">
        <v>65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6"/>
      <c r="AQ23" s="6"/>
      <c r="AR23" s="6"/>
      <c r="AS23" s="6"/>
      <c r="AT23" s="6"/>
      <c r="AU23" s="6"/>
      <c r="AV23" s="6"/>
      <c r="AW23" s="6"/>
      <c r="AX23" s="6"/>
      <c r="AY23" s="6"/>
    </row>
    <row r="24" spans="2:51" x14ac:dyDescent="0.3">
      <c r="B24" s="5" t="s">
        <v>23</v>
      </c>
      <c r="C24" s="2" t="s">
        <v>66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6"/>
      <c r="AQ24" s="6"/>
      <c r="AR24" s="6"/>
      <c r="AS24" s="6"/>
      <c r="AT24" s="6"/>
      <c r="AU24" s="6"/>
      <c r="AV24" s="6"/>
      <c r="AW24" s="6"/>
      <c r="AX24" s="6"/>
      <c r="AY24" s="6"/>
    </row>
    <row r="25" spans="2:51" x14ac:dyDescent="0.3">
      <c r="B25" s="5" t="s">
        <v>24</v>
      </c>
      <c r="C25" s="2" t="s">
        <v>67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6"/>
      <c r="AQ25" s="6"/>
      <c r="AR25" s="6"/>
      <c r="AS25" s="6"/>
      <c r="AT25" s="6"/>
      <c r="AU25" s="6"/>
      <c r="AV25" s="6"/>
      <c r="AW25" s="6"/>
      <c r="AX25" s="6"/>
      <c r="AY25" s="6"/>
    </row>
    <row r="26" spans="2:51" x14ac:dyDescent="0.3">
      <c r="B26" s="5" t="s">
        <v>25</v>
      </c>
      <c r="C26" s="2" t="s">
        <v>68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6"/>
      <c r="AR26" s="6"/>
      <c r="AS26" s="6"/>
      <c r="AT26" s="6"/>
      <c r="AU26" s="6"/>
      <c r="AV26" s="6"/>
      <c r="AW26" s="6"/>
      <c r="AX26" s="6"/>
      <c r="AY26" s="6"/>
    </row>
    <row r="27" spans="2:51" x14ac:dyDescent="0.3">
      <c r="B27" s="5" t="s">
        <v>26</v>
      </c>
      <c r="C27" s="2" t="s">
        <v>84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6"/>
      <c r="AQ27" s="6"/>
      <c r="AR27" s="6"/>
      <c r="AS27" s="6"/>
      <c r="AT27" s="6"/>
      <c r="AU27" s="6"/>
      <c r="AV27" s="6"/>
      <c r="AW27" s="6"/>
      <c r="AX27" s="6"/>
      <c r="AY27" s="6"/>
    </row>
    <row r="28" spans="2:51" x14ac:dyDescent="0.3">
      <c r="B28" s="5" t="s">
        <v>27</v>
      </c>
      <c r="C28" s="2" t="s">
        <v>85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6"/>
      <c r="AQ28" s="6"/>
      <c r="AR28" s="6"/>
      <c r="AS28" s="6"/>
      <c r="AT28" s="6"/>
      <c r="AU28" s="6"/>
      <c r="AV28" s="6"/>
      <c r="AW28" s="6"/>
      <c r="AX28" s="6"/>
      <c r="AY28" s="6"/>
    </row>
    <row r="29" spans="2:51" x14ac:dyDescent="0.3">
      <c r="B29" s="5" t="s">
        <v>28</v>
      </c>
      <c r="C29" s="2" t="s">
        <v>86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6"/>
      <c r="AQ29" s="6"/>
      <c r="AR29" s="6"/>
      <c r="AS29" s="6"/>
      <c r="AT29" s="6"/>
      <c r="AU29" s="6"/>
      <c r="AV29" s="6"/>
      <c r="AW29" s="6"/>
      <c r="AX29" s="6"/>
      <c r="AY29" s="6"/>
    </row>
    <row r="30" spans="2:51" x14ac:dyDescent="0.3">
      <c r="B30" s="5" t="s">
        <v>29</v>
      </c>
      <c r="C30" s="2" t="s">
        <v>87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6"/>
      <c r="AQ30" s="6"/>
      <c r="AR30" s="6"/>
      <c r="AS30" s="6"/>
      <c r="AT30" s="6"/>
      <c r="AU30" s="6"/>
      <c r="AV30" s="6"/>
      <c r="AW30" s="6"/>
      <c r="AX30" s="6"/>
      <c r="AY30" s="6"/>
    </row>
    <row r="31" spans="2:51" x14ac:dyDescent="0.3">
      <c r="B31" s="5" t="s">
        <v>30</v>
      </c>
      <c r="C31" s="2" t="s">
        <v>88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6"/>
      <c r="AR31" s="6"/>
      <c r="AS31" s="6"/>
      <c r="AT31" s="6"/>
      <c r="AU31" s="6"/>
      <c r="AV31" s="6"/>
      <c r="AW31" s="6"/>
      <c r="AX31" s="6"/>
      <c r="AY31" s="6"/>
    </row>
    <row r="32" spans="2:51" x14ac:dyDescent="0.3">
      <c r="B32" s="5" t="s">
        <v>31</v>
      </c>
      <c r="C32" s="2" t="s">
        <v>89</v>
      </c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6"/>
      <c r="AQ32" s="6"/>
      <c r="AR32" s="6"/>
      <c r="AS32" s="6"/>
      <c r="AT32" s="6"/>
      <c r="AU32" s="6"/>
      <c r="AV32" s="6"/>
      <c r="AW32" s="6"/>
      <c r="AX32" s="6"/>
      <c r="AY32" s="6"/>
    </row>
    <row r="33" spans="2:51" x14ac:dyDescent="0.3">
      <c r="B33" s="5" t="s">
        <v>32</v>
      </c>
      <c r="C33" s="2" t="s">
        <v>90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6"/>
      <c r="AQ33" s="6"/>
      <c r="AR33" s="6"/>
      <c r="AS33" s="6"/>
      <c r="AT33" s="6"/>
      <c r="AU33" s="6"/>
      <c r="AV33" s="6"/>
      <c r="AW33" s="6"/>
      <c r="AX33" s="6"/>
      <c r="AY33" s="6"/>
    </row>
    <row r="34" spans="2:51" x14ac:dyDescent="0.3">
      <c r="B34" s="5" t="s">
        <v>33</v>
      </c>
      <c r="C34" s="2" t="s">
        <v>91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6"/>
      <c r="AQ34" s="6"/>
      <c r="AR34" s="6"/>
      <c r="AS34" s="6"/>
      <c r="AT34" s="6"/>
      <c r="AU34" s="6"/>
      <c r="AV34" s="6"/>
      <c r="AW34" s="6"/>
      <c r="AX34" s="6"/>
      <c r="AY34" s="6"/>
    </row>
    <row r="35" spans="2:51" x14ac:dyDescent="0.3">
      <c r="B35" s="5" t="s">
        <v>34</v>
      </c>
      <c r="C35" s="2" t="s">
        <v>92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6"/>
      <c r="AQ35" s="6"/>
      <c r="AR35" s="6"/>
      <c r="AS35" s="6"/>
      <c r="AT35" s="6"/>
      <c r="AU35" s="6"/>
      <c r="AV35" s="6"/>
      <c r="AW35" s="6"/>
      <c r="AX35" s="6"/>
      <c r="AY35" s="6"/>
    </row>
    <row r="36" spans="2:51" x14ac:dyDescent="0.3">
      <c r="B36" s="5" t="s">
        <v>35</v>
      </c>
      <c r="C36" s="2" t="s">
        <v>93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6"/>
      <c r="AR36" s="6"/>
      <c r="AS36" s="6"/>
      <c r="AT36" s="6"/>
      <c r="AU36" s="6"/>
      <c r="AV36" s="6"/>
      <c r="AW36" s="6"/>
      <c r="AX36" s="6"/>
      <c r="AY36" s="6"/>
    </row>
    <row r="37" spans="2:51" x14ac:dyDescent="0.3">
      <c r="B37" s="5" t="s">
        <v>36</v>
      </c>
      <c r="C37" s="2" t="s">
        <v>69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6"/>
      <c r="AQ37" s="6"/>
      <c r="AR37" s="6"/>
      <c r="AS37" s="6"/>
      <c r="AT37" s="6"/>
      <c r="AU37" s="6"/>
      <c r="AV37" s="6"/>
      <c r="AW37" s="6"/>
      <c r="AX37" s="6"/>
      <c r="AY37" s="6"/>
    </row>
    <row r="38" spans="2:51" x14ac:dyDescent="0.3">
      <c r="B38" s="5" t="s">
        <v>37</v>
      </c>
      <c r="C38" s="2" t="s">
        <v>70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6"/>
      <c r="AQ38" s="6"/>
      <c r="AR38" s="6"/>
      <c r="AS38" s="6"/>
      <c r="AT38" s="6"/>
      <c r="AU38" s="6"/>
      <c r="AV38" s="6"/>
      <c r="AW38" s="6"/>
      <c r="AX38" s="6"/>
      <c r="AY38" s="6"/>
    </row>
    <row r="39" spans="2:51" x14ac:dyDescent="0.3">
      <c r="B39" s="5" t="s">
        <v>38</v>
      </c>
      <c r="C39" s="2" t="s">
        <v>71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</row>
    <row r="40" spans="2:51" x14ac:dyDescent="0.3">
      <c r="B40" s="5" t="s">
        <v>39</v>
      </c>
      <c r="C40" s="2" t="s">
        <v>72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</row>
    <row r="41" spans="2:51" x14ac:dyDescent="0.3">
      <c r="B41" s="5" t="s">
        <v>40</v>
      </c>
      <c r="C41" s="2" t="s">
        <v>73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</row>
    <row r="42" spans="2:51" x14ac:dyDescent="0.3">
      <c r="B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</row>
    <row r="43" spans="2:51" x14ac:dyDescent="0.3">
      <c r="B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</row>
    <row r="44" spans="2:51" x14ac:dyDescent="0.3">
      <c r="B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</row>
    <row r="45" spans="2:51" x14ac:dyDescent="0.3">
      <c r="B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</row>
    <row r="46" spans="2:51" x14ac:dyDescent="0.3">
      <c r="B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</row>
    <row r="47" spans="2:51" x14ac:dyDescent="0.3"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</row>
    <row r="48" spans="2:51" x14ac:dyDescent="0.3">
      <c r="B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</row>
    <row r="49" spans="2:51" x14ac:dyDescent="0.3">
      <c r="B49" s="3" t="s">
        <v>43</v>
      </c>
      <c r="C49" s="2" t="s">
        <v>0</v>
      </c>
      <c r="D49" s="3" t="s">
        <v>1</v>
      </c>
      <c r="E49" s="5" t="s">
        <v>2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</row>
    <row r="50" spans="2:51" x14ac:dyDescent="0.3">
      <c r="B50" s="3" t="s">
        <v>96</v>
      </c>
      <c r="C50" s="2">
        <v>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2:51" x14ac:dyDescent="0.3">
      <c r="B51" s="3" t="s">
        <v>98</v>
      </c>
      <c r="C51" s="2">
        <v>1</v>
      </c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2:51" x14ac:dyDescent="0.3">
      <c r="B52" s="3" t="s">
        <v>97</v>
      </c>
      <c r="C52" s="2">
        <v>2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2:51" x14ac:dyDescent="0.3">
      <c r="B53" s="3" t="s">
        <v>147</v>
      </c>
      <c r="C53" s="2">
        <v>3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2:51" x14ac:dyDescent="0.3">
      <c r="B54" s="5" t="s">
        <v>99</v>
      </c>
      <c r="C54" s="2">
        <v>5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2:51" x14ac:dyDescent="0.3">
      <c r="B55" s="5" t="s">
        <v>100</v>
      </c>
      <c r="C55" s="2">
        <v>6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2:51" x14ac:dyDescent="0.3">
      <c r="B56" s="5" t="s">
        <v>148</v>
      </c>
      <c r="C56" s="2">
        <v>7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2:51" x14ac:dyDescent="0.3"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2:51" x14ac:dyDescent="0.3"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2:51" x14ac:dyDescent="0.3"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2:51" x14ac:dyDescent="0.3">
      <c r="B60" s="2"/>
      <c r="D60" s="4"/>
      <c r="E60" s="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2:51" x14ac:dyDescent="0.3">
      <c r="B61" s="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2:51" x14ac:dyDescent="0.3">
      <c r="B62" s="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2:51" x14ac:dyDescent="0.3">
      <c r="B63" s="2"/>
      <c r="D63" s="5"/>
      <c r="E63" s="5"/>
      <c r="F63" s="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2:51" x14ac:dyDescent="0.3">
      <c r="B64" s="2"/>
      <c r="D64" s="5"/>
      <c r="E64" s="5"/>
      <c r="F64" s="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2:51" x14ac:dyDescent="0.3">
      <c r="B65" s="2"/>
      <c r="D65" s="5"/>
      <c r="E65" s="5"/>
      <c r="F65" s="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2:51" x14ac:dyDescent="0.3">
      <c r="B66" s="2"/>
      <c r="D66" s="5"/>
      <c r="E66" s="5"/>
      <c r="F66" s="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2:51" x14ac:dyDescent="0.3">
      <c r="B67" s="2"/>
      <c r="D67" s="5"/>
      <c r="E67" s="5"/>
      <c r="F67" s="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2:51" x14ac:dyDescent="0.3">
      <c r="B68" s="2"/>
      <c r="D68" s="5"/>
      <c r="E68" s="5"/>
      <c r="F68" s="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2:51" x14ac:dyDescent="0.3">
      <c r="B69" s="2"/>
      <c r="D69" s="5"/>
      <c r="E69" s="5"/>
      <c r="F69" s="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2:51" x14ac:dyDescent="0.3">
      <c r="B70" s="2"/>
      <c r="D70" s="5"/>
      <c r="E70" s="5"/>
      <c r="F70" s="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2:51" x14ac:dyDescent="0.3">
      <c r="B71" s="2"/>
      <c r="D71" s="5"/>
      <c r="E71" s="5"/>
      <c r="F71" s="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2:51" x14ac:dyDescent="0.3">
      <c r="B72" s="2"/>
      <c r="D72" s="5"/>
      <c r="E72" s="5"/>
      <c r="F72" s="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2:51" x14ac:dyDescent="0.3">
      <c r="B73" s="2"/>
      <c r="D73" s="5"/>
      <c r="E73" s="5"/>
      <c r="F73" s="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2:51" x14ac:dyDescent="0.3">
      <c r="B74" s="2"/>
      <c r="D74" s="5"/>
      <c r="E74" s="5"/>
      <c r="F74" s="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2:51" x14ac:dyDescent="0.3">
      <c r="B75" s="5"/>
      <c r="D75" s="5"/>
      <c r="E75" s="5"/>
      <c r="F75" s="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2:51" x14ac:dyDescent="0.3">
      <c r="B76" s="5"/>
      <c r="D76" s="5"/>
      <c r="E76" s="5"/>
      <c r="F76" s="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2:51" x14ac:dyDescent="0.3">
      <c r="B77" s="5"/>
      <c r="D77" s="5"/>
      <c r="E77" s="5"/>
      <c r="F77" s="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2:51" x14ac:dyDescent="0.3">
      <c r="B78" s="5"/>
      <c r="D78" s="5"/>
      <c r="E78" s="5"/>
      <c r="F78" s="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2:51" x14ac:dyDescent="0.3">
      <c r="B79" s="5" t="s">
        <v>3</v>
      </c>
      <c r="D79" s="5"/>
      <c r="E79" s="5"/>
      <c r="F79" s="5"/>
    </row>
    <row r="80" spans="2:51" x14ac:dyDescent="0.3">
      <c r="B80" s="5" t="s">
        <v>61</v>
      </c>
      <c r="D80" s="5"/>
      <c r="E80" s="5"/>
      <c r="F80" s="5"/>
    </row>
    <row r="81" spans="2:26" x14ac:dyDescent="0.3">
      <c r="B81" s="5" t="s">
        <v>56</v>
      </c>
    </row>
    <row r="82" spans="2:26" x14ac:dyDescent="0.3">
      <c r="B82" s="3" t="s">
        <v>57</v>
      </c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2:26" x14ac:dyDescent="0.3">
      <c r="B83" s="3" t="s">
        <v>60</v>
      </c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2:26" x14ac:dyDescent="0.3">
      <c r="B84" s="4" t="s">
        <v>58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2:26" x14ac:dyDescent="0.3">
      <c r="B85" s="4" t="s">
        <v>59</v>
      </c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2:26" x14ac:dyDescent="0.3">
      <c r="B86" s="4" t="s">
        <v>156</v>
      </c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2:26" x14ac:dyDescent="0.3">
      <c r="B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2:26" x14ac:dyDescent="0.3">
      <c r="B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2:26" x14ac:dyDescent="0.3">
      <c r="B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2:26" x14ac:dyDescent="0.3">
      <c r="B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2:26" x14ac:dyDescent="0.3">
      <c r="B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2:26" x14ac:dyDescent="0.3">
      <c r="B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2:26" x14ac:dyDescent="0.3">
      <c r="B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2:26" x14ac:dyDescent="0.3">
      <c r="B94" s="4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  <row r="116" spans="3:3" s="5" customFormat="1" x14ac:dyDescent="0.3">
      <c r="C116" s="2"/>
    </row>
    <row r="117" spans="3:3" s="5" customFormat="1" x14ac:dyDescent="0.3">
      <c r="C117" s="2"/>
    </row>
    <row r="118" spans="3:3" s="5" customFormat="1" x14ac:dyDescent="0.3">
      <c r="C118" s="2"/>
    </row>
    <row r="119" spans="3:3" s="5" customFormat="1" x14ac:dyDescent="0.3">
      <c r="C119" s="2"/>
    </row>
    <row r="120" spans="3:3" s="5" customFormat="1" x14ac:dyDescent="0.3">
      <c r="C120" s="2"/>
    </row>
    <row r="121" spans="3:3" s="5" customFormat="1" x14ac:dyDescent="0.3">
      <c r="C121" s="2"/>
    </row>
    <row r="122" spans="3:3" s="5" customFormat="1" x14ac:dyDescent="0.3">
      <c r="C122" s="2"/>
    </row>
    <row r="123" spans="3:3" s="5" customFormat="1" x14ac:dyDescent="0.3">
      <c r="C123" s="2"/>
    </row>
    <row r="124" spans="3:3" s="5" customFormat="1" x14ac:dyDescent="0.3">
      <c r="C124" s="2"/>
    </row>
    <row r="125" spans="3:3" s="5" customFormat="1" x14ac:dyDescent="0.3">
      <c r="C125" s="2"/>
    </row>
    <row r="126" spans="3:3" s="5" customFormat="1" x14ac:dyDescent="0.3">
      <c r="C126" s="2"/>
    </row>
    <row r="127" spans="3:3" s="5" customFormat="1" x14ac:dyDescent="0.3">
      <c r="C127" s="2"/>
    </row>
    <row r="128" spans="3:3" s="5" customFormat="1" x14ac:dyDescent="0.3">
      <c r="C128" s="2"/>
    </row>
    <row r="129" spans="3:23" s="5" customFormat="1" x14ac:dyDescent="0.3">
      <c r="C129" s="2"/>
    </row>
    <row r="130" spans="3:23" s="5" customFormat="1" x14ac:dyDescent="0.3">
      <c r="C130" s="2"/>
    </row>
    <row r="131" spans="3:23" s="5" customFormat="1" x14ac:dyDescent="0.3">
      <c r="C131" s="2"/>
    </row>
    <row r="132" spans="3:23" s="5" customFormat="1" x14ac:dyDescent="0.3">
      <c r="C132" s="2"/>
    </row>
    <row r="133" spans="3:23" s="5" customFormat="1" x14ac:dyDescent="0.3">
      <c r="C133" s="2"/>
    </row>
    <row r="134" spans="3:23" s="5" customFormat="1" x14ac:dyDescent="0.3">
      <c r="C134" s="2"/>
    </row>
    <row r="135" spans="3:23" ht="11.25" customHeight="1" x14ac:dyDescent="0.3"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3:23" s="5" customFormat="1" x14ac:dyDescent="0.3">
      <c r="C136" s="2"/>
    </row>
    <row r="137" spans="3:23" x14ac:dyDescent="0.3"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3:23" x14ac:dyDescent="0.3"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3:23" x14ac:dyDescent="0.3"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3:23" x14ac:dyDescent="0.3"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3:23" x14ac:dyDescent="0.3"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3:23" x14ac:dyDescent="0.3"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3:23" x14ac:dyDescent="0.3"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3:23" x14ac:dyDescent="0.3"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3:23" x14ac:dyDescent="0.3"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3:23" x14ac:dyDescent="0.3"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3:23" x14ac:dyDescent="0.3"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3:23" s="4" customFormat="1" x14ac:dyDescent="0.3">
      <c r="C148" s="2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3:23" s="5" customFormat="1" x14ac:dyDescent="0.3">
      <c r="C149" s="2"/>
    </row>
    <row r="150" spans="3:23" s="5" customFormat="1" x14ac:dyDescent="0.3">
      <c r="C150" s="2"/>
    </row>
    <row r="151" spans="3:23" s="5" customFormat="1" x14ac:dyDescent="0.3">
      <c r="C151" s="2"/>
    </row>
    <row r="152" spans="3:23" s="5" customFormat="1" x14ac:dyDescent="0.3">
      <c r="C152" s="2"/>
    </row>
    <row r="153" spans="3:23" s="5" customFormat="1" x14ac:dyDescent="0.3">
      <c r="C153" s="2"/>
    </row>
    <row r="154" spans="3:23" s="5" customFormat="1" x14ac:dyDescent="0.3">
      <c r="C154" s="2"/>
    </row>
    <row r="155" spans="3:23" s="5" customFormat="1" x14ac:dyDescent="0.3">
      <c r="C155" s="2"/>
    </row>
    <row r="156" spans="3:23" s="5" customFormat="1" x14ac:dyDescent="0.3">
      <c r="C156" s="2"/>
    </row>
    <row r="157" spans="3:23" s="5" customFormat="1" x14ac:dyDescent="0.3">
      <c r="C157" s="2"/>
    </row>
    <row r="158" spans="3:23" s="5" customFormat="1" x14ac:dyDescent="0.3">
      <c r="C158" s="2"/>
    </row>
    <row r="159" spans="3:23" s="5" customFormat="1" x14ac:dyDescent="0.3">
      <c r="C159" s="2"/>
    </row>
    <row r="160" spans="3:23" s="5" customFormat="1" x14ac:dyDescent="0.3">
      <c r="C160" s="2"/>
    </row>
    <row r="161" spans="3:3" s="5" customFormat="1" x14ac:dyDescent="0.3">
      <c r="C161" s="2"/>
    </row>
    <row r="162" spans="3:3" s="5" customFormat="1" ht="11.25" customHeight="1" x14ac:dyDescent="0.3">
      <c r="C162" s="2"/>
    </row>
    <row r="163" spans="3:3" s="5" customFormat="1" x14ac:dyDescent="0.3">
      <c r="C163" s="2"/>
    </row>
    <row r="164" spans="3:3" s="5" customFormat="1" x14ac:dyDescent="0.3">
      <c r="C164" s="2"/>
    </row>
    <row r="165" spans="3:3" s="5" customFormat="1" x14ac:dyDescent="0.3">
      <c r="C165" s="2"/>
    </row>
    <row r="166" spans="3:3" s="5" customFormat="1" x14ac:dyDescent="0.3">
      <c r="C166" s="2"/>
    </row>
    <row r="167" spans="3:3" s="5" customFormat="1" x14ac:dyDescent="0.3">
      <c r="C167" s="2"/>
    </row>
    <row r="168" spans="3:3" s="5" customFormat="1" x14ac:dyDescent="0.3">
      <c r="C168" s="2"/>
    </row>
    <row r="169" spans="3:3" s="5" customFormat="1" x14ac:dyDescent="0.3">
      <c r="C169" s="2"/>
    </row>
    <row r="170" spans="3:3" s="5" customFormat="1" x14ac:dyDescent="0.3">
      <c r="C170" s="2"/>
    </row>
    <row r="171" spans="3:3" s="5" customFormat="1" x14ac:dyDescent="0.3">
      <c r="C171" s="2"/>
    </row>
    <row r="172" spans="3:3" s="5" customFormat="1" x14ac:dyDescent="0.3">
      <c r="C172" s="2"/>
    </row>
  </sheetData>
  <phoneticPr fontId="1" type="noConversion"/>
  <pageMargins left="0.7" right="0.7" top="0.75" bottom="0.75" header="0.3" footer="0.3"/>
  <pageSetup paperSize="9"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93" sqref="G93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52</v>
      </c>
      <c r="B2" s="10" t="s">
        <v>55</v>
      </c>
      <c r="D2" s="60" t="s">
        <v>50</v>
      </c>
      <c r="E2" s="60"/>
      <c r="F2" s="60"/>
      <c r="G2" s="60"/>
      <c r="I2" s="60" t="s">
        <v>141</v>
      </c>
      <c r="J2" s="60"/>
      <c r="K2" s="11"/>
      <c r="L2" s="60" t="s">
        <v>142</v>
      </c>
      <c r="M2" s="60"/>
      <c r="O2" s="60" t="s">
        <v>210</v>
      </c>
      <c r="P2" s="60"/>
      <c r="Q2" s="60"/>
      <c r="R2" s="60"/>
      <c r="T2" s="60" t="s">
        <v>51</v>
      </c>
      <c r="U2" s="60"/>
      <c r="V2" s="60"/>
      <c r="W2" s="60"/>
    </row>
    <row r="3" spans="1:23" s="46" customFormat="1" x14ac:dyDescent="0.3">
      <c r="A3" s="12" t="s">
        <v>53</v>
      </c>
      <c r="C3" s="46" t="s">
        <v>44</v>
      </c>
      <c r="D3" s="46" t="s">
        <v>9</v>
      </c>
      <c r="E3" s="46" t="s">
        <v>10</v>
      </c>
      <c r="F3" s="46" t="s">
        <v>11</v>
      </c>
      <c r="G3" s="46" t="s">
        <v>157</v>
      </c>
      <c r="I3" s="46" t="s">
        <v>6</v>
      </c>
      <c r="J3" s="46" t="s">
        <v>7</v>
      </c>
      <c r="L3" s="46" t="s">
        <v>6</v>
      </c>
      <c r="M3" s="46" t="s">
        <v>7</v>
      </c>
      <c r="O3" s="46" t="s">
        <v>150</v>
      </c>
      <c r="P3" s="34" t="s">
        <v>151</v>
      </c>
      <c r="Q3" s="46" t="s">
        <v>152</v>
      </c>
      <c r="R3" s="46" t="s">
        <v>153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54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209</v>
      </c>
      <c r="B5" s="46" t="str">
        <f>A3&amp;"."&amp;A4&amp;"."&amp;A5&amp;A6&amp;"."</f>
        <v>SCL3.TS.EVS001.</v>
      </c>
      <c r="C5" s="41"/>
      <c r="D5" s="13"/>
      <c r="E5" s="13"/>
      <c r="F5" s="13" t="s">
        <v>137</v>
      </c>
      <c r="G5" s="13"/>
      <c r="I5" s="13" t="s">
        <v>49</v>
      </c>
      <c r="J5" s="13" t="s">
        <v>47</v>
      </c>
      <c r="L5" s="13" t="s">
        <v>138</v>
      </c>
      <c r="M5" s="14" t="s">
        <v>139</v>
      </c>
      <c r="O5" s="13" t="s">
        <v>102</v>
      </c>
      <c r="P5" s="13"/>
      <c r="Q5" s="13" t="s">
        <v>103</v>
      </c>
      <c r="R5" s="14"/>
      <c r="T5" s="13"/>
      <c r="U5" s="13"/>
      <c r="V5" s="13"/>
      <c r="W5" s="13"/>
    </row>
    <row r="6" spans="1:23" s="46" customFormat="1" x14ac:dyDescent="0.3">
      <c r="A6" s="12" t="s">
        <v>62</v>
      </c>
      <c r="B6" s="46" t="str">
        <f>A3&amp;":"&amp;A4&amp;":"&amp;A5&amp;A6&amp;":"</f>
        <v>SCL3:TS:EVS001:</v>
      </c>
      <c r="C6" s="41"/>
      <c r="D6" s="13"/>
      <c r="E6" s="13" t="s">
        <v>143</v>
      </c>
      <c r="F6" s="13" t="s">
        <v>105</v>
      </c>
      <c r="G6" s="13"/>
      <c r="I6" s="13"/>
      <c r="J6" s="13" t="s">
        <v>104</v>
      </c>
      <c r="L6" s="13"/>
      <c r="M6" s="13" t="s">
        <v>104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159</v>
      </c>
      <c r="E7" s="16"/>
      <c r="F7" s="16"/>
      <c r="G7" s="17"/>
      <c r="H7" s="46"/>
      <c r="I7" s="28" t="s">
        <v>340</v>
      </c>
      <c r="J7" s="29" t="s">
        <v>341</v>
      </c>
      <c r="K7" s="30"/>
      <c r="L7" s="28" t="s">
        <v>342</v>
      </c>
      <c r="M7" s="29" t="s">
        <v>343</v>
      </c>
      <c r="O7" s="18" t="s">
        <v>211</v>
      </c>
      <c r="P7" s="18"/>
      <c r="Q7" s="18" t="s">
        <v>212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57</v>
      </c>
      <c r="D10" s="38"/>
      <c r="E10" s="38"/>
      <c r="F10" s="38"/>
      <c r="G10" s="38"/>
      <c r="H10" s="46"/>
      <c r="I10" s="24">
        <v>30</v>
      </c>
      <c r="J10" s="24">
        <v>249999</v>
      </c>
      <c r="K10" s="4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213</v>
      </c>
      <c r="G11" s="33">
        <v>500</v>
      </c>
      <c r="H11" s="46"/>
      <c r="I11" s="24">
        <v>31</v>
      </c>
      <c r="J11" s="24">
        <v>249999</v>
      </c>
      <c r="K11" s="46"/>
      <c r="L11" s="24">
        <v>31</v>
      </c>
      <c r="M11" s="24">
        <v>249999</v>
      </c>
      <c r="O11" s="55" t="s">
        <v>702</v>
      </c>
      <c r="P11" s="55">
        <f>HEX2DEC(RIGHT(Table1323214[[#This Row],[h1]],8))</f>
        <v>65537</v>
      </c>
      <c r="Q11" s="55" t="s">
        <v>149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32</v>
      </c>
      <c r="J12" s="24">
        <v>249999</v>
      </c>
      <c r="K12" s="46"/>
      <c r="L12" s="24">
        <v>32</v>
      </c>
      <c r="M12" s="24">
        <v>249999</v>
      </c>
      <c r="O12" s="55" t="s">
        <v>703</v>
      </c>
      <c r="P12" s="55">
        <f>HEX2DEC(RIGHT(Table1323214[[#This Row],[h1]],8))</f>
        <v>131074</v>
      </c>
      <c r="Q12" s="55" t="s">
        <v>149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144</v>
      </c>
      <c r="H13" s="46"/>
      <c r="I13" s="20">
        <v>33</v>
      </c>
      <c r="J13" s="24">
        <v>249999</v>
      </c>
      <c r="K13" s="46"/>
      <c r="L13" s="20">
        <v>33</v>
      </c>
      <c r="M13" s="24">
        <v>249999</v>
      </c>
      <c r="O13" s="55" t="s">
        <v>704</v>
      </c>
      <c r="P13" s="55">
        <f>HEX2DEC(RIGHT(Table1323214[[#This Row],[h1]],8))</f>
        <v>262148</v>
      </c>
      <c r="Q13" s="55" t="s">
        <v>149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214</v>
      </c>
      <c r="G14" s="33">
        <v>0</v>
      </c>
      <c r="H14" s="46"/>
      <c r="I14" s="20">
        <v>34</v>
      </c>
      <c r="J14" s="24">
        <v>249999</v>
      </c>
      <c r="K14" s="46"/>
      <c r="L14" s="20">
        <v>34</v>
      </c>
      <c r="M14" s="24">
        <v>249999</v>
      </c>
      <c r="O14" s="55" t="s">
        <v>705</v>
      </c>
      <c r="P14" s="55">
        <f>HEX2DEC(RIGHT(Table1323214[[#This Row],[h1]],8))</f>
        <v>524296</v>
      </c>
      <c r="Q14" s="55" t="s">
        <v>149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215</v>
      </c>
      <c r="G15" s="33">
        <v>0</v>
      </c>
      <c r="H15" s="46"/>
      <c r="I15" s="24" t="s">
        <v>726</v>
      </c>
      <c r="J15" s="24">
        <v>249999</v>
      </c>
      <c r="K15" s="46"/>
      <c r="L15" s="24" t="s">
        <v>140</v>
      </c>
      <c r="M15" s="24">
        <v>249999</v>
      </c>
      <c r="O15" s="55" t="s">
        <v>706</v>
      </c>
      <c r="P15" s="55">
        <f>HEX2DEC(RIGHT(Table1323214[[#This Row],[h1]],8))</f>
        <v>1048592</v>
      </c>
      <c r="Q15" s="55" t="s">
        <v>149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216</v>
      </c>
      <c r="G16" s="33">
        <v>0</v>
      </c>
      <c r="H16" s="46"/>
      <c r="J16" s="24">
        <v>50000</v>
      </c>
      <c r="K16" s="46"/>
      <c r="L16" s="24">
        <v>16</v>
      </c>
      <c r="M16" s="24">
        <v>50000</v>
      </c>
      <c r="O16" s="55" t="s">
        <v>707</v>
      </c>
      <c r="P16" s="55">
        <f>HEX2DEC(RIGHT(Table1323214[[#This Row],[h1]],8))</f>
        <v>2097184</v>
      </c>
      <c r="Q16" s="55" t="s">
        <v>149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217</v>
      </c>
      <c r="G17" s="33">
        <v>0</v>
      </c>
      <c r="H17" s="46"/>
      <c r="J17" s="24">
        <v>50000</v>
      </c>
      <c r="K17" s="46"/>
      <c r="L17" s="24">
        <v>17</v>
      </c>
      <c r="M17" s="24">
        <v>50000</v>
      </c>
      <c r="O17" s="55" t="s">
        <v>708</v>
      </c>
      <c r="P17" s="55">
        <f>HEX2DEC(RIGHT(Table1323214[[#This Row],[h1]],8))</f>
        <v>4194368</v>
      </c>
      <c r="Q17" s="55" t="s">
        <v>149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218</v>
      </c>
      <c r="G18" s="33">
        <v>0</v>
      </c>
      <c r="H18" s="46"/>
      <c r="J18" s="24">
        <v>50000</v>
      </c>
      <c r="K18" s="46"/>
      <c r="L18" s="24">
        <v>18</v>
      </c>
      <c r="M18" s="24">
        <v>50000</v>
      </c>
      <c r="O18" s="55" t="s">
        <v>709</v>
      </c>
      <c r="P18" s="55">
        <f>HEX2DEC(RIGHT(Table1323214[[#This Row],[h1]],8))</f>
        <v>8388736</v>
      </c>
      <c r="Q18" s="55" t="s">
        <v>149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219</v>
      </c>
      <c r="G19" s="33">
        <v>0</v>
      </c>
      <c r="H19" s="46"/>
      <c r="J19" s="24">
        <v>50000</v>
      </c>
      <c r="K19" s="46"/>
      <c r="L19" s="24">
        <v>19</v>
      </c>
      <c r="M19" s="24">
        <v>50000</v>
      </c>
      <c r="O19" s="55" t="s">
        <v>710</v>
      </c>
      <c r="P19" s="55">
        <f>HEX2DEC(RIGHT(Table1323214[[#This Row],[h1]],8))</f>
        <v>16777472</v>
      </c>
      <c r="Q19" s="55" t="s">
        <v>149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220</v>
      </c>
      <c r="G20" s="33">
        <v>0</v>
      </c>
      <c r="H20" s="46"/>
      <c r="J20" s="24">
        <v>50000</v>
      </c>
      <c r="K20" s="46"/>
      <c r="L20" s="24">
        <v>20</v>
      </c>
      <c r="M20" s="24">
        <v>50000</v>
      </c>
      <c r="O20" s="55" t="s">
        <v>711</v>
      </c>
      <c r="P20" s="55">
        <f>HEX2DEC(RIGHT(Table1323214[[#This Row],[h1]],8))</f>
        <v>33554944</v>
      </c>
      <c r="Q20" s="55" t="s">
        <v>149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221</v>
      </c>
      <c r="G21" s="33">
        <v>0</v>
      </c>
      <c r="H21" s="46"/>
      <c r="J21" s="24">
        <v>50000</v>
      </c>
      <c r="K21" s="46"/>
      <c r="L21" s="24">
        <v>21</v>
      </c>
      <c r="M21" s="24">
        <v>50000</v>
      </c>
      <c r="O21" s="55" t="s">
        <v>712</v>
      </c>
      <c r="P21" s="55">
        <f>HEX2DEC(RIGHT(Table1323214[[#This Row],[h1]],8))</f>
        <v>67109888</v>
      </c>
      <c r="Q21" s="55" t="s">
        <v>149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J22" s="24">
        <v>50000</v>
      </c>
      <c r="K22" s="46"/>
      <c r="L22" s="24">
        <v>22</v>
      </c>
      <c r="M22" s="24">
        <v>50000</v>
      </c>
      <c r="O22" s="55" t="s">
        <v>713</v>
      </c>
      <c r="P22" s="55">
        <f>HEX2DEC(RIGHT(Table1323214[[#This Row],[h1]],8))</f>
        <v>134219776</v>
      </c>
      <c r="Q22" s="55" t="s">
        <v>149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J23" s="24">
        <v>50000</v>
      </c>
      <c r="K23" s="46"/>
      <c r="L23" s="24">
        <v>23</v>
      </c>
      <c r="M23" s="24">
        <v>50000</v>
      </c>
      <c r="O23" s="55" t="s">
        <v>714</v>
      </c>
      <c r="P23" s="55">
        <f>HEX2DEC(RIGHT(Table1323214[[#This Row],[h1]],8))</f>
        <v>268439552</v>
      </c>
      <c r="Q23" s="55" t="s">
        <v>149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145</v>
      </c>
      <c r="H24" s="46"/>
      <c r="J24" s="24">
        <v>50000</v>
      </c>
      <c r="K24" s="46"/>
      <c r="L24" s="24">
        <v>24</v>
      </c>
      <c r="M24" s="24">
        <v>50000</v>
      </c>
      <c r="O24" s="55" t="s">
        <v>715</v>
      </c>
      <c r="P24" s="55">
        <f>HEX2DEC(RIGHT(Table1323214[[#This Row],[h1]],8))</f>
        <v>536879104</v>
      </c>
      <c r="Q24" s="55" t="s">
        <v>149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222</v>
      </c>
      <c r="G25" s="33">
        <v>0</v>
      </c>
      <c r="H25" s="46"/>
      <c r="J25" s="24">
        <v>50000</v>
      </c>
      <c r="K25" s="46"/>
      <c r="L25" s="24">
        <v>25</v>
      </c>
      <c r="M25" s="24">
        <v>50000</v>
      </c>
      <c r="O25" s="55" t="s">
        <v>716</v>
      </c>
      <c r="P25" s="55">
        <f>HEX2DEC(RIGHT(Table1323214[[#This Row],[h1]],8))</f>
        <v>1073758208</v>
      </c>
      <c r="Q25" s="55" t="s">
        <v>149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223</v>
      </c>
      <c r="G26" s="33">
        <v>0</v>
      </c>
      <c r="H26" s="46"/>
      <c r="J26" s="24">
        <v>50000</v>
      </c>
      <c r="K26" s="46"/>
      <c r="L26" s="24">
        <v>26</v>
      </c>
      <c r="M26" s="24">
        <v>50000</v>
      </c>
      <c r="O26" s="55" t="s">
        <v>717</v>
      </c>
      <c r="P26" s="55">
        <f>HEX2DEC(RIGHT(Table1323214[[#This Row],[h1]],8))</f>
        <v>2147516416</v>
      </c>
      <c r="Q26" s="55" t="s">
        <v>149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224</v>
      </c>
      <c r="G27" s="33">
        <v>0</v>
      </c>
      <c r="H27" s="46"/>
      <c r="J27" s="24">
        <v>50000</v>
      </c>
      <c r="K27" s="46"/>
      <c r="L27" s="24">
        <v>27</v>
      </c>
      <c r="M27" s="24">
        <v>50000</v>
      </c>
      <c r="O27" s="55" t="s">
        <v>149</v>
      </c>
      <c r="P27" s="55">
        <f>HEX2DEC(RIGHT(Table1323214[[#This Row],[h1]],8))</f>
        <v>0</v>
      </c>
      <c r="Q27" s="55" t="s">
        <v>149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225</v>
      </c>
      <c r="G28" s="33">
        <v>0</v>
      </c>
      <c r="H28" s="46"/>
      <c r="J28" s="24">
        <v>50000</v>
      </c>
      <c r="K28" s="46"/>
      <c r="L28" s="24">
        <v>28</v>
      </c>
      <c r="M28" s="24">
        <v>50000</v>
      </c>
      <c r="O28" s="55" t="s">
        <v>149</v>
      </c>
      <c r="P28" s="55">
        <f>HEX2DEC(RIGHT(Table1323214[[#This Row],[h1]],8))</f>
        <v>0</v>
      </c>
      <c r="Q28" s="55" t="s">
        <v>149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226</v>
      </c>
      <c r="G29" s="33">
        <v>0</v>
      </c>
      <c r="H29" s="46"/>
      <c r="J29" s="24">
        <v>50000</v>
      </c>
      <c r="K29" s="46"/>
      <c r="L29" s="24">
        <v>29</v>
      </c>
      <c r="M29" s="24">
        <v>50000</v>
      </c>
      <c r="O29" s="55" t="s">
        <v>149</v>
      </c>
      <c r="P29" s="55">
        <f>HEX2DEC(RIGHT(Table1323214[[#This Row],[h1]],8))</f>
        <v>0</v>
      </c>
      <c r="Q29" s="55" t="s">
        <v>149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227</v>
      </c>
      <c r="G30" s="33">
        <v>0</v>
      </c>
      <c r="H30" s="46"/>
      <c r="J30" s="24">
        <v>50000</v>
      </c>
      <c r="K30" s="46"/>
      <c r="L30" s="24">
        <v>30</v>
      </c>
      <c r="M30" s="24">
        <v>50000</v>
      </c>
      <c r="O30" s="55" t="s">
        <v>149</v>
      </c>
      <c r="P30" s="55">
        <f>HEX2DEC(RIGHT(Table1323214[[#This Row],[h1]],8))</f>
        <v>0</v>
      </c>
      <c r="Q30" s="55" t="s">
        <v>149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228</v>
      </c>
      <c r="G31" s="33">
        <v>0</v>
      </c>
      <c r="H31" s="46"/>
      <c r="J31" s="24">
        <v>50000</v>
      </c>
      <c r="K31" s="46"/>
      <c r="L31" s="20"/>
      <c r="M31" s="24">
        <v>50000</v>
      </c>
      <c r="O31" s="55" t="s">
        <v>149</v>
      </c>
      <c r="P31" s="55">
        <f>HEX2DEC(RIGHT(Table1323214[[#This Row],[h1]],8))</f>
        <v>0</v>
      </c>
      <c r="Q31" s="55" t="s">
        <v>149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229</v>
      </c>
      <c r="G32" s="33">
        <v>0</v>
      </c>
      <c r="H32" s="46"/>
      <c r="J32" s="24">
        <v>50000</v>
      </c>
      <c r="K32" s="46"/>
      <c r="M32" s="24">
        <v>50000</v>
      </c>
      <c r="O32" s="55" t="s">
        <v>149</v>
      </c>
      <c r="P32" s="55">
        <f>HEX2DEC(RIGHT(Table1323214[[#This Row],[h1]],8))</f>
        <v>0</v>
      </c>
      <c r="Q32" s="55" t="s">
        <v>149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230</v>
      </c>
      <c r="G33" s="33">
        <v>0</v>
      </c>
      <c r="H33" s="46"/>
      <c r="J33" s="24">
        <v>50000</v>
      </c>
      <c r="K33" s="46"/>
      <c r="M33" s="24">
        <v>50000</v>
      </c>
      <c r="O33" s="55" t="s">
        <v>149</v>
      </c>
      <c r="P33" s="55">
        <f>HEX2DEC(RIGHT(Table1323214[[#This Row],[h1]],8))</f>
        <v>0</v>
      </c>
      <c r="Q33" s="55" t="s">
        <v>149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231</v>
      </c>
      <c r="G34" s="33">
        <v>0</v>
      </c>
      <c r="H34" s="46"/>
      <c r="J34" s="24">
        <v>50000</v>
      </c>
      <c r="K34" s="46"/>
      <c r="M34" s="24">
        <v>50000</v>
      </c>
      <c r="O34" s="55" t="s">
        <v>149</v>
      </c>
      <c r="P34" s="55">
        <f>HEX2DEC(RIGHT(Table1323214[[#This Row],[h1]],8))</f>
        <v>0</v>
      </c>
      <c r="Q34" s="55" t="s">
        <v>149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232</v>
      </c>
      <c r="G35" s="33">
        <v>0</v>
      </c>
      <c r="H35" s="46"/>
      <c r="J35" s="24">
        <v>50000</v>
      </c>
      <c r="K35" s="46"/>
      <c r="M35" s="24">
        <v>50000</v>
      </c>
      <c r="O35" s="55" t="s">
        <v>149</v>
      </c>
      <c r="P35" s="55">
        <f>HEX2DEC(RIGHT(Table1323214[[#This Row],[h1]],8))</f>
        <v>0</v>
      </c>
      <c r="Q35" s="55" t="s">
        <v>149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233</v>
      </c>
      <c r="G36" s="33">
        <v>0</v>
      </c>
      <c r="H36" s="46"/>
      <c r="J36" s="24">
        <v>50000</v>
      </c>
      <c r="K36" s="46"/>
      <c r="M36" s="24">
        <v>50000</v>
      </c>
      <c r="O36" s="55" t="s">
        <v>149</v>
      </c>
      <c r="P36" s="55">
        <f>HEX2DEC(RIGHT(Table1323214[[#This Row],[h1]],8))</f>
        <v>0</v>
      </c>
      <c r="Q36" s="55" t="s">
        <v>149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234</v>
      </c>
      <c r="G37" s="33">
        <v>0</v>
      </c>
      <c r="H37" s="46"/>
      <c r="J37" s="24">
        <v>50000</v>
      </c>
      <c r="K37" s="46"/>
      <c r="M37" s="24">
        <v>50000</v>
      </c>
      <c r="O37" s="55" t="s">
        <v>149</v>
      </c>
      <c r="P37" s="55">
        <f>HEX2DEC(RIGHT(Table1323214[[#This Row],[h1]],8))</f>
        <v>0</v>
      </c>
      <c r="Q37" s="55" t="s">
        <v>149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235</v>
      </c>
      <c r="G38" s="33">
        <v>0</v>
      </c>
      <c r="H38" s="46"/>
      <c r="J38" s="24">
        <v>50000</v>
      </c>
      <c r="K38" s="46"/>
      <c r="L38" s="20" t="s">
        <v>140</v>
      </c>
      <c r="M38" s="24">
        <v>50000</v>
      </c>
      <c r="O38" s="55" t="s">
        <v>149</v>
      </c>
      <c r="P38" s="55">
        <f>HEX2DEC(RIGHT(Table1323214[[#This Row],[h1]],8))</f>
        <v>0</v>
      </c>
      <c r="Q38" s="55" t="s">
        <v>149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236</v>
      </c>
      <c r="G39" s="33">
        <v>0</v>
      </c>
      <c r="H39" s="46"/>
      <c r="J39" s="24">
        <v>50000</v>
      </c>
      <c r="K39" s="46"/>
      <c r="M39" s="24">
        <v>50000</v>
      </c>
      <c r="O39" s="55" t="s">
        <v>149</v>
      </c>
      <c r="P39" s="55">
        <f>HEX2DEC(RIGHT(Table1323214[[#This Row],[h1]],8))</f>
        <v>0</v>
      </c>
      <c r="Q39" s="55" t="s">
        <v>149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J40" s="24">
        <v>50000</v>
      </c>
      <c r="K40" s="46"/>
      <c r="M40" s="24">
        <v>50000</v>
      </c>
      <c r="O40" s="55" t="s">
        <v>727</v>
      </c>
      <c r="P40" s="55">
        <f>HEX2DEC(RIGHT(Table1323214[[#This Row],[h1]],8))</f>
        <v>65536</v>
      </c>
      <c r="Q40" s="55" t="s">
        <v>149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237</v>
      </c>
      <c r="G41" s="33">
        <v>0</v>
      </c>
      <c r="H41" s="46"/>
      <c r="J41" s="24">
        <v>50000</v>
      </c>
      <c r="K41" s="46"/>
      <c r="M41" s="24">
        <v>50000</v>
      </c>
      <c r="O41" s="55" t="s">
        <v>728</v>
      </c>
      <c r="P41" s="55">
        <f>HEX2DEC(RIGHT(Table1323214[[#This Row],[h1]],8))</f>
        <v>196608</v>
      </c>
      <c r="Q41" s="55" t="s">
        <v>149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238</v>
      </c>
      <c r="G42" s="33">
        <v>0</v>
      </c>
      <c r="H42" s="46"/>
      <c r="J42" s="24">
        <v>50000</v>
      </c>
      <c r="K42" s="46"/>
      <c r="M42" s="24">
        <v>50000</v>
      </c>
      <c r="O42" s="55" t="s">
        <v>729</v>
      </c>
      <c r="P42" s="55">
        <f>HEX2DEC(RIGHT(Table1323214[[#This Row],[h1]],8))</f>
        <v>458752</v>
      </c>
      <c r="Q42" s="55" t="s">
        <v>149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239</v>
      </c>
      <c r="G43" s="33">
        <v>0</v>
      </c>
      <c r="H43" s="46"/>
      <c r="J43" s="24">
        <v>50000</v>
      </c>
      <c r="K43" s="46"/>
      <c r="M43" s="24">
        <v>50000</v>
      </c>
      <c r="O43" s="55" t="s">
        <v>730</v>
      </c>
      <c r="P43" s="55">
        <f>HEX2DEC(RIGHT(Table1323214[[#This Row],[h1]],8))</f>
        <v>983040</v>
      </c>
      <c r="Q43" s="55" t="s">
        <v>149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240</v>
      </c>
      <c r="G44" s="33">
        <v>0</v>
      </c>
      <c r="H44" s="46"/>
      <c r="J44" s="24">
        <v>50000</v>
      </c>
      <c r="K44" s="46"/>
      <c r="M44" s="24">
        <v>50000</v>
      </c>
      <c r="O44" s="55" t="s">
        <v>565</v>
      </c>
      <c r="P44" s="55">
        <f>HEX2DEC(RIGHT(Table1323214[[#This Row],[h1]],8))</f>
        <v>4294901760</v>
      </c>
      <c r="Q44" s="55" t="s">
        <v>149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241</v>
      </c>
      <c r="G45" s="33">
        <v>0</v>
      </c>
      <c r="H45" s="46"/>
      <c r="J45" s="24">
        <v>50000</v>
      </c>
      <c r="K45" s="46"/>
      <c r="M45" s="24">
        <v>50000</v>
      </c>
      <c r="O45" s="46" t="s">
        <v>149</v>
      </c>
      <c r="P45" s="46">
        <f>HEX2DEC(RIGHT(Table13232127[[#This Row],[h1]],8))</f>
        <v>0</v>
      </c>
      <c r="Q45" s="46" t="s">
        <v>149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242</v>
      </c>
      <c r="G46" s="33">
        <v>0</v>
      </c>
      <c r="H46" s="46"/>
      <c r="I46" s="20" t="s">
        <v>140</v>
      </c>
      <c r="J46" s="24">
        <v>50000</v>
      </c>
      <c r="K46" s="46"/>
      <c r="M46" s="24">
        <v>50000</v>
      </c>
      <c r="O46" s="46" t="s">
        <v>149</v>
      </c>
      <c r="P46" s="46">
        <f>HEX2DEC(RIGHT(Table13232127[[#This Row],[h1]],8))</f>
        <v>0</v>
      </c>
      <c r="Q46" s="46" t="s">
        <v>149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243</v>
      </c>
      <c r="G47" s="33">
        <v>0</v>
      </c>
      <c r="H47" s="46"/>
      <c r="J47" s="24">
        <v>50000</v>
      </c>
      <c r="K47" s="46"/>
      <c r="M47" s="24">
        <v>50000</v>
      </c>
      <c r="O47" s="46" t="s">
        <v>149</v>
      </c>
      <c r="P47" s="46">
        <f>HEX2DEC(RIGHT(Table13232127[[#This Row],[h1]],8))</f>
        <v>0</v>
      </c>
      <c r="Q47" s="46" t="s">
        <v>149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244</v>
      </c>
      <c r="G48" s="33">
        <v>0</v>
      </c>
      <c r="H48" s="46"/>
      <c r="J48" s="24">
        <v>50000</v>
      </c>
      <c r="K48" s="46"/>
      <c r="M48" s="24">
        <v>50000</v>
      </c>
      <c r="O48" s="46" t="s">
        <v>149</v>
      </c>
      <c r="P48" s="46">
        <f>HEX2DEC(RIGHT(Table13232127[[#This Row],[h1]],8))</f>
        <v>0</v>
      </c>
      <c r="Q48" s="46" t="s">
        <v>149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245</v>
      </c>
      <c r="G49" s="33">
        <v>0</v>
      </c>
      <c r="H49" s="46"/>
      <c r="J49" s="24">
        <v>50000</v>
      </c>
      <c r="K49" s="46"/>
      <c r="M49" s="24">
        <v>50000</v>
      </c>
      <c r="O49" s="46" t="s">
        <v>149</v>
      </c>
      <c r="P49" s="46">
        <f>HEX2DEC(RIGHT(Table13232127[[#This Row],[h1]],8))</f>
        <v>0</v>
      </c>
      <c r="Q49" s="46" t="s">
        <v>149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246</v>
      </c>
      <c r="G50" s="33">
        <v>0</v>
      </c>
      <c r="H50" s="46"/>
      <c r="J50" s="24">
        <v>50000</v>
      </c>
      <c r="K50" s="46"/>
      <c r="M50" s="24">
        <v>50000</v>
      </c>
      <c r="O50" s="46" t="s">
        <v>149</v>
      </c>
      <c r="P50" s="46">
        <f>HEX2DEC(RIGHT(Table13232127[[#This Row],[h1]],8))</f>
        <v>0</v>
      </c>
      <c r="Q50" s="46" t="s">
        <v>149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247</v>
      </c>
      <c r="G51" s="33">
        <v>0</v>
      </c>
      <c r="H51" s="46"/>
      <c r="J51" s="24">
        <v>50000</v>
      </c>
      <c r="K51" s="46"/>
      <c r="M51" s="24">
        <v>50000</v>
      </c>
      <c r="O51" s="46" t="s">
        <v>149</v>
      </c>
      <c r="P51" s="46">
        <f>HEX2DEC(RIGHT(Table13232127[[#This Row],[h1]],8))</f>
        <v>0</v>
      </c>
      <c r="Q51" s="46" t="s">
        <v>149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248</v>
      </c>
      <c r="G52" s="33">
        <v>0</v>
      </c>
      <c r="H52" s="46"/>
      <c r="J52" s="24">
        <v>50000</v>
      </c>
      <c r="K52" s="46"/>
      <c r="M52" s="24">
        <v>50000</v>
      </c>
      <c r="O52" s="46" t="s">
        <v>149</v>
      </c>
      <c r="P52" s="46">
        <f>HEX2DEC(RIGHT(Table13232127[[#This Row],[h1]],8))</f>
        <v>0</v>
      </c>
      <c r="Q52" s="46" t="s">
        <v>149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249</v>
      </c>
      <c r="G53" s="33">
        <v>0</v>
      </c>
      <c r="H53" s="46"/>
      <c r="J53" s="24">
        <v>50000</v>
      </c>
      <c r="K53" s="46"/>
      <c r="M53" s="24">
        <v>50000</v>
      </c>
      <c r="O53" s="46" t="s">
        <v>149</v>
      </c>
      <c r="P53" s="46">
        <f>HEX2DEC(RIGHT(Table13232127[[#This Row],[h1]],8))</f>
        <v>0</v>
      </c>
      <c r="Q53" s="46" t="s">
        <v>149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250</v>
      </c>
      <c r="G54" s="33">
        <v>0</v>
      </c>
      <c r="H54" s="46"/>
      <c r="J54" s="24">
        <v>50000</v>
      </c>
      <c r="K54" s="46"/>
      <c r="M54" s="24">
        <v>50000</v>
      </c>
      <c r="O54" s="46" t="s">
        <v>149</v>
      </c>
      <c r="P54" s="46">
        <f>HEX2DEC(RIGHT(Table13232127[[#This Row],[h1]],8))</f>
        <v>0</v>
      </c>
      <c r="Q54" s="46" t="s">
        <v>149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251</v>
      </c>
      <c r="G55" s="33">
        <v>0</v>
      </c>
      <c r="H55" s="46"/>
      <c r="J55" s="24">
        <v>50000</v>
      </c>
      <c r="K55" s="46"/>
      <c r="M55" s="24">
        <v>50000</v>
      </c>
      <c r="O55" s="46" t="s">
        <v>149</v>
      </c>
      <c r="P55" s="46">
        <f>HEX2DEC(RIGHT(Table13232127[[#This Row],[h1]],8))</f>
        <v>0</v>
      </c>
      <c r="Q55" s="46" t="s">
        <v>149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252</v>
      </c>
      <c r="G56" s="33">
        <v>0</v>
      </c>
      <c r="H56" s="46"/>
      <c r="J56" s="24">
        <v>50000</v>
      </c>
      <c r="K56" s="46"/>
      <c r="M56" s="24">
        <v>50000</v>
      </c>
      <c r="O56" s="46" t="s">
        <v>149</v>
      </c>
      <c r="P56" s="46">
        <f>HEX2DEC(RIGHT(Table13232127[[#This Row],[h1]],8))</f>
        <v>0</v>
      </c>
      <c r="Q56" s="46" t="s">
        <v>149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253</v>
      </c>
      <c r="G57" s="33">
        <v>0</v>
      </c>
      <c r="H57" s="46"/>
      <c r="J57" s="24">
        <v>50000</v>
      </c>
      <c r="K57" s="46"/>
      <c r="M57" s="24">
        <v>50000</v>
      </c>
      <c r="O57" s="46" t="s">
        <v>149</v>
      </c>
      <c r="P57" s="46">
        <f>HEX2DEC(RIGHT(Table13232127[[#This Row],[h1]],8))</f>
        <v>0</v>
      </c>
      <c r="Q57" s="46" t="s">
        <v>149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254</v>
      </c>
      <c r="G58" s="33">
        <v>0</v>
      </c>
      <c r="H58" s="46"/>
      <c r="J58" s="24">
        <v>50000</v>
      </c>
      <c r="K58" s="46"/>
      <c r="M58" s="24">
        <v>50000</v>
      </c>
      <c r="O58" s="46" t="s">
        <v>149</v>
      </c>
      <c r="P58" s="46">
        <f>HEX2DEC(RIGHT(Table13232127[[#This Row],[h1]],8))</f>
        <v>0</v>
      </c>
      <c r="Q58" s="46" t="s">
        <v>149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255</v>
      </c>
      <c r="G59" s="33">
        <v>0</v>
      </c>
      <c r="H59" s="46"/>
      <c r="J59" s="24">
        <v>50000</v>
      </c>
      <c r="K59" s="46"/>
      <c r="M59" s="24">
        <v>50000</v>
      </c>
      <c r="O59" s="46" t="s">
        <v>149</v>
      </c>
      <c r="P59" s="46">
        <f>HEX2DEC(RIGHT(Table13232127[[#This Row],[h1]],8))</f>
        <v>0</v>
      </c>
      <c r="Q59" s="46" t="s">
        <v>149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256</v>
      </c>
      <c r="G60" s="33">
        <v>0</v>
      </c>
      <c r="H60" s="46"/>
      <c r="J60" s="24">
        <v>50000</v>
      </c>
      <c r="K60" s="46"/>
      <c r="M60" s="24">
        <v>50000</v>
      </c>
      <c r="O60" s="46" t="s">
        <v>149</v>
      </c>
      <c r="P60" s="46">
        <f>HEX2DEC(RIGHT(Table13232127[[#This Row],[h1]],8))</f>
        <v>0</v>
      </c>
      <c r="Q60" s="46" t="s">
        <v>149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257</v>
      </c>
      <c r="G61" s="33">
        <v>0</v>
      </c>
      <c r="H61" s="46"/>
      <c r="J61" s="24">
        <v>50000</v>
      </c>
      <c r="K61" s="46"/>
      <c r="M61" s="24">
        <v>50000</v>
      </c>
      <c r="O61" s="46" t="s">
        <v>149</v>
      </c>
      <c r="P61" s="46">
        <f>HEX2DEC(RIGHT(Table13232127[[#This Row],[h1]],8))</f>
        <v>0</v>
      </c>
      <c r="Q61" s="46" t="s">
        <v>149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258</v>
      </c>
      <c r="G62" s="33">
        <v>0</v>
      </c>
      <c r="J62" s="24">
        <v>50000</v>
      </c>
      <c r="M62" s="24">
        <v>50000</v>
      </c>
      <c r="O62" s="46" t="s">
        <v>149</v>
      </c>
      <c r="P62" s="46">
        <f>HEX2DEC(RIGHT(Table13232127[[#This Row],[h1]],8))</f>
        <v>0</v>
      </c>
      <c r="Q62" s="46" t="s">
        <v>149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259</v>
      </c>
      <c r="G63" s="33">
        <v>0</v>
      </c>
      <c r="J63" s="24">
        <v>50000</v>
      </c>
      <c r="M63" s="24">
        <v>50000</v>
      </c>
      <c r="O63" s="46" t="s">
        <v>149</v>
      </c>
      <c r="P63" s="46">
        <f>HEX2DEC(RIGHT(Table13232127[[#This Row],[h1]],8))</f>
        <v>0</v>
      </c>
      <c r="Q63" s="46" t="s">
        <v>149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260</v>
      </c>
      <c r="G64" s="33">
        <v>0</v>
      </c>
      <c r="J64" s="24">
        <v>50000</v>
      </c>
      <c r="M64" s="24">
        <v>50000</v>
      </c>
      <c r="O64" s="46" t="s">
        <v>149</v>
      </c>
      <c r="P64" s="46">
        <f>HEX2DEC(RIGHT(Table13232127[[#This Row],[h1]],8))</f>
        <v>0</v>
      </c>
      <c r="Q64" s="46" t="s">
        <v>149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261</v>
      </c>
      <c r="G65" s="33">
        <v>0</v>
      </c>
      <c r="J65" s="24">
        <v>50000</v>
      </c>
      <c r="M65" s="24">
        <v>50000</v>
      </c>
      <c r="O65" s="46" t="s">
        <v>149</v>
      </c>
      <c r="P65" s="46">
        <f>HEX2DEC(RIGHT(Table13232127[[#This Row],[h1]],8))</f>
        <v>0</v>
      </c>
      <c r="Q65" s="46" t="s">
        <v>149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262</v>
      </c>
      <c r="G66" s="33">
        <v>0</v>
      </c>
      <c r="J66" s="24">
        <v>50000</v>
      </c>
      <c r="M66" s="24">
        <v>50000</v>
      </c>
      <c r="O66" s="46" t="s">
        <v>149</v>
      </c>
      <c r="P66" s="46">
        <f>HEX2DEC(RIGHT(Table13232127[[#This Row],[h1]],8))</f>
        <v>0</v>
      </c>
      <c r="Q66" s="46" t="s">
        <v>149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263</v>
      </c>
      <c r="G67" s="33">
        <v>0</v>
      </c>
      <c r="J67" s="24">
        <v>50000</v>
      </c>
      <c r="M67" s="24">
        <v>50000</v>
      </c>
      <c r="O67" s="46" t="s">
        <v>149</v>
      </c>
      <c r="P67" s="46">
        <f>HEX2DEC(RIGHT(Table13232127[[#This Row],[h1]],8))</f>
        <v>0</v>
      </c>
      <c r="Q67" s="46" t="s">
        <v>149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264</v>
      </c>
      <c r="G68" s="33">
        <v>0</v>
      </c>
      <c r="J68" s="24">
        <v>50000</v>
      </c>
      <c r="M68" s="24">
        <v>50000</v>
      </c>
      <c r="O68" s="46" t="s">
        <v>149</v>
      </c>
      <c r="P68" s="46">
        <f>HEX2DEC(RIGHT(Table13232127[[#This Row],[h1]],8))</f>
        <v>0</v>
      </c>
      <c r="Q68" s="46" t="s">
        <v>149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265</v>
      </c>
      <c r="G69" s="33">
        <v>0</v>
      </c>
      <c r="J69" s="24">
        <v>50000</v>
      </c>
      <c r="M69" s="24">
        <v>50000</v>
      </c>
      <c r="O69" s="46" t="s">
        <v>149</v>
      </c>
      <c r="P69" s="46">
        <f>HEX2DEC(RIGHT(Table13232127[[#This Row],[h1]],8))</f>
        <v>0</v>
      </c>
      <c r="Q69" s="46" t="s">
        <v>149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266</v>
      </c>
      <c r="G70" s="33">
        <v>0</v>
      </c>
      <c r="J70" s="24">
        <v>50000</v>
      </c>
      <c r="M70" s="24">
        <v>50000</v>
      </c>
      <c r="O70" s="46" t="s">
        <v>149</v>
      </c>
      <c r="P70" s="46">
        <f>HEX2DEC(RIGHT(Table13232127[[#This Row],[h1]],8))</f>
        <v>0</v>
      </c>
      <c r="Q70" s="46" t="s">
        <v>149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267</v>
      </c>
      <c r="G71" s="33">
        <v>0</v>
      </c>
      <c r="J71" s="24">
        <v>50000</v>
      </c>
      <c r="M71" s="24">
        <v>50000</v>
      </c>
      <c r="O71" s="46" t="s">
        <v>149</v>
      </c>
      <c r="P71" s="46">
        <f>HEX2DEC(RIGHT(Table13232127[[#This Row],[h1]],8))</f>
        <v>0</v>
      </c>
      <c r="Q71" s="46" t="s">
        <v>149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268</v>
      </c>
      <c r="G72" s="33">
        <v>0</v>
      </c>
      <c r="J72" s="24">
        <v>50000</v>
      </c>
      <c r="M72" s="24">
        <v>50000</v>
      </c>
      <c r="O72" s="46" t="s">
        <v>149</v>
      </c>
      <c r="P72" s="46">
        <f>HEX2DEC(RIGHT(Table13232127[[#This Row],[h1]],8))</f>
        <v>0</v>
      </c>
      <c r="Q72" s="46" t="s">
        <v>149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6" t="s">
        <v>149</v>
      </c>
      <c r="P73" s="46">
        <f>HEX2DEC(RIGHT(Table13232127[[#This Row],[h1]],8))</f>
        <v>0</v>
      </c>
      <c r="Q73" s="46" t="s">
        <v>149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269</v>
      </c>
      <c r="G74" s="33">
        <v>0</v>
      </c>
      <c r="J74" s="24">
        <v>50000</v>
      </c>
      <c r="M74" s="24">
        <v>50000</v>
      </c>
      <c r="O74" s="46" t="s">
        <v>149</v>
      </c>
      <c r="P74" s="46">
        <f>HEX2DEC(RIGHT(Table13232127[[#This Row],[h1]],8))</f>
        <v>0</v>
      </c>
      <c r="Q74" s="46" t="s">
        <v>149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270</v>
      </c>
      <c r="G75" s="33">
        <v>0</v>
      </c>
      <c r="J75" s="24">
        <v>50000</v>
      </c>
      <c r="M75" s="24">
        <v>50000</v>
      </c>
      <c r="O75" s="46" t="s">
        <v>149</v>
      </c>
      <c r="P75" s="46">
        <f>HEX2DEC(RIGHT(Table13232127[[#This Row],[h1]],8))</f>
        <v>0</v>
      </c>
      <c r="Q75" s="46" t="s">
        <v>149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271</v>
      </c>
      <c r="G76" s="33">
        <v>0</v>
      </c>
      <c r="J76" s="24">
        <v>50000</v>
      </c>
      <c r="M76" s="24">
        <v>50000</v>
      </c>
      <c r="O76" s="46" t="s">
        <v>149</v>
      </c>
      <c r="P76" s="46">
        <f>HEX2DEC(RIGHT(Table13232127[[#This Row],[h1]],8))</f>
        <v>0</v>
      </c>
      <c r="Q76" s="46" t="s">
        <v>149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272</v>
      </c>
      <c r="G77" s="33">
        <v>0</v>
      </c>
      <c r="J77" s="24">
        <v>50000</v>
      </c>
      <c r="M77" s="24">
        <v>50000</v>
      </c>
      <c r="O77" s="46" t="s">
        <v>149</v>
      </c>
      <c r="P77" s="46">
        <f>HEX2DEC(RIGHT(Table13232127[[#This Row],[h1]],8))</f>
        <v>0</v>
      </c>
      <c r="Q77" s="46" t="s">
        <v>149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273</v>
      </c>
      <c r="G78" s="33">
        <v>0</v>
      </c>
      <c r="J78" s="24">
        <v>50000</v>
      </c>
      <c r="M78" s="24">
        <v>50000</v>
      </c>
      <c r="O78" s="46" t="s">
        <v>149</v>
      </c>
      <c r="P78" s="46">
        <f>HEX2DEC(RIGHT(Table13232127[[#This Row],[h1]],8))</f>
        <v>0</v>
      </c>
      <c r="Q78" s="46" t="s">
        <v>149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274</v>
      </c>
      <c r="G79" s="33">
        <v>0</v>
      </c>
      <c r="J79" s="24">
        <v>50000</v>
      </c>
      <c r="M79" s="24">
        <v>50000</v>
      </c>
      <c r="O79" s="46" t="s">
        <v>149</v>
      </c>
      <c r="P79" s="46">
        <f>HEX2DEC(RIGHT(Table13232127[[#This Row],[h1]],8))</f>
        <v>0</v>
      </c>
      <c r="Q79" s="46" t="s">
        <v>149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275</v>
      </c>
      <c r="G80" s="33">
        <v>0</v>
      </c>
      <c r="J80" s="24">
        <v>50000</v>
      </c>
      <c r="M80" s="24">
        <v>50000</v>
      </c>
      <c r="O80" s="46" t="s">
        <v>149</v>
      </c>
      <c r="P80" s="46">
        <f>HEX2DEC(RIGHT(Table13232127[[#This Row],[h1]],8))</f>
        <v>0</v>
      </c>
      <c r="Q80" s="46" t="s">
        <v>149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276</v>
      </c>
      <c r="G81" s="33">
        <v>0</v>
      </c>
      <c r="J81" s="24">
        <v>50000</v>
      </c>
      <c r="M81" s="24">
        <v>50000</v>
      </c>
      <c r="O81" s="46" t="s">
        <v>149</v>
      </c>
      <c r="P81" s="46">
        <f>HEX2DEC(RIGHT(Table13232127[[#This Row],[h1]],8))</f>
        <v>0</v>
      </c>
      <c r="Q81" s="46" t="s">
        <v>149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277</v>
      </c>
      <c r="G82" s="33">
        <v>0</v>
      </c>
      <c r="J82" s="24">
        <v>50000</v>
      </c>
      <c r="M82" s="24">
        <v>50000</v>
      </c>
      <c r="O82" s="46" t="s">
        <v>149</v>
      </c>
      <c r="P82" s="46">
        <f>HEX2DEC(RIGHT(Table13232127[[#This Row],[h1]],8))</f>
        <v>0</v>
      </c>
      <c r="Q82" s="46" t="s">
        <v>149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278</v>
      </c>
      <c r="G83" s="33">
        <v>0</v>
      </c>
      <c r="J83" s="24">
        <v>50000</v>
      </c>
      <c r="M83" s="24">
        <v>50000</v>
      </c>
      <c r="O83" s="46" t="s">
        <v>149</v>
      </c>
      <c r="P83" s="46">
        <f>HEX2DEC(RIGHT(Table13232127[[#This Row],[h1]],8))</f>
        <v>0</v>
      </c>
      <c r="Q83" s="46" t="s">
        <v>149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279</v>
      </c>
      <c r="G84" s="33">
        <v>0</v>
      </c>
      <c r="J84" s="24">
        <v>50000</v>
      </c>
      <c r="M84" s="24">
        <v>50000</v>
      </c>
      <c r="O84" s="46" t="s">
        <v>149</v>
      </c>
      <c r="P84" s="46">
        <f>HEX2DEC(RIGHT(Table13232127[[#This Row],[h1]],8))</f>
        <v>0</v>
      </c>
      <c r="Q84" s="46" t="s">
        <v>149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280</v>
      </c>
      <c r="G85" s="33">
        <v>0</v>
      </c>
      <c r="J85" s="24">
        <v>50000</v>
      </c>
      <c r="M85" s="24">
        <v>50000</v>
      </c>
      <c r="O85" s="46" t="s">
        <v>149</v>
      </c>
      <c r="P85" s="46">
        <f>HEX2DEC(RIGHT(Table13232127[[#This Row],[h1]],8))</f>
        <v>0</v>
      </c>
      <c r="Q85" s="46" t="s">
        <v>149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281</v>
      </c>
      <c r="G86" s="33">
        <v>0</v>
      </c>
      <c r="J86" s="24">
        <v>50000</v>
      </c>
      <c r="M86" s="24">
        <v>50000</v>
      </c>
      <c r="O86" s="46" t="s">
        <v>149</v>
      </c>
      <c r="P86" s="46">
        <f>HEX2DEC(RIGHT(Table13232127[[#This Row],[h1]],8))</f>
        <v>0</v>
      </c>
      <c r="Q86" s="46" t="s">
        <v>149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282</v>
      </c>
      <c r="G87" s="33">
        <v>0</v>
      </c>
      <c r="J87" s="24">
        <v>50000</v>
      </c>
      <c r="M87" s="24">
        <v>50000</v>
      </c>
      <c r="O87" s="46" t="s">
        <v>149</v>
      </c>
      <c r="P87" s="46">
        <f>HEX2DEC(RIGHT(Table13232127[[#This Row],[h1]],8))</f>
        <v>0</v>
      </c>
      <c r="Q87" s="46" t="s">
        <v>149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283</v>
      </c>
      <c r="G88" s="33">
        <v>0</v>
      </c>
      <c r="J88" s="24">
        <v>50000</v>
      </c>
      <c r="M88" s="24">
        <v>50000</v>
      </c>
      <c r="O88" s="46" t="s">
        <v>149</v>
      </c>
      <c r="P88" s="46">
        <f>HEX2DEC(RIGHT(Table13232127[[#This Row],[h1]],8))</f>
        <v>0</v>
      </c>
      <c r="Q88" s="46" t="s">
        <v>149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284</v>
      </c>
      <c r="G89" s="33">
        <v>0</v>
      </c>
      <c r="J89" s="24">
        <v>50000</v>
      </c>
      <c r="M89" s="24">
        <v>50000</v>
      </c>
      <c r="O89" s="46" t="s">
        <v>149</v>
      </c>
      <c r="P89" s="46">
        <f>HEX2DEC(RIGHT(Table13232127[[#This Row],[h1]],8))</f>
        <v>0</v>
      </c>
      <c r="Q89" s="46" t="s">
        <v>149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285</v>
      </c>
      <c r="G90" s="33">
        <v>0</v>
      </c>
      <c r="J90" s="24">
        <v>50000</v>
      </c>
      <c r="M90" s="24">
        <v>50000</v>
      </c>
      <c r="O90" s="46" t="s">
        <v>149</v>
      </c>
      <c r="P90" s="46">
        <f>HEX2DEC(RIGHT(Table13232127[[#This Row],[h1]],8))</f>
        <v>0</v>
      </c>
      <c r="Q90" s="46" t="s">
        <v>149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286</v>
      </c>
      <c r="G91" s="33">
        <v>0</v>
      </c>
      <c r="J91" s="24">
        <v>50000</v>
      </c>
      <c r="M91" s="24">
        <v>50000</v>
      </c>
      <c r="O91" s="46" t="s">
        <v>149</v>
      </c>
      <c r="P91" s="46">
        <f>HEX2DEC(RIGHT(Table13232127[[#This Row],[h1]],8))</f>
        <v>0</v>
      </c>
      <c r="Q91" s="46" t="s">
        <v>149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287</v>
      </c>
      <c r="G92" s="33">
        <v>0</v>
      </c>
      <c r="J92" s="24">
        <v>50000</v>
      </c>
      <c r="M92" s="24">
        <v>50000</v>
      </c>
      <c r="O92" s="46" t="s">
        <v>149</v>
      </c>
      <c r="P92" s="46">
        <f>HEX2DEC(RIGHT(Table13232127[[#This Row],[h1]],8))</f>
        <v>0</v>
      </c>
      <c r="Q92" s="46" t="s">
        <v>149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288</v>
      </c>
      <c r="G93" s="33">
        <v>0</v>
      </c>
      <c r="J93" s="24">
        <v>50000</v>
      </c>
      <c r="M93" s="24">
        <v>50000</v>
      </c>
      <c r="O93" s="46" t="s">
        <v>149</v>
      </c>
      <c r="P93" s="46">
        <f>HEX2DEC(RIGHT(Table13232127[[#This Row],[h1]],8))</f>
        <v>0</v>
      </c>
      <c r="Q93" s="46" t="s">
        <v>149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289</v>
      </c>
      <c r="G94" s="33">
        <v>0</v>
      </c>
      <c r="J94" s="24">
        <v>50000</v>
      </c>
      <c r="M94" s="24">
        <v>50000</v>
      </c>
      <c r="O94" s="46" t="s">
        <v>149</v>
      </c>
      <c r="P94" s="46">
        <f>HEX2DEC(RIGHT(Table13232127[[#This Row],[h1]],8))</f>
        <v>0</v>
      </c>
      <c r="Q94" s="46" t="s">
        <v>149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290</v>
      </c>
      <c r="G95" s="33">
        <v>0</v>
      </c>
      <c r="J95" s="24">
        <v>50000</v>
      </c>
      <c r="M95" s="24">
        <v>50000</v>
      </c>
      <c r="O95" s="46" t="s">
        <v>149</v>
      </c>
      <c r="P95" s="46">
        <f>HEX2DEC(RIGHT(Table13232127[[#This Row],[h1]],8))</f>
        <v>0</v>
      </c>
      <c r="Q95" s="46" t="s">
        <v>149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291</v>
      </c>
      <c r="G96" s="33">
        <v>0</v>
      </c>
      <c r="J96" s="24">
        <v>50000</v>
      </c>
      <c r="M96" s="24">
        <v>50000</v>
      </c>
      <c r="O96" s="46" t="s">
        <v>149</v>
      </c>
      <c r="P96" s="46">
        <f>HEX2DEC(RIGHT(Table13232127[[#This Row],[h1]],8))</f>
        <v>0</v>
      </c>
      <c r="Q96" s="46" t="s">
        <v>149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292</v>
      </c>
      <c r="G97" s="33">
        <v>0</v>
      </c>
      <c r="J97" s="24">
        <v>50000</v>
      </c>
      <c r="M97" s="24">
        <v>50000</v>
      </c>
      <c r="O97" s="46" t="s">
        <v>149</v>
      </c>
      <c r="P97" s="46">
        <f>HEX2DEC(RIGHT(Table13232127[[#This Row],[h1]],8))</f>
        <v>0</v>
      </c>
      <c r="Q97" s="46" t="s">
        <v>149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293</v>
      </c>
      <c r="G98" s="33">
        <v>0</v>
      </c>
      <c r="J98" s="24">
        <v>50000</v>
      </c>
      <c r="M98" s="24">
        <v>50000</v>
      </c>
      <c r="O98" s="46" t="s">
        <v>149</v>
      </c>
      <c r="P98" s="46">
        <f>HEX2DEC(RIGHT(Table13232127[[#This Row],[h1]],8))</f>
        <v>0</v>
      </c>
      <c r="Q98" s="46" t="s">
        <v>149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294</v>
      </c>
      <c r="G99" s="33">
        <v>0</v>
      </c>
      <c r="J99" s="24">
        <v>50000</v>
      </c>
      <c r="M99" s="24">
        <v>50000</v>
      </c>
      <c r="O99" s="46" t="s">
        <v>149</v>
      </c>
      <c r="P99" s="46">
        <f>HEX2DEC(RIGHT(Table13232127[[#This Row],[h1]],8))</f>
        <v>0</v>
      </c>
      <c r="Q99" s="46" t="s">
        <v>149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295</v>
      </c>
      <c r="G100" s="33">
        <v>0</v>
      </c>
      <c r="J100" s="24">
        <v>50000</v>
      </c>
      <c r="M100" s="24">
        <v>50000</v>
      </c>
      <c r="O100" s="46" t="s">
        <v>149</v>
      </c>
      <c r="P100" s="46">
        <f>HEX2DEC(RIGHT(Table13232127[[#This Row],[h1]],8))</f>
        <v>0</v>
      </c>
      <c r="Q100" s="46" t="s">
        <v>149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296</v>
      </c>
      <c r="G101" s="33">
        <v>0</v>
      </c>
      <c r="J101" s="24">
        <v>50000</v>
      </c>
      <c r="M101" s="24">
        <v>50000</v>
      </c>
      <c r="O101" s="46" t="s">
        <v>149</v>
      </c>
      <c r="P101" s="46">
        <f>HEX2DEC(RIGHT(Table13232127[[#This Row],[h1]],8))</f>
        <v>0</v>
      </c>
      <c r="Q101" s="46" t="s">
        <v>149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297</v>
      </c>
      <c r="G102" s="33">
        <v>0</v>
      </c>
      <c r="J102" s="24">
        <v>50000</v>
      </c>
      <c r="M102" s="24">
        <v>50000</v>
      </c>
      <c r="O102" s="46" t="s">
        <v>149</v>
      </c>
      <c r="P102" s="46">
        <f>HEX2DEC(RIGHT(Table13232127[[#This Row],[h1]],8))</f>
        <v>0</v>
      </c>
      <c r="Q102" s="46" t="s">
        <v>149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298</v>
      </c>
      <c r="G103" s="33">
        <v>0</v>
      </c>
      <c r="J103" s="24">
        <v>50000</v>
      </c>
      <c r="M103" s="24">
        <v>50000</v>
      </c>
      <c r="O103" s="46" t="s">
        <v>149</v>
      </c>
      <c r="P103" s="46">
        <f>HEX2DEC(RIGHT(Table13232127[[#This Row],[h1]],8))</f>
        <v>0</v>
      </c>
      <c r="Q103" s="46" t="s">
        <v>149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299</v>
      </c>
      <c r="G104" s="33">
        <v>0</v>
      </c>
      <c r="J104" s="24">
        <v>50000</v>
      </c>
      <c r="M104" s="24">
        <v>50000</v>
      </c>
      <c r="O104" s="46" t="s">
        <v>149</v>
      </c>
      <c r="P104" s="46">
        <f>HEX2DEC(RIGHT(Table13232127[[#This Row],[h1]],8))</f>
        <v>0</v>
      </c>
      <c r="Q104" s="46" t="s">
        <v>149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300</v>
      </c>
      <c r="G105" s="33">
        <v>0</v>
      </c>
      <c r="J105" s="24">
        <v>50000</v>
      </c>
      <c r="M105" s="24">
        <v>50000</v>
      </c>
      <c r="O105" s="46" t="s">
        <v>149</v>
      </c>
      <c r="P105" s="46">
        <f>HEX2DEC(RIGHT(Table13232127[[#This Row],[h1]],8))</f>
        <v>0</v>
      </c>
      <c r="Q105" s="46" t="s">
        <v>149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6" t="s">
        <v>149</v>
      </c>
      <c r="P106" s="46">
        <f>HEX2DEC(RIGHT(Table13232127[[#This Row],[h1]],8))</f>
        <v>0</v>
      </c>
      <c r="Q106" s="46" t="s">
        <v>149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301</v>
      </c>
      <c r="G107" s="33">
        <v>124999</v>
      </c>
      <c r="J107" s="24">
        <v>50000</v>
      </c>
      <c r="M107" s="24">
        <v>50000</v>
      </c>
      <c r="O107" s="46" t="s">
        <v>149</v>
      </c>
      <c r="P107" s="46">
        <f>HEX2DEC(RIGHT(Table13232127[[#This Row],[h1]],8))</f>
        <v>0</v>
      </c>
      <c r="Q107" s="46" t="s">
        <v>149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302</v>
      </c>
      <c r="G108" s="33">
        <v>124999</v>
      </c>
      <c r="J108" s="24">
        <v>50000</v>
      </c>
      <c r="M108" s="24">
        <v>50000</v>
      </c>
      <c r="O108" s="46" t="s">
        <v>149</v>
      </c>
      <c r="P108" s="46">
        <f>HEX2DEC(RIGHT(Table13232127[[#This Row],[h1]],8))</f>
        <v>0</v>
      </c>
      <c r="Q108" s="46" t="s">
        <v>149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303</v>
      </c>
      <c r="G109" s="33">
        <v>124999</v>
      </c>
      <c r="J109" s="24">
        <v>50000</v>
      </c>
      <c r="M109" s="24">
        <v>50000</v>
      </c>
      <c r="O109" s="46" t="s">
        <v>149</v>
      </c>
      <c r="P109" s="46">
        <f>HEX2DEC(RIGHT(Table13232127[[#This Row],[h1]],8))</f>
        <v>0</v>
      </c>
      <c r="Q109" s="46" t="s">
        <v>149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304</v>
      </c>
      <c r="G110" s="33">
        <v>124999</v>
      </c>
      <c r="J110" s="24">
        <v>50000</v>
      </c>
      <c r="M110" s="24">
        <v>50000</v>
      </c>
      <c r="O110" s="46" t="s">
        <v>149</v>
      </c>
      <c r="P110" s="46">
        <f>HEX2DEC(RIGHT(Table13232127[[#This Row],[h1]],8))</f>
        <v>0</v>
      </c>
      <c r="Q110" s="46" t="s">
        <v>149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305</v>
      </c>
      <c r="G111" s="33">
        <v>124999</v>
      </c>
      <c r="J111" s="24">
        <v>50000</v>
      </c>
      <c r="M111" s="24">
        <v>50000</v>
      </c>
      <c r="O111" s="46" t="s">
        <v>149</v>
      </c>
      <c r="P111" s="46">
        <f>HEX2DEC(RIGHT(Table13232127[[#This Row],[h1]],8))</f>
        <v>0</v>
      </c>
      <c r="Q111" s="46" t="s">
        <v>149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306</v>
      </c>
      <c r="G112" s="33">
        <v>124999</v>
      </c>
      <c r="J112" s="24">
        <v>50000</v>
      </c>
      <c r="M112" s="24">
        <v>50000</v>
      </c>
      <c r="O112" s="46" t="s">
        <v>149</v>
      </c>
      <c r="P112" s="46">
        <f>HEX2DEC(RIGHT(Table13232127[[#This Row],[h1]],8))</f>
        <v>0</v>
      </c>
      <c r="Q112" s="46" t="s">
        <v>149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307</v>
      </c>
      <c r="G113" s="33">
        <v>124999</v>
      </c>
      <c r="J113" s="24">
        <v>50000</v>
      </c>
      <c r="M113" s="24">
        <v>50000</v>
      </c>
      <c r="O113" s="46" t="s">
        <v>149</v>
      </c>
      <c r="P113" s="46">
        <f>HEX2DEC(RIGHT(Table13232127[[#This Row],[h1]],8))</f>
        <v>0</v>
      </c>
      <c r="Q113" s="46" t="s">
        <v>149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308</v>
      </c>
      <c r="G114" s="33">
        <v>124999</v>
      </c>
      <c r="J114" s="24">
        <v>50000</v>
      </c>
      <c r="M114" s="24">
        <v>50000</v>
      </c>
      <c r="O114" s="46" t="s">
        <v>149</v>
      </c>
      <c r="P114" s="46">
        <f>HEX2DEC(RIGHT(Table13232127[[#This Row],[h1]],8))</f>
        <v>0</v>
      </c>
      <c r="Q114" s="46" t="s">
        <v>149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309</v>
      </c>
      <c r="G115" s="33">
        <v>124999</v>
      </c>
      <c r="J115" s="24">
        <v>50000</v>
      </c>
      <c r="M115" s="24">
        <v>50000</v>
      </c>
      <c r="O115" s="46" t="s">
        <v>149</v>
      </c>
      <c r="P115" s="46">
        <f>HEX2DEC(RIGHT(Table13232127[[#This Row],[h1]],8))</f>
        <v>0</v>
      </c>
      <c r="Q115" s="46" t="s">
        <v>149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310</v>
      </c>
      <c r="G116" s="33">
        <v>124999</v>
      </c>
      <c r="J116" s="24">
        <v>50000</v>
      </c>
      <c r="M116" s="24">
        <v>50000</v>
      </c>
      <c r="O116" s="46" t="s">
        <v>149</v>
      </c>
      <c r="P116" s="46">
        <f>HEX2DEC(RIGHT(Table13232127[[#This Row],[h1]],8))</f>
        <v>0</v>
      </c>
      <c r="Q116" s="46" t="s">
        <v>149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311</v>
      </c>
      <c r="G117" s="33">
        <v>124999</v>
      </c>
      <c r="J117" s="24">
        <v>50000</v>
      </c>
      <c r="M117" s="24">
        <v>50000</v>
      </c>
      <c r="O117" s="46" t="s">
        <v>149</v>
      </c>
      <c r="P117" s="46">
        <f>HEX2DEC(RIGHT(Table13232127[[#This Row],[h1]],8))</f>
        <v>0</v>
      </c>
      <c r="Q117" s="46" t="s">
        <v>149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312</v>
      </c>
      <c r="G118" s="33">
        <v>124999</v>
      </c>
      <c r="J118" s="24">
        <v>50000</v>
      </c>
      <c r="M118" s="24">
        <v>50000</v>
      </c>
      <c r="O118" s="46" t="s">
        <v>149</v>
      </c>
      <c r="P118" s="46">
        <f>HEX2DEC(RIGHT(Table13232127[[#This Row],[h1]],8))</f>
        <v>0</v>
      </c>
      <c r="Q118" s="46" t="s">
        <v>149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313</v>
      </c>
      <c r="G119" s="33">
        <v>124999</v>
      </c>
      <c r="J119" s="24">
        <v>50000</v>
      </c>
      <c r="M119" s="24">
        <v>50000</v>
      </c>
      <c r="O119" s="46" t="s">
        <v>149</v>
      </c>
      <c r="P119" s="46">
        <f>HEX2DEC(RIGHT(Table13232127[[#This Row],[h1]],8))</f>
        <v>0</v>
      </c>
      <c r="Q119" s="46" t="s">
        <v>149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314</v>
      </c>
      <c r="G120" s="33">
        <v>124999</v>
      </c>
      <c r="J120" s="24">
        <v>50000</v>
      </c>
      <c r="M120" s="24">
        <v>50000</v>
      </c>
      <c r="O120" s="46" t="s">
        <v>149</v>
      </c>
      <c r="P120" s="46">
        <f>HEX2DEC(RIGHT(Table13232127[[#This Row],[h1]],8))</f>
        <v>0</v>
      </c>
      <c r="Q120" s="46" t="s">
        <v>149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315</v>
      </c>
      <c r="G121" s="33">
        <v>124999</v>
      </c>
      <c r="J121" s="24">
        <v>50000</v>
      </c>
      <c r="M121" s="24">
        <v>50000</v>
      </c>
      <c r="O121" s="46" t="s">
        <v>149</v>
      </c>
      <c r="P121" s="46">
        <f>HEX2DEC(RIGHT(Table13232127[[#This Row],[h1]],8))</f>
        <v>0</v>
      </c>
      <c r="Q121" s="46" t="s">
        <v>149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316</v>
      </c>
      <c r="G122" s="33">
        <v>124999</v>
      </c>
      <c r="J122" s="24">
        <v>50000</v>
      </c>
      <c r="M122" s="24">
        <v>50000</v>
      </c>
      <c r="O122" s="46" t="s">
        <v>149</v>
      </c>
      <c r="P122" s="46">
        <f>HEX2DEC(RIGHT(Table13232127[[#This Row],[h1]],8))</f>
        <v>0</v>
      </c>
      <c r="Q122" s="46" t="s">
        <v>149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317</v>
      </c>
      <c r="G123" s="33">
        <v>124999</v>
      </c>
      <c r="J123" s="24">
        <v>50000</v>
      </c>
      <c r="M123" s="24">
        <v>50000</v>
      </c>
      <c r="O123" s="46" t="s">
        <v>149</v>
      </c>
      <c r="P123" s="46">
        <f>HEX2DEC(RIGHT(Table13232127[[#This Row],[h1]],8))</f>
        <v>0</v>
      </c>
      <c r="Q123" s="46" t="s">
        <v>149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318</v>
      </c>
      <c r="G124" s="33">
        <v>124999</v>
      </c>
      <c r="J124" s="24">
        <v>50000</v>
      </c>
      <c r="M124" s="24">
        <v>50000</v>
      </c>
      <c r="O124" s="46" t="s">
        <v>149</v>
      </c>
      <c r="P124" s="46">
        <f>HEX2DEC(RIGHT(Table13232127[[#This Row],[h1]],8))</f>
        <v>0</v>
      </c>
      <c r="Q124" s="46" t="s">
        <v>149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319</v>
      </c>
      <c r="G125" s="33">
        <v>124999</v>
      </c>
      <c r="J125" s="24">
        <v>50000</v>
      </c>
      <c r="M125" s="24">
        <v>50000</v>
      </c>
      <c r="O125" s="46" t="s">
        <v>149</v>
      </c>
      <c r="P125" s="46">
        <f>HEX2DEC(RIGHT(Table13232127[[#This Row],[h1]],8))</f>
        <v>0</v>
      </c>
      <c r="Q125" s="46" t="s">
        <v>149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320</v>
      </c>
      <c r="G126" s="33">
        <v>124999</v>
      </c>
      <c r="J126" s="24">
        <v>50000</v>
      </c>
      <c r="M126" s="24">
        <v>50000</v>
      </c>
      <c r="O126" s="46" t="s">
        <v>149</v>
      </c>
      <c r="P126" s="46">
        <f>HEX2DEC(RIGHT(Table13232127[[#This Row],[h1]],8))</f>
        <v>0</v>
      </c>
      <c r="Q126" s="46" t="s">
        <v>149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321</v>
      </c>
      <c r="G127" s="33">
        <v>124999</v>
      </c>
      <c r="J127" s="24">
        <v>50000</v>
      </c>
      <c r="M127" s="24">
        <v>50000</v>
      </c>
      <c r="O127" s="46" t="s">
        <v>149</v>
      </c>
      <c r="P127" s="46">
        <f>HEX2DEC(RIGHT(Table13232127[[#This Row],[h1]],8))</f>
        <v>0</v>
      </c>
      <c r="Q127" s="46" t="s">
        <v>149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322</v>
      </c>
      <c r="G128" s="33">
        <v>124999</v>
      </c>
      <c r="J128" s="24">
        <v>50000</v>
      </c>
      <c r="M128" s="24">
        <v>50000</v>
      </c>
      <c r="O128" s="46" t="s">
        <v>149</v>
      </c>
      <c r="P128" s="46">
        <f>HEX2DEC(RIGHT(Table13232127[[#This Row],[h1]],8))</f>
        <v>0</v>
      </c>
      <c r="Q128" s="46" t="s">
        <v>149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323</v>
      </c>
      <c r="G129" s="33">
        <v>124999</v>
      </c>
      <c r="J129" s="24">
        <v>50000</v>
      </c>
      <c r="M129" s="24">
        <v>50000</v>
      </c>
      <c r="O129" s="46" t="s">
        <v>149</v>
      </c>
      <c r="P129" s="46">
        <f>HEX2DEC(RIGHT(Table13232127[[#This Row],[h1]],8))</f>
        <v>0</v>
      </c>
      <c r="Q129" s="46" t="s">
        <v>149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324</v>
      </c>
      <c r="G130" s="33">
        <v>124999</v>
      </c>
      <c r="J130" s="24">
        <v>50000</v>
      </c>
      <c r="M130" s="24">
        <v>50000</v>
      </c>
      <c r="O130" s="46" t="s">
        <v>149</v>
      </c>
      <c r="P130" s="46">
        <f>HEX2DEC(RIGHT(Table13232127[[#This Row],[h1]],8))</f>
        <v>0</v>
      </c>
      <c r="Q130" s="46" t="s">
        <v>149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325</v>
      </c>
      <c r="G131" s="33">
        <v>124999</v>
      </c>
      <c r="J131" s="24">
        <v>50000</v>
      </c>
      <c r="M131" s="24">
        <v>50000</v>
      </c>
      <c r="O131" s="46" t="s">
        <v>149</v>
      </c>
      <c r="P131" s="46">
        <f>HEX2DEC(RIGHT(Table13232127[[#This Row],[h1]],8))</f>
        <v>0</v>
      </c>
      <c r="Q131" s="46" t="s">
        <v>149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326</v>
      </c>
      <c r="G132" s="33">
        <v>124999</v>
      </c>
      <c r="J132" s="24">
        <v>50000</v>
      </c>
      <c r="M132" s="24">
        <v>50000</v>
      </c>
      <c r="O132" s="46" t="s">
        <v>149</v>
      </c>
      <c r="P132" s="46">
        <f>HEX2DEC(RIGHT(Table13232127[[#This Row],[h1]],8))</f>
        <v>0</v>
      </c>
      <c r="Q132" s="46" t="s">
        <v>149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327</v>
      </c>
      <c r="G133" s="33">
        <v>124999</v>
      </c>
      <c r="J133" s="24">
        <v>50000</v>
      </c>
      <c r="M133" s="24">
        <v>50000</v>
      </c>
      <c r="O133" s="46" t="s">
        <v>149</v>
      </c>
      <c r="P133" s="46">
        <f>HEX2DEC(RIGHT(Table13232127[[#This Row],[h1]],8))</f>
        <v>0</v>
      </c>
      <c r="Q133" s="46" t="s">
        <v>149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328</v>
      </c>
      <c r="F134" s="22"/>
      <c r="G134" s="33">
        <v>124999</v>
      </c>
      <c r="J134" s="24">
        <v>50000</v>
      </c>
      <c r="M134" s="24">
        <v>50000</v>
      </c>
      <c r="O134" s="46" t="s">
        <v>149</v>
      </c>
      <c r="P134" s="46">
        <f>HEX2DEC(RIGHT(Table13232127[[#This Row],[h1]],8))</f>
        <v>0</v>
      </c>
      <c r="Q134" s="46" t="s">
        <v>149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329</v>
      </c>
      <c r="F135" s="22"/>
      <c r="G135" s="33">
        <v>124999</v>
      </c>
      <c r="J135" s="24">
        <v>50000</v>
      </c>
      <c r="M135" s="24">
        <v>50000</v>
      </c>
      <c r="O135" s="46" t="s">
        <v>149</v>
      </c>
      <c r="P135" s="46">
        <f>HEX2DEC(RIGHT(Table13232127[[#This Row],[h1]],8))</f>
        <v>0</v>
      </c>
      <c r="Q135" s="46" t="s">
        <v>149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330</v>
      </c>
      <c r="F136" s="22"/>
      <c r="G136" s="33">
        <v>124999</v>
      </c>
      <c r="J136" s="24">
        <v>50000</v>
      </c>
      <c r="M136" s="24">
        <v>50000</v>
      </c>
      <c r="O136" s="46" t="s">
        <v>149</v>
      </c>
      <c r="P136" s="46">
        <f>HEX2DEC(RIGHT(Table13232127[[#This Row],[h1]],8))</f>
        <v>0</v>
      </c>
      <c r="Q136" s="46" t="s">
        <v>149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331</v>
      </c>
      <c r="F137" s="22"/>
      <c r="G137" s="33">
        <v>124999</v>
      </c>
      <c r="J137" s="24">
        <v>50000</v>
      </c>
      <c r="M137" s="24">
        <v>50000</v>
      </c>
      <c r="O137" s="46" t="s">
        <v>149</v>
      </c>
      <c r="P137" s="46">
        <f>HEX2DEC(RIGHT(Table13232127[[#This Row],[h1]],8))</f>
        <v>0</v>
      </c>
      <c r="Q137" s="46" t="s">
        <v>149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332</v>
      </c>
      <c r="F138" s="22"/>
      <c r="G138" s="33">
        <v>124999</v>
      </c>
      <c r="J138" s="24">
        <v>50000</v>
      </c>
      <c r="M138" s="24">
        <v>50000</v>
      </c>
      <c r="O138" s="46" t="s">
        <v>149</v>
      </c>
      <c r="P138" s="46">
        <f>HEX2DEC(RIGHT(Table13232127[[#This Row],[h1]],8))</f>
        <v>0</v>
      </c>
      <c r="Q138" s="46" t="s">
        <v>149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6" t="s">
        <v>149</v>
      </c>
      <c r="P139" s="46">
        <f>HEX2DEC(RIGHT(Table13232127[[#This Row],[h1]],8))</f>
        <v>0</v>
      </c>
      <c r="Q139" s="46" t="s">
        <v>149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333</v>
      </c>
      <c r="F140" s="22"/>
      <c r="G140" s="36">
        <v>1</v>
      </c>
      <c r="J140" s="24">
        <v>50000</v>
      </c>
      <c r="M140" s="24">
        <v>50000</v>
      </c>
      <c r="O140" s="46" t="s">
        <v>149</v>
      </c>
      <c r="P140" s="46">
        <f>HEX2DEC(RIGHT(Table13232127[[#This Row],[h1]],8))</f>
        <v>0</v>
      </c>
      <c r="Q140" s="46" t="s">
        <v>149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333</v>
      </c>
      <c r="F141" s="22"/>
      <c r="G141" s="36">
        <v>0</v>
      </c>
      <c r="J141" s="24">
        <v>50000</v>
      </c>
      <c r="M141" s="24">
        <v>50000</v>
      </c>
      <c r="O141" s="46" t="s">
        <v>149</v>
      </c>
      <c r="P141" s="46">
        <f>HEX2DEC(RIGHT(Table13232127[[#This Row],[h1]],8))</f>
        <v>0</v>
      </c>
      <c r="Q141" s="46" t="s">
        <v>149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6" t="s">
        <v>149</v>
      </c>
      <c r="P142" s="46">
        <f>HEX2DEC(RIGHT(Table13232127[[#This Row],[h1]],8))</f>
        <v>0</v>
      </c>
      <c r="Q142" s="46" t="s">
        <v>149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334</v>
      </c>
      <c r="F143" s="22"/>
      <c r="G143" s="32">
        <v>0</v>
      </c>
      <c r="J143" s="24">
        <v>50000</v>
      </c>
      <c r="M143" s="24">
        <v>50000</v>
      </c>
      <c r="O143" s="46" t="s">
        <v>149</v>
      </c>
      <c r="P143" s="46">
        <f>HEX2DEC(RIGHT(Table13232127[[#This Row],[h1]],8))</f>
        <v>0</v>
      </c>
      <c r="Q143" s="46" t="s">
        <v>149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335</v>
      </c>
      <c r="F144" s="22"/>
      <c r="G144" s="32">
        <v>0</v>
      </c>
      <c r="J144" s="24">
        <v>50000</v>
      </c>
      <c r="M144" s="24">
        <v>50000</v>
      </c>
      <c r="O144" s="46" t="s">
        <v>149</v>
      </c>
      <c r="P144" s="46">
        <f>HEX2DEC(RIGHT(Table13232127[[#This Row],[h1]],8))</f>
        <v>0</v>
      </c>
      <c r="Q144" s="46" t="s">
        <v>149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336</v>
      </c>
      <c r="F145" s="22"/>
      <c r="G145" s="32">
        <v>0</v>
      </c>
      <c r="J145" s="24">
        <v>50000</v>
      </c>
      <c r="M145" s="24">
        <v>50000</v>
      </c>
      <c r="O145" s="46" t="s">
        <v>149</v>
      </c>
      <c r="P145" s="46">
        <f>HEX2DEC(RIGHT(Table13232127[[#This Row],[h1]],8))</f>
        <v>0</v>
      </c>
      <c r="Q145" s="46" t="s">
        <v>149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6" t="s">
        <v>149</v>
      </c>
      <c r="P146" s="46">
        <f>HEX2DEC(RIGHT(Table13232127[[#This Row],[h1]],8))</f>
        <v>0</v>
      </c>
      <c r="Q146" s="46" t="s">
        <v>149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337</v>
      </c>
      <c r="F147" s="22"/>
      <c r="G147" s="32">
        <v>1</v>
      </c>
      <c r="J147" s="24">
        <v>50000</v>
      </c>
      <c r="M147" s="24">
        <v>50000</v>
      </c>
      <c r="O147" s="46" t="s">
        <v>149</v>
      </c>
      <c r="P147" s="46">
        <f>HEX2DEC(RIGHT(Table13232127[[#This Row],[h1]],8))</f>
        <v>0</v>
      </c>
      <c r="Q147" s="46" t="s">
        <v>149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338</v>
      </c>
      <c r="F148" s="22"/>
      <c r="G148" s="32">
        <v>1</v>
      </c>
      <c r="J148" s="24">
        <v>50000</v>
      </c>
      <c r="M148" s="24">
        <v>50000</v>
      </c>
      <c r="O148" s="46" t="s">
        <v>149</v>
      </c>
      <c r="P148" s="46">
        <f>HEX2DEC(RIGHT(Table13232127[[#This Row],[h1]],8))</f>
        <v>0</v>
      </c>
      <c r="Q148" s="46" t="s">
        <v>149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339</v>
      </c>
      <c r="F149" s="22"/>
      <c r="G149" s="32">
        <v>1</v>
      </c>
      <c r="J149" s="24">
        <v>50000</v>
      </c>
      <c r="M149" s="24">
        <v>50000</v>
      </c>
      <c r="O149" s="46" t="s">
        <v>149</v>
      </c>
      <c r="P149" s="46">
        <f>HEX2DEC(RIGHT(Table13232127[[#This Row],[h1]],8))</f>
        <v>0</v>
      </c>
      <c r="Q149" s="46" t="s">
        <v>149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699</v>
      </c>
      <c r="F150" s="22"/>
      <c r="G150" s="32">
        <v>1</v>
      </c>
      <c r="J150" s="24">
        <v>50000</v>
      </c>
      <c r="M150" s="24">
        <v>50000</v>
      </c>
      <c r="O150" s="46" t="s">
        <v>149</v>
      </c>
      <c r="P150" s="46">
        <f>HEX2DEC(RIGHT(Table13232127[[#This Row],[h1]],8))</f>
        <v>0</v>
      </c>
      <c r="Q150" s="46" t="s">
        <v>149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6" t="s">
        <v>149</v>
      </c>
      <c r="P151" s="46">
        <f>HEX2DEC(RIGHT(Table13232127[[#This Row],[h1]],8))</f>
        <v>0</v>
      </c>
      <c r="Q151" s="46" t="s">
        <v>149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344</v>
      </c>
      <c r="E152" s="56">
        <v>1</v>
      </c>
      <c r="F152" s="57">
        <v>0</v>
      </c>
      <c r="G152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62499999</v>
      </c>
      <c r="J152" s="24">
        <v>50000</v>
      </c>
      <c r="M152" s="24">
        <v>50000</v>
      </c>
      <c r="O152" s="46" t="s">
        <v>149</v>
      </c>
      <c r="P152" s="46">
        <f>HEX2DEC(RIGHT(Table13232127[[#This Row],[h1]],8))</f>
        <v>0</v>
      </c>
      <c r="Q152" s="46" t="s">
        <v>149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345</v>
      </c>
      <c r="E153" s="56">
        <v>10</v>
      </c>
      <c r="F153" s="57">
        <v>1</v>
      </c>
      <c r="G153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6249999</v>
      </c>
      <c r="J153" s="24">
        <v>50000</v>
      </c>
      <c r="M153" s="24">
        <v>50000</v>
      </c>
      <c r="O153" s="46" t="s">
        <v>149</v>
      </c>
      <c r="P153" s="46">
        <f>HEX2DEC(RIGHT(Table13232127[[#This Row],[h1]],8))</f>
        <v>0</v>
      </c>
      <c r="Q153" s="46" t="s">
        <v>149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346</v>
      </c>
      <c r="E154" s="56">
        <v>100</v>
      </c>
      <c r="F154" s="57">
        <v>2</v>
      </c>
      <c r="G154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624999</v>
      </c>
      <c r="J154" s="24">
        <v>50000</v>
      </c>
      <c r="M154" s="24">
        <v>50000</v>
      </c>
      <c r="O154" s="46" t="s">
        <v>149</v>
      </c>
      <c r="P154" s="46">
        <f>HEX2DEC(RIGHT(Table13232127[[#This Row],[h1]],8))</f>
        <v>0</v>
      </c>
      <c r="Q154" s="46" t="s">
        <v>149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347</v>
      </c>
      <c r="E155" s="56">
        <v>1000</v>
      </c>
      <c r="F155" s="57">
        <v>3</v>
      </c>
      <c r="G155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62499</v>
      </c>
      <c r="J155" s="24">
        <v>50000</v>
      </c>
      <c r="M155" s="24">
        <v>50000</v>
      </c>
      <c r="O155" s="46" t="s">
        <v>149</v>
      </c>
      <c r="P155" s="46">
        <f>HEX2DEC(RIGHT(Table13232127[[#This Row],[h1]],8))</f>
        <v>0</v>
      </c>
      <c r="Q155" s="46" t="s">
        <v>149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348</v>
      </c>
      <c r="E156" s="56">
        <v>10000</v>
      </c>
      <c r="F156" s="57">
        <v>4</v>
      </c>
      <c r="G156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6249</v>
      </c>
      <c r="J156" s="24">
        <v>50000</v>
      </c>
      <c r="M156" s="24">
        <v>50000</v>
      </c>
      <c r="O156" s="46" t="s">
        <v>149</v>
      </c>
      <c r="P156" s="46">
        <f>HEX2DEC(RIGHT(Table13232127[[#This Row],[h1]],8))</f>
        <v>0</v>
      </c>
      <c r="Q156" s="46" t="s">
        <v>149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349</v>
      </c>
      <c r="E157" s="56">
        <v>100000</v>
      </c>
      <c r="F157" s="57">
        <v>5</v>
      </c>
      <c r="G157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624</v>
      </c>
      <c r="J157" s="24">
        <v>50000</v>
      </c>
      <c r="M157" s="24">
        <v>50000</v>
      </c>
      <c r="O157" s="46" t="s">
        <v>149</v>
      </c>
      <c r="P157" s="46">
        <f>HEX2DEC(RIGHT(Table13232127[[#This Row],[h1]],8))</f>
        <v>0</v>
      </c>
      <c r="Q157" s="46" t="s">
        <v>149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350</v>
      </c>
      <c r="E158" s="56">
        <v>200000</v>
      </c>
      <c r="F158" s="57">
        <v>6</v>
      </c>
      <c r="G158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311.5</v>
      </c>
      <c r="J158" s="24">
        <v>50000</v>
      </c>
      <c r="M158" s="24">
        <v>50000</v>
      </c>
      <c r="O158" s="46" t="s">
        <v>149</v>
      </c>
      <c r="P158" s="46">
        <f>HEX2DEC(RIGHT(Table13232127[[#This Row],[h1]],8))</f>
        <v>0</v>
      </c>
      <c r="Q158" s="46" t="s">
        <v>149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351</v>
      </c>
      <c r="E159" s="56">
        <v>300000</v>
      </c>
      <c r="F159" s="57">
        <v>7</v>
      </c>
      <c r="G159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207.33333333333334</v>
      </c>
      <c r="J159" s="24">
        <v>50000</v>
      </c>
      <c r="M159" s="24">
        <v>50000</v>
      </c>
      <c r="O159" s="46" t="s">
        <v>149</v>
      </c>
      <c r="P159" s="46">
        <f>HEX2DEC(RIGHT(Table13232127[[#This Row],[h1]],8))</f>
        <v>0</v>
      </c>
      <c r="Q159" s="46" t="s">
        <v>149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352</v>
      </c>
      <c r="E160" s="56">
        <v>400000</v>
      </c>
      <c r="F160" s="57">
        <v>8</v>
      </c>
      <c r="G160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155.25</v>
      </c>
      <c r="J160" s="24">
        <v>50000</v>
      </c>
      <c r="M160" s="24">
        <v>50000</v>
      </c>
      <c r="O160" s="46" t="s">
        <v>149</v>
      </c>
      <c r="P160" s="46">
        <f>HEX2DEC(RIGHT(Table13232127[[#This Row],[h1]],8))</f>
        <v>0</v>
      </c>
      <c r="Q160" s="46" t="s">
        <v>149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353</v>
      </c>
      <c r="E161" s="56">
        <v>500000</v>
      </c>
      <c r="F161" s="57">
        <v>9</v>
      </c>
      <c r="G161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124</v>
      </c>
      <c r="J161" s="24">
        <v>50000</v>
      </c>
      <c r="M161" s="24">
        <v>50000</v>
      </c>
      <c r="O161" s="46" t="s">
        <v>149</v>
      </c>
      <c r="P161" s="46">
        <f>HEX2DEC(RIGHT(Table13232127[[#This Row],[h1]],8))</f>
        <v>0</v>
      </c>
      <c r="Q161" s="46" t="s">
        <v>149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354</v>
      </c>
      <c r="E162" s="56">
        <v>600000</v>
      </c>
      <c r="F162" s="57">
        <v>10</v>
      </c>
      <c r="G162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103.16666666666667</v>
      </c>
      <c r="J162" s="24">
        <v>50000</v>
      </c>
      <c r="M162" s="24">
        <v>50000</v>
      </c>
      <c r="O162" s="46" t="s">
        <v>149</v>
      </c>
      <c r="P162" s="46">
        <f>HEX2DEC(RIGHT(Table13232127[[#This Row],[h1]],8))</f>
        <v>0</v>
      </c>
      <c r="Q162" s="46" t="s">
        <v>149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355</v>
      </c>
      <c r="E163" s="56">
        <v>700000</v>
      </c>
      <c r="F163" s="57">
        <v>11</v>
      </c>
      <c r="G163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88.285714285714292</v>
      </c>
      <c r="J163" s="24">
        <v>50000</v>
      </c>
      <c r="M163" s="24">
        <v>50000</v>
      </c>
      <c r="O163" s="46" t="s">
        <v>149</v>
      </c>
      <c r="P163" s="46">
        <f>HEX2DEC(RIGHT(Table13232127[[#This Row],[h1]],8))</f>
        <v>0</v>
      </c>
      <c r="Q163" s="46" t="s">
        <v>149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356</v>
      </c>
      <c r="E164" s="56">
        <v>800000</v>
      </c>
      <c r="F164" s="57">
        <v>12</v>
      </c>
      <c r="G164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77.125</v>
      </c>
      <c r="J164" s="24">
        <v>50000</v>
      </c>
      <c r="M164" s="24">
        <v>50000</v>
      </c>
      <c r="O164" s="46" t="s">
        <v>149</v>
      </c>
      <c r="P164" s="46">
        <f>HEX2DEC(RIGHT(Table13232127[[#This Row],[h1]],8))</f>
        <v>0</v>
      </c>
      <c r="Q164" s="46" t="s">
        <v>149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357</v>
      </c>
      <c r="E165" s="56">
        <v>900000</v>
      </c>
      <c r="F165" s="57">
        <v>13</v>
      </c>
      <c r="G165" s="58">
        <f>IF(IF(Table131925[[#This Row],[value]]="",Table131925[[#This Row],[dec val]],1/(2*Table131925[[#This Row],[value]])*$E$151-1)&lt;0,0,IF(Table131925[[#This Row],[value]]="",Table131925[[#This Row],[dec val]],1/(2*Table131925[[#This Row],[value]])*$E$151-1))</f>
        <v>68.444444444444443</v>
      </c>
      <c r="J165" s="24">
        <v>50000</v>
      </c>
      <c r="M165" s="24">
        <v>50000</v>
      </c>
      <c r="O165" s="46" t="s">
        <v>149</v>
      </c>
      <c r="P165" s="46">
        <f>HEX2DEC(RIGHT(Table13232127[[#This Row],[h1]],8))</f>
        <v>0</v>
      </c>
      <c r="Q165" s="46" t="s">
        <v>149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6" t="s">
        <v>149</v>
      </c>
      <c r="P166" s="46">
        <f>HEX2DEC(RIGHT(Table13232127[[#This Row],[h1]],8))</f>
        <v>0</v>
      </c>
      <c r="Q166" s="46" t="s">
        <v>149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358</v>
      </c>
      <c r="G167" s="46" t="s">
        <v>25</v>
      </c>
      <c r="J167" s="24">
        <v>50000</v>
      </c>
      <c r="M167" s="24">
        <v>50000</v>
      </c>
      <c r="O167" s="46" t="s">
        <v>149</v>
      </c>
      <c r="P167" s="46">
        <f>HEX2DEC(RIGHT(Table13232127[[#This Row],[h1]],8))</f>
        <v>0</v>
      </c>
      <c r="Q167" s="46" t="s">
        <v>149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359</v>
      </c>
      <c r="G168" s="46" t="s">
        <v>94</v>
      </c>
      <c r="J168" s="24">
        <v>50000</v>
      </c>
      <c r="M168" s="24">
        <v>50000</v>
      </c>
      <c r="O168" s="46" t="s">
        <v>149</v>
      </c>
      <c r="P168" s="46">
        <f>HEX2DEC(RIGHT(Table13232127[[#This Row],[h1]],8))</f>
        <v>0</v>
      </c>
      <c r="Q168" s="46" t="s">
        <v>149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360</v>
      </c>
      <c r="G169" s="46" t="s">
        <v>94</v>
      </c>
      <c r="J169" s="24">
        <v>50000</v>
      </c>
      <c r="M169" s="24">
        <v>50000</v>
      </c>
      <c r="O169" s="46" t="s">
        <v>149</v>
      </c>
      <c r="P169" s="46">
        <f>HEX2DEC(RIGHT(Table13232127[[#This Row],[h1]],8))</f>
        <v>0</v>
      </c>
      <c r="Q169" s="46" t="s">
        <v>149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361</v>
      </c>
      <c r="G170" s="46" t="s">
        <v>94</v>
      </c>
      <c r="J170" s="24">
        <v>50000</v>
      </c>
      <c r="M170" s="24">
        <v>50000</v>
      </c>
      <c r="O170" s="46" t="s">
        <v>149</v>
      </c>
      <c r="P170" s="46">
        <f>HEX2DEC(RIGHT(Table13232127[[#This Row],[h1]],8))</f>
        <v>0</v>
      </c>
      <c r="Q170" s="46" t="s">
        <v>149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362</v>
      </c>
      <c r="G171" s="46" t="s">
        <v>94</v>
      </c>
      <c r="J171" s="24">
        <v>50000</v>
      </c>
      <c r="M171" s="24">
        <v>50000</v>
      </c>
      <c r="O171" s="46" t="s">
        <v>149</v>
      </c>
      <c r="P171" s="46">
        <f>HEX2DEC(RIGHT(Table13232127[[#This Row],[h1]],8))</f>
        <v>0</v>
      </c>
      <c r="Q171" s="46" t="s">
        <v>149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363</v>
      </c>
      <c r="G172" s="46" t="s">
        <v>94</v>
      </c>
      <c r="J172" s="24">
        <v>50000</v>
      </c>
      <c r="M172" s="24">
        <v>50000</v>
      </c>
      <c r="O172" s="46" t="s">
        <v>149</v>
      </c>
      <c r="P172" s="46">
        <f>HEX2DEC(RIGHT(Table13232127[[#This Row],[h1]],8))</f>
        <v>0</v>
      </c>
      <c r="Q172" s="46" t="s">
        <v>149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364</v>
      </c>
      <c r="G173" s="46" t="s">
        <v>94</v>
      </c>
      <c r="J173" s="24">
        <v>50000</v>
      </c>
      <c r="M173" s="24">
        <v>50000</v>
      </c>
      <c r="O173" s="46" t="s">
        <v>149</v>
      </c>
      <c r="P173" s="46">
        <f>HEX2DEC(RIGHT(Table13232127[[#This Row],[h1]],8))</f>
        <v>0</v>
      </c>
      <c r="Q173" s="46" t="s">
        <v>149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365</v>
      </c>
      <c r="G174" s="46" t="s">
        <v>94</v>
      </c>
      <c r="J174" s="24">
        <v>50000</v>
      </c>
      <c r="M174" s="24">
        <v>50000</v>
      </c>
      <c r="O174" s="46" t="s">
        <v>149</v>
      </c>
      <c r="P174" s="46">
        <f>HEX2DEC(RIGHT(Table13232127[[#This Row],[h1]],8))</f>
        <v>0</v>
      </c>
      <c r="Q174" s="46" t="s">
        <v>149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6"/>
      <c r="J175" s="24">
        <v>50000</v>
      </c>
      <c r="M175" s="24">
        <v>50000</v>
      </c>
      <c r="O175" s="46" t="s">
        <v>149</v>
      </c>
      <c r="P175" s="46">
        <f>HEX2DEC(RIGHT(Table13232127[[#This Row],[h1]],8))</f>
        <v>0</v>
      </c>
      <c r="Q175" s="46" t="s">
        <v>149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366</v>
      </c>
      <c r="G176" s="46" t="s">
        <v>25</v>
      </c>
      <c r="J176" s="24">
        <v>50000</v>
      </c>
      <c r="M176" s="24">
        <v>50000</v>
      </c>
      <c r="O176" s="46" t="s">
        <v>149</v>
      </c>
      <c r="P176" s="46">
        <f>HEX2DEC(RIGHT(Table13232127[[#This Row],[h1]],8))</f>
        <v>0</v>
      </c>
      <c r="Q176" s="46" t="s">
        <v>149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367</v>
      </c>
      <c r="G177" s="53" t="s">
        <v>26</v>
      </c>
      <c r="J177" s="24">
        <v>50000</v>
      </c>
      <c r="M177" s="24">
        <v>50000</v>
      </c>
      <c r="O177" s="46" t="s">
        <v>149</v>
      </c>
      <c r="P177" s="46">
        <f>HEX2DEC(RIGHT(Table13232127[[#This Row],[h1]],8))</f>
        <v>0</v>
      </c>
      <c r="Q177" s="46" t="s">
        <v>149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368</v>
      </c>
      <c r="G178" s="53" t="s">
        <v>27</v>
      </c>
      <c r="J178" s="24">
        <v>50000</v>
      </c>
      <c r="M178" s="24">
        <v>50000</v>
      </c>
      <c r="O178" s="46" t="s">
        <v>149</v>
      </c>
      <c r="P178" s="46">
        <f>HEX2DEC(RIGHT(Table13232127[[#This Row],[h1]],8))</f>
        <v>0</v>
      </c>
      <c r="Q178" s="46" t="s">
        <v>149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369</v>
      </c>
      <c r="G179" s="53" t="s">
        <v>28</v>
      </c>
      <c r="J179" s="24">
        <v>50000</v>
      </c>
      <c r="M179" s="24">
        <v>50000</v>
      </c>
      <c r="O179" s="46" t="s">
        <v>149</v>
      </c>
      <c r="P179" s="46">
        <f>HEX2DEC(RIGHT(Table13232127[[#This Row],[h1]],8))</f>
        <v>0</v>
      </c>
      <c r="Q179" s="46" t="s">
        <v>149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370</v>
      </c>
      <c r="G180" s="53" t="s">
        <v>29</v>
      </c>
      <c r="J180" s="24">
        <v>50000</v>
      </c>
      <c r="M180" s="24">
        <v>50000</v>
      </c>
      <c r="O180" s="46" t="s">
        <v>149</v>
      </c>
      <c r="P180" s="46">
        <f>HEX2DEC(RIGHT(Table13232127[[#This Row],[h1]],8))</f>
        <v>0</v>
      </c>
      <c r="Q180" s="46" t="s">
        <v>149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371</v>
      </c>
      <c r="G181" s="53" t="s">
        <v>30</v>
      </c>
      <c r="J181" s="24">
        <v>50000</v>
      </c>
      <c r="M181" s="24">
        <v>50000</v>
      </c>
      <c r="O181" s="46" t="s">
        <v>149</v>
      </c>
      <c r="P181" s="46">
        <f>HEX2DEC(RIGHT(Table13232127[[#This Row],[h1]],8))</f>
        <v>0</v>
      </c>
      <c r="Q181" s="46" t="s">
        <v>149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372</v>
      </c>
      <c r="G182" s="53" t="s">
        <v>31</v>
      </c>
      <c r="J182" s="24">
        <v>50000</v>
      </c>
      <c r="M182" s="24">
        <v>50000</v>
      </c>
      <c r="O182" s="46" t="s">
        <v>149</v>
      </c>
      <c r="P182" s="46">
        <f>HEX2DEC(RIGHT(Table13232127[[#This Row],[h1]],8))</f>
        <v>0</v>
      </c>
      <c r="Q182" s="46" t="s">
        <v>149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373</v>
      </c>
      <c r="G183" s="53" t="s">
        <v>32</v>
      </c>
      <c r="J183" s="24">
        <v>50000</v>
      </c>
      <c r="M183" s="24">
        <v>50000</v>
      </c>
      <c r="O183" s="46" t="s">
        <v>149</v>
      </c>
      <c r="P183" s="46">
        <f>HEX2DEC(RIGHT(Table13232127[[#This Row],[h1]],8))</f>
        <v>0</v>
      </c>
      <c r="Q183" s="46" t="s">
        <v>149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374</v>
      </c>
      <c r="G184" s="53" t="s">
        <v>718</v>
      </c>
      <c r="J184" s="24">
        <v>50000</v>
      </c>
      <c r="M184" s="24">
        <v>50000</v>
      </c>
      <c r="O184" s="46" t="s">
        <v>149</v>
      </c>
      <c r="P184" s="46">
        <f>HEX2DEC(RIGHT(Table13232127[[#This Row],[h1]],8))</f>
        <v>0</v>
      </c>
      <c r="Q184" s="46" t="s">
        <v>149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375</v>
      </c>
      <c r="G185" s="53" t="s">
        <v>719</v>
      </c>
      <c r="J185" s="24">
        <v>50000</v>
      </c>
      <c r="M185" s="24">
        <v>50000</v>
      </c>
      <c r="O185" s="46" t="s">
        <v>149</v>
      </c>
      <c r="P185" s="46">
        <f>HEX2DEC(RIGHT(Table13232127[[#This Row],[h1]],8))</f>
        <v>0</v>
      </c>
      <c r="Q185" s="46" t="s">
        <v>149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376</v>
      </c>
      <c r="G186" s="53" t="s">
        <v>720</v>
      </c>
      <c r="J186" s="24">
        <v>50000</v>
      </c>
      <c r="M186" s="24">
        <v>50000</v>
      </c>
      <c r="O186" s="46" t="s">
        <v>149</v>
      </c>
      <c r="P186" s="46">
        <f>HEX2DEC(RIGHT(Table13232127[[#This Row],[h1]],8))</f>
        <v>0</v>
      </c>
      <c r="Q186" s="46" t="s">
        <v>149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377</v>
      </c>
      <c r="G187" s="53" t="s">
        <v>721</v>
      </c>
      <c r="J187" s="24">
        <v>50000</v>
      </c>
      <c r="M187" s="24">
        <v>50000</v>
      </c>
      <c r="O187" s="46" t="s">
        <v>149</v>
      </c>
      <c r="P187" s="46">
        <f>HEX2DEC(RIGHT(Table13232127[[#This Row],[h1]],8))</f>
        <v>0</v>
      </c>
      <c r="Q187" s="46" t="s">
        <v>149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378</v>
      </c>
      <c r="G188" s="53" t="s">
        <v>722</v>
      </c>
      <c r="J188" s="24">
        <v>50000</v>
      </c>
      <c r="M188" s="24">
        <v>50000</v>
      </c>
      <c r="O188" s="46" t="s">
        <v>149</v>
      </c>
      <c r="P188" s="46">
        <f>HEX2DEC(RIGHT(Table13232127[[#This Row],[h1]],8))</f>
        <v>0</v>
      </c>
      <c r="Q188" s="46" t="s">
        <v>149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379</v>
      </c>
      <c r="G189" s="53" t="s">
        <v>723</v>
      </c>
      <c r="J189" s="24">
        <v>50000</v>
      </c>
      <c r="M189" s="24">
        <v>50000</v>
      </c>
      <c r="O189" s="46" t="s">
        <v>149</v>
      </c>
      <c r="P189" s="46">
        <f>HEX2DEC(RIGHT(Table13232127[[#This Row],[h1]],8))</f>
        <v>0</v>
      </c>
      <c r="Q189" s="46" t="s">
        <v>149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380</v>
      </c>
      <c r="G190" s="53" t="s">
        <v>724</v>
      </c>
      <c r="J190" s="24">
        <v>50000</v>
      </c>
      <c r="M190" s="24">
        <v>50000</v>
      </c>
      <c r="O190" s="46" t="s">
        <v>149</v>
      </c>
      <c r="P190" s="46">
        <f>HEX2DEC(RIGHT(Table13232127[[#This Row],[h1]],8))</f>
        <v>0</v>
      </c>
      <c r="Q190" s="46" t="s">
        <v>149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381</v>
      </c>
      <c r="E191" s="27"/>
      <c r="F191" s="27"/>
      <c r="G191" s="53" t="s">
        <v>94</v>
      </c>
      <c r="J191" s="24">
        <v>50000</v>
      </c>
      <c r="M191" s="24">
        <v>50000</v>
      </c>
      <c r="O191" s="46" t="s">
        <v>149</v>
      </c>
      <c r="P191" s="46">
        <f>HEX2DEC(RIGHT(Table13232127[[#This Row],[h1]],8))</f>
        <v>0</v>
      </c>
      <c r="Q191" s="46" t="s">
        <v>149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382</v>
      </c>
      <c r="G192" s="53" t="s">
        <v>725</v>
      </c>
      <c r="J192" s="24">
        <v>50000</v>
      </c>
      <c r="M192" s="24">
        <v>50000</v>
      </c>
      <c r="O192" s="46" t="s">
        <v>149</v>
      </c>
      <c r="P192" s="46">
        <f>HEX2DEC(RIGHT(Table13232127[[#This Row],[h1]],8))</f>
        <v>0</v>
      </c>
      <c r="Q192" s="46" t="s">
        <v>149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383</v>
      </c>
      <c r="G193" s="46" t="s">
        <v>94</v>
      </c>
      <c r="J193" s="24">
        <v>50000</v>
      </c>
      <c r="M193" s="24">
        <v>50000</v>
      </c>
      <c r="O193" s="46" t="s">
        <v>149</v>
      </c>
      <c r="P193" s="46">
        <f>HEX2DEC(RIGHT(Table13232127[[#This Row],[h1]],8))</f>
        <v>0</v>
      </c>
      <c r="Q193" s="46" t="s">
        <v>149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384</v>
      </c>
      <c r="G194" s="46" t="s">
        <v>94</v>
      </c>
      <c r="J194" s="24">
        <v>50000</v>
      </c>
      <c r="M194" s="24">
        <v>50000</v>
      </c>
      <c r="O194" s="46" t="s">
        <v>149</v>
      </c>
      <c r="P194" s="46">
        <f>HEX2DEC(RIGHT(Table13232127[[#This Row],[h1]],8))</f>
        <v>0</v>
      </c>
      <c r="Q194" s="46" t="s">
        <v>149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385</v>
      </c>
      <c r="G195" s="46" t="s">
        <v>94</v>
      </c>
      <c r="J195" s="24">
        <v>50000</v>
      </c>
      <c r="M195" s="24">
        <v>50000</v>
      </c>
      <c r="O195" s="46" t="s">
        <v>149</v>
      </c>
      <c r="P195" s="46">
        <f>HEX2DEC(RIGHT(Table13232127[[#This Row],[h1]],8))</f>
        <v>0</v>
      </c>
      <c r="Q195" s="46" t="s">
        <v>149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386</v>
      </c>
      <c r="G196" s="46" t="s">
        <v>94</v>
      </c>
      <c r="J196" s="24">
        <v>50000</v>
      </c>
      <c r="M196" s="24">
        <v>50000</v>
      </c>
      <c r="O196" s="46" t="s">
        <v>149</v>
      </c>
      <c r="P196" s="46">
        <f>HEX2DEC(RIGHT(Table13232127[[#This Row],[h1]],8))</f>
        <v>0</v>
      </c>
      <c r="Q196" s="46" t="s">
        <v>149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387</v>
      </c>
      <c r="G197" s="46" t="s">
        <v>94</v>
      </c>
      <c r="J197" s="24">
        <v>50000</v>
      </c>
      <c r="M197" s="24">
        <v>50000</v>
      </c>
      <c r="O197" s="46" t="s">
        <v>149</v>
      </c>
      <c r="P197" s="46">
        <f>HEX2DEC(RIGHT(Table13232127[[#This Row],[h1]],8))</f>
        <v>0</v>
      </c>
      <c r="Q197" s="46" t="s">
        <v>149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388</v>
      </c>
      <c r="G198" s="46" t="s">
        <v>94</v>
      </c>
      <c r="J198" s="24">
        <v>50000</v>
      </c>
      <c r="M198" s="24">
        <v>50000</v>
      </c>
      <c r="O198" s="46" t="s">
        <v>149</v>
      </c>
      <c r="P198" s="46">
        <f>HEX2DEC(RIGHT(Table13232127[[#This Row],[h1]],8))</f>
        <v>0</v>
      </c>
      <c r="Q198" s="46" t="s">
        <v>149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389</v>
      </c>
      <c r="G199" s="46" t="s">
        <v>94</v>
      </c>
      <c r="J199" s="24">
        <v>50000</v>
      </c>
      <c r="M199" s="24">
        <v>50000</v>
      </c>
      <c r="O199" s="46" t="s">
        <v>149</v>
      </c>
      <c r="P199" s="46">
        <f>HEX2DEC(RIGHT(Table13232127[[#This Row],[h1]],8))</f>
        <v>0</v>
      </c>
      <c r="Q199" s="46" t="s">
        <v>149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390</v>
      </c>
      <c r="G200" s="46" t="s">
        <v>94</v>
      </c>
      <c r="J200" s="24">
        <v>50000</v>
      </c>
      <c r="M200" s="24">
        <v>50000</v>
      </c>
      <c r="O200" s="46" t="s">
        <v>149</v>
      </c>
      <c r="P200" s="46">
        <f>HEX2DEC(RIGHT(Table13232127[[#This Row],[h1]],8))</f>
        <v>0</v>
      </c>
      <c r="Q200" s="46" t="s">
        <v>149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391</v>
      </c>
      <c r="G201" s="46" t="s">
        <v>94</v>
      </c>
      <c r="J201" s="24">
        <v>50000</v>
      </c>
      <c r="M201" s="24">
        <v>50000</v>
      </c>
      <c r="O201" s="46" t="s">
        <v>149</v>
      </c>
      <c r="P201" s="46">
        <f>HEX2DEC(RIGHT(Table13232127[[#This Row],[h1]],8))</f>
        <v>0</v>
      </c>
      <c r="Q201" s="46" t="s">
        <v>149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392</v>
      </c>
      <c r="G202" s="46" t="s">
        <v>94</v>
      </c>
      <c r="J202" s="24">
        <v>50000</v>
      </c>
      <c r="M202" s="24">
        <v>50000</v>
      </c>
      <c r="O202" s="46" t="s">
        <v>149</v>
      </c>
      <c r="P202" s="46">
        <f>HEX2DEC(RIGHT(Table13232127[[#This Row],[h1]],8))</f>
        <v>0</v>
      </c>
      <c r="Q202" s="46" t="s">
        <v>149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393</v>
      </c>
      <c r="G203" s="46" t="s">
        <v>94</v>
      </c>
      <c r="J203" s="24">
        <v>50000</v>
      </c>
      <c r="M203" s="24">
        <v>50000</v>
      </c>
      <c r="O203" s="46" t="s">
        <v>149</v>
      </c>
      <c r="P203" s="46">
        <f>HEX2DEC(RIGHT(Table13232127[[#This Row],[h1]],8))</f>
        <v>0</v>
      </c>
      <c r="Q203" s="46" t="s">
        <v>149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394</v>
      </c>
      <c r="G204" s="46" t="s">
        <v>94</v>
      </c>
      <c r="J204" s="24">
        <v>50000</v>
      </c>
      <c r="M204" s="24">
        <v>50000</v>
      </c>
      <c r="O204" s="46" t="s">
        <v>149</v>
      </c>
      <c r="P204" s="46">
        <f>HEX2DEC(RIGHT(Table13232127[[#This Row],[h1]],8))</f>
        <v>0</v>
      </c>
      <c r="Q204" s="46" t="s">
        <v>149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395</v>
      </c>
      <c r="G205" s="46" t="s">
        <v>94</v>
      </c>
      <c r="J205" s="24">
        <v>50000</v>
      </c>
      <c r="M205" s="24">
        <v>50000</v>
      </c>
      <c r="O205" s="46" t="s">
        <v>149</v>
      </c>
      <c r="P205" s="46">
        <f>HEX2DEC(RIGHT(Table13232127[[#This Row],[h1]],8))</f>
        <v>0</v>
      </c>
      <c r="Q205" s="46" t="s">
        <v>149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396</v>
      </c>
      <c r="G206" s="46" t="s">
        <v>94</v>
      </c>
      <c r="J206" s="24">
        <v>50000</v>
      </c>
      <c r="M206" s="24">
        <v>50000</v>
      </c>
      <c r="O206" s="46" t="s">
        <v>149</v>
      </c>
      <c r="P206" s="46">
        <f>HEX2DEC(RIGHT(Table13232127[[#This Row],[h1]],8))</f>
        <v>0</v>
      </c>
      <c r="Q206" s="46" t="s">
        <v>149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6" t="s">
        <v>149</v>
      </c>
      <c r="P207" s="46">
        <f>HEX2DEC(RIGHT(Table13232127[[#This Row],[h1]],8))</f>
        <v>0</v>
      </c>
      <c r="Q207" s="46" t="s">
        <v>149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397</v>
      </c>
      <c r="G208" s="50">
        <v>1</v>
      </c>
      <c r="J208" s="24">
        <v>50000</v>
      </c>
      <c r="M208" s="24">
        <v>50000</v>
      </c>
      <c r="O208" s="46" t="s">
        <v>149</v>
      </c>
      <c r="P208" s="46">
        <f>HEX2DEC(RIGHT(Table13232127[[#This Row],[h1]],8))</f>
        <v>0</v>
      </c>
      <c r="Q208" s="46" t="s">
        <v>149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398</v>
      </c>
      <c r="G209" s="46">
        <v>2</v>
      </c>
      <c r="J209" s="24">
        <v>50000</v>
      </c>
      <c r="M209" s="24">
        <v>50000</v>
      </c>
      <c r="O209" s="46" t="s">
        <v>149</v>
      </c>
      <c r="P209" s="46">
        <f>HEX2DEC(RIGHT(Table13232127[[#This Row],[h1]],8))</f>
        <v>0</v>
      </c>
      <c r="Q209" s="46" t="s">
        <v>149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399</v>
      </c>
      <c r="G210" s="46">
        <v>3</v>
      </c>
      <c r="J210" s="24">
        <v>50000</v>
      </c>
      <c r="M210" s="24">
        <v>50000</v>
      </c>
      <c r="O210" s="46" t="s">
        <v>149</v>
      </c>
      <c r="P210" s="46">
        <f>HEX2DEC(RIGHT(Table13232127[[#This Row],[h1]],8))</f>
        <v>0</v>
      </c>
      <c r="Q210" s="46" t="s">
        <v>149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400</v>
      </c>
      <c r="G211" s="46">
        <v>4</v>
      </c>
      <c r="J211" s="24">
        <v>50000</v>
      </c>
      <c r="M211" s="24">
        <v>50000</v>
      </c>
      <c r="O211" s="46" t="s">
        <v>149</v>
      </c>
      <c r="P211" s="46">
        <f>HEX2DEC(RIGHT(Table13232127[[#This Row],[h1]],8))</f>
        <v>0</v>
      </c>
      <c r="Q211" s="46" t="s">
        <v>149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401</v>
      </c>
      <c r="G212" s="46">
        <v>5</v>
      </c>
      <c r="J212" s="24">
        <v>50000</v>
      </c>
      <c r="M212" s="24">
        <v>50000</v>
      </c>
      <c r="O212" s="46" t="s">
        <v>149</v>
      </c>
      <c r="P212" s="46">
        <f>HEX2DEC(RIGHT(Table13232127[[#This Row],[h1]],8))</f>
        <v>0</v>
      </c>
      <c r="Q212" s="46" t="s">
        <v>149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402</v>
      </c>
      <c r="G213" s="46">
        <v>6</v>
      </c>
      <c r="J213" s="24">
        <v>50000</v>
      </c>
      <c r="M213" s="24">
        <v>50000</v>
      </c>
      <c r="O213" s="46" t="s">
        <v>149</v>
      </c>
      <c r="P213" s="46">
        <f>HEX2DEC(RIGHT(Table13232127[[#This Row],[h1]],8))</f>
        <v>0</v>
      </c>
      <c r="Q213" s="46" t="s">
        <v>149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403</v>
      </c>
      <c r="G214" s="46">
        <v>7</v>
      </c>
      <c r="J214" s="24">
        <v>50000</v>
      </c>
      <c r="M214" s="24">
        <v>50000</v>
      </c>
      <c r="O214" s="46" t="s">
        <v>149</v>
      </c>
      <c r="P214" s="46">
        <f>HEX2DEC(RIGHT(Table13232127[[#This Row],[h1]],8))</f>
        <v>0</v>
      </c>
      <c r="Q214" s="46" t="s">
        <v>149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404</v>
      </c>
      <c r="G215" s="46">
        <v>8</v>
      </c>
      <c r="J215" s="24">
        <v>50000</v>
      </c>
      <c r="M215" s="24">
        <v>50000</v>
      </c>
      <c r="O215" s="46" t="s">
        <v>149</v>
      </c>
      <c r="P215" s="46">
        <f>HEX2DEC(RIGHT(Table13232127[[#This Row],[h1]],8))</f>
        <v>0</v>
      </c>
      <c r="Q215" s="46" t="s">
        <v>149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405</v>
      </c>
      <c r="G216" s="46">
        <v>9</v>
      </c>
      <c r="J216" s="24">
        <v>50000</v>
      </c>
      <c r="M216" s="24">
        <v>50000</v>
      </c>
      <c r="O216" s="46" t="s">
        <v>149</v>
      </c>
      <c r="P216" s="46">
        <f>HEX2DEC(RIGHT(Table13232127[[#This Row],[h1]],8))</f>
        <v>0</v>
      </c>
      <c r="Q216" s="46" t="s">
        <v>149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406</v>
      </c>
      <c r="G217" s="46">
        <v>10</v>
      </c>
      <c r="J217" s="24">
        <v>50000</v>
      </c>
      <c r="M217" s="24">
        <v>50000</v>
      </c>
      <c r="O217" s="46" t="s">
        <v>149</v>
      </c>
      <c r="P217" s="46">
        <f>HEX2DEC(RIGHT(Table13232127[[#This Row],[h1]],8))</f>
        <v>0</v>
      </c>
      <c r="Q217" s="46" t="s">
        <v>149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407</v>
      </c>
      <c r="G218" s="46">
        <v>11</v>
      </c>
      <c r="J218" s="24">
        <v>50000</v>
      </c>
      <c r="M218" s="24">
        <v>50000</v>
      </c>
      <c r="O218" s="46" t="s">
        <v>149</v>
      </c>
      <c r="P218" s="46">
        <f>HEX2DEC(RIGHT(Table13232127[[#This Row],[h1]],8))</f>
        <v>0</v>
      </c>
      <c r="Q218" s="46" t="s">
        <v>149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408</v>
      </c>
      <c r="G219" s="46">
        <v>12</v>
      </c>
      <c r="J219" s="24">
        <v>50000</v>
      </c>
      <c r="M219" s="24">
        <v>50000</v>
      </c>
      <c r="O219" s="46" t="s">
        <v>149</v>
      </c>
      <c r="P219" s="46">
        <f>HEX2DEC(RIGHT(Table13232127[[#This Row],[h1]],8))</f>
        <v>0</v>
      </c>
      <c r="Q219" s="46" t="s">
        <v>149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409</v>
      </c>
      <c r="G220" s="46">
        <v>13</v>
      </c>
      <c r="J220" s="24">
        <v>50000</v>
      </c>
      <c r="M220" s="24">
        <v>50000</v>
      </c>
      <c r="O220" s="46" t="s">
        <v>149</v>
      </c>
      <c r="P220" s="46">
        <f>HEX2DEC(RIGHT(Table13232127[[#This Row],[h1]],8))</f>
        <v>0</v>
      </c>
      <c r="Q220" s="46" t="s">
        <v>149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410</v>
      </c>
      <c r="G221" s="46">
        <v>14</v>
      </c>
      <c r="J221" s="24">
        <v>50000</v>
      </c>
      <c r="M221" s="24">
        <v>50000</v>
      </c>
      <c r="O221" s="46" t="s">
        <v>149</v>
      </c>
      <c r="P221" s="46">
        <f>HEX2DEC(RIGHT(Table13232127[[#This Row],[h1]],8))</f>
        <v>0</v>
      </c>
      <c r="Q221" s="46" t="s">
        <v>149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411</v>
      </c>
      <c r="G222" s="46">
        <v>15</v>
      </c>
      <c r="J222" s="24">
        <v>50000</v>
      </c>
      <c r="M222" s="24">
        <v>50000</v>
      </c>
      <c r="O222" s="46" t="s">
        <v>149</v>
      </c>
      <c r="P222" s="46">
        <f>HEX2DEC(RIGHT(Table13232127[[#This Row],[h1]],8))</f>
        <v>0</v>
      </c>
      <c r="Q222" s="46" t="s">
        <v>149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412</v>
      </c>
      <c r="G223" s="46">
        <v>0</v>
      </c>
      <c r="J223" s="24">
        <v>50000</v>
      </c>
      <c r="M223" s="24">
        <v>50000</v>
      </c>
      <c r="O223" s="46" t="s">
        <v>149</v>
      </c>
      <c r="P223" s="46">
        <f>HEX2DEC(RIGHT(Table13232127[[#This Row],[h1]],8))</f>
        <v>0</v>
      </c>
      <c r="Q223" s="46" t="s">
        <v>149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413</v>
      </c>
      <c r="G224" s="53">
        <v>16</v>
      </c>
      <c r="J224" s="24">
        <v>50000</v>
      </c>
      <c r="M224" s="24">
        <v>50000</v>
      </c>
      <c r="O224" s="46" t="s">
        <v>149</v>
      </c>
      <c r="P224" s="46">
        <f>HEX2DEC(RIGHT(Table13232127[[#This Row],[h1]],8))</f>
        <v>0</v>
      </c>
      <c r="Q224" s="46" t="s">
        <v>149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414</v>
      </c>
      <c r="G225" s="46">
        <v>0</v>
      </c>
      <c r="J225" s="24">
        <v>50000</v>
      </c>
      <c r="M225" s="24">
        <v>50000</v>
      </c>
      <c r="O225" s="46" t="s">
        <v>149</v>
      </c>
      <c r="P225" s="46">
        <f>HEX2DEC(RIGHT(Table13232127[[#This Row],[h1]],8))</f>
        <v>0</v>
      </c>
      <c r="Q225" s="46" t="s">
        <v>149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415</v>
      </c>
      <c r="G226" s="46">
        <v>0</v>
      </c>
      <c r="J226" s="24">
        <v>50000</v>
      </c>
      <c r="M226" s="24">
        <v>50000</v>
      </c>
      <c r="O226" s="46" t="s">
        <v>149</v>
      </c>
      <c r="P226" s="46">
        <f>HEX2DEC(RIGHT(Table13232127[[#This Row],[h1]],8))</f>
        <v>0</v>
      </c>
      <c r="Q226" s="46" t="s">
        <v>149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416</v>
      </c>
      <c r="G227" s="46">
        <v>0</v>
      </c>
      <c r="J227" s="24">
        <v>50000</v>
      </c>
      <c r="M227" s="24">
        <v>50000</v>
      </c>
      <c r="O227" s="46" t="s">
        <v>149</v>
      </c>
      <c r="P227" s="46">
        <f>HEX2DEC(RIGHT(Table13232127[[#This Row],[h1]],8))</f>
        <v>0</v>
      </c>
      <c r="Q227" s="46" t="s">
        <v>149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417</v>
      </c>
      <c r="G228" s="46">
        <v>0</v>
      </c>
      <c r="J228" s="24">
        <v>50000</v>
      </c>
      <c r="M228" s="24">
        <v>50000</v>
      </c>
      <c r="O228" s="46" t="s">
        <v>149</v>
      </c>
      <c r="P228" s="46">
        <f>HEX2DEC(RIGHT(Table13232127[[#This Row],[h1]],8))</f>
        <v>0</v>
      </c>
      <c r="Q228" s="46" t="s">
        <v>149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418</v>
      </c>
      <c r="G229" s="46">
        <v>0</v>
      </c>
      <c r="J229" s="24">
        <v>50000</v>
      </c>
      <c r="M229" s="24">
        <v>50000</v>
      </c>
      <c r="O229" s="46" t="s">
        <v>149</v>
      </c>
      <c r="P229" s="46">
        <f>HEX2DEC(RIGHT(Table13232127[[#This Row],[h1]],8))</f>
        <v>0</v>
      </c>
      <c r="Q229" s="46" t="s">
        <v>149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419</v>
      </c>
      <c r="G230" s="46">
        <v>0</v>
      </c>
      <c r="J230" s="24">
        <v>50000</v>
      </c>
      <c r="M230" s="24">
        <v>50000</v>
      </c>
      <c r="O230" s="46" t="s">
        <v>149</v>
      </c>
      <c r="P230" s="46">
        <f>HEX2DEC(RIGHT(Table13232127[[#This Row],[h1]],8))</f>
        <v>0</v>
      </c>
      <c r="Q230" s="46" t="s">
        <v>149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420</v>
      </c>
      <c r="G231" s="46">
        <v>0</v>
      </c>
      <c r="J231" s="24">
        <v>50000</v>
      </c>
      <c r="M231" s="24">
        <v>50000</v>
      </c>
      <c r="O231" s="46" t="s">
        <v>149</v>
      </c>
      <c r="P231" s="46">
        <f>HEX2DEC(RIGHT(Table13232127[[#This Row],[h1]],8))</f>
        <v>0</v>
      </c>
      <c r="Q231" s="46" t="s">
        <v>149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421</v>
      </c>
      <c r="G232" s="46">
        <v>0</v>
      </c>
      <c r="J232" s="24">
        <v>50000</v>
      </c>
      <c r="M232" s="24">
        <v>50000</v>
      </c>
      <c r="O232" s="46" t="s">
        <v>149</v>
      </c>
      <c r="P232" s="46">
        <f>HEX2DEC(RIGHT(Table13232127[[#This Row],[h1]],8))</f>
        <v>0</v>
      </c>
      <c r="Q232" s="46" t="s">
        <v>149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422</v>
      </c>
      <c r="G233" s="46">
        <v>0</v>
      </c>
      <c r="J233" s="24">
        <v>50000</v>
      </c>
      <c r="M233" s="24">
        <v>50000</v>
      </c>
      <c r="O233" s="46" t="s">
        <v>149</v>
      </c>
      <c r="P233" s="46">
        <f>HEX2DEC(RIGHT(Table13232127[[#This Row],[h1]],8))</f>
        <v>0</v>
      </c>
      <c r="Q233" s="46" t="s">
        <v>149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423</v>
      </c>
      <c r="G234" s="46">
        <v>0</v>
      </c>
      <c r="J234" s="24">
        <v>50000</v>
      </c>
      <c r="M234" s="24">
        <v>50000</v>
      </c>
      <c r="O234" s="46" t="s">
        <v>149</v>
      </c>
      <c r="P234" s="46">
        <f>HEX2DEC(RIGHT(Table13232127[[#This Row],[h1]],8))</f>
        <v>0</v>
      </c>
      <c r="Q234" s="46" t="s">
        <v>149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424</v>
      </c>
      <c r="G235" s="46">
        <v>0</v>
      </c>
      <c r="J235" s="24">
        <v>50000</v>
      </c>
      <c r="M235" s="24">
        <v>50000</v>
      </c>
      <c r="O235" s="46" t="s">
        <v>149</v>
      </c>
      <c r="P235" s="46">
        <f>HEX2DEC(RIGHT(Table13232127[[#This Row],[h1]],8))</f>
        <v>0</v>
      </c>
      <c r="Q235" s="46" t="s">
        <v>149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425</v>
      </c>
      <c r="G236" s="46">
        <v>0</v>
      </c>
      <c r="J236" s="24">
        <v>50000</v>
      </c>
      <c r="M236" s="24">
        <v>50000</v>
      </c>
      <c r="O236" s="46" t="s">
        <v>149</v>
      </c>
      <c r="P236" s="46">
        <f>HEX2DEC(RIGHT(Table13232127[[#This Row],[h1]],8))</f>
        <v>0</v>
      </c>
      <c r="Q236" s="46" t="s">
        <v>149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426</v>
      </c>
      <c r="G237" s="46">
        <v>0</v>
      </c>
      <c r="J237" s="24">
        <v>50000</v>
      </c>
      <c r="M237" s="24">
        <v>50000</v>
      </c>
      <c r="O237" s="46" t="s">
        <v>149</v>
      </c>
      <c r="P237" s="46">
        <f>HEX2DEC(RIGHT(Table13232127[[#This Row],[h1]],8))</f>
        <v>0</v>
      </c>
      <c r="Q237" s="46" t="s">
        <v>149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427</v>
      </c>
      <c r="G238" s="46">
        <v>0</v>
      </c>
      <c r="J238" s="24">
        <v>50000</v>
      </c>
      <c r="M238" s="24">
        <v>50000</v>
      </c>
      <c r="O238" s="46" t="s">
        <v>149</v>
      </c>
      <c r="P238" s="46">
        <f>HEX2DEC(RIGHT(Table13232127[[#This Row],[h1]],8))</f>
        <v>0</v>
      </c>
      <c r="Q238" s="46" t="s">
        <v>149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6" t="s">
        <v>149</v>
      </c>
      <c r="P239" s="46">
        <f>HEX2DEC(RIGHT(Table13232127[[#This Row],[h1]],8))</f>
        <v>0</v>
      </c>
      <c r="Q239" s="46" t="s">
        <v>149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6" t="s">
        <v>149</v>
      </c>
      <c r="P240" s="46">
        <f>HEX2DEC(RIGHT(Table13232127[[#This Row],[h1]],8))</f>
        <v>0</v>
      </c>
      <c r="Q240" s="46" t="s">
        <v>149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46</v>
      </c>
      <c r="J241" s="24">
        <v>50000</v>
      </c>
      <c r="M241" s="24">
        <v>50000</v>
      </c>
      <c r="O241" s="46" t="s">
        <v>149</v>
      </c>
      <c r="P241" s="46">
        <f>HEX2DEC(RIGHT(Table13232127[[#This Row],[h1]],8))</f>
        <v>0</v>
      </c>
      <c r="Q241" s="46" t="s">
        <v>149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101</v>
      </c>
      <c r="J242" s="24">
        <v>50000</v>
      </c>
      <c r="M242" s="24">
        <v>50000</v>
      </c>
      <c r="O242" s="46" t="s">
        <v>149</v>
      </c>
      <c r="P242" s="46">
        <f>HEX2DEC(RIGHT(Table13232127[[#This Row],[h1]],8))</f>
        <v>0</v>
      </c>
      <c r="Q242" s="46" t="s">
        <v>149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428</v>
      </c>
      <c r="F243" s="26"/>
      <c r="G243" s="15">
        <v>-1</v>
      </c>
      <c r="J243" s="24">
        <v>50000</v>
      </c>
      <c r="M243" s="24">
        <v>50000</v>
      </c>
      <c r="O243" s="46" t="s">
        <v>149</v>
      </c>
      <c r="P243" s="46">
        <f>HEX2DEC(RIGHT(Table13232127[[#This Row],[h1]],8))</f>
        <v>0</v>
      </c>
      <c r="Q243" s="46" t="s">
        <v>149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429</v>
      </c>
      <c r="G244" s="15">
        <v>1000</v>
      </c>
      <c r="J244" s="24">
        <v>50000</v>
      </c>
      <c r="M244" s="24">
        <v>50000</v>
      </c>
      <c r="O244" s="46" t="s">
        <v>149</v>
      </c>
      <c r="P244" s="46">
        <f>HEX2DEC(RIGHT(Table13232127[[#This Row],[h1]],8))</f>
        <v>0</v>
      </c>
      <c r="Q244" s="46" t="s">
        <v>149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6" t="s">
        <v>149</v>
      </c>
      <c r="P245" s="46">
        <f>HEX2DEC(RIGHT(Table13232127[[#This Row],[h1]],8))</f>
        <v>0</v>
      </c>
      <c r="Q245" s="46" t="s">
        <v>149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6" t="s">
        <v>149</v>
      </c>
      <c r="P246" s="46">
        <f>HEX2DEC(RIGHT(Table13232127[[#This Row],[h1]],8))</f>
        <v>0</v>
      </c>
      <c r="Q246" s="46" t="s">
        <v>149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430</v>
      </c>
      <c r="G247" s="15" t="s">
        <v>154</v>
      </c>
      <c r="J247" s="24">
        <v>50000</v>
      </c>
      <c r="M247" s="24">
        <v>50000</v>
      </c>
      <c r="O247" s="46" t="s">
        <v>149</v>
      </c>
      <c r="P247" s="46">
        <f>HEX2DEC(RIGHT(Table13232127[[#This Row],[h1]],8))</f>
        <v>0</v>
      </c>
      <c r="Q247" s="46" t="s">
        <v>149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431</v>
      </c>
      <c r="G248" s="15" t="s">
        <v>146</v>
      </c>
      <c r="J248" s="24">
        <v>50000</v>
      </c>
      <c r="M248" s="24">
        <v>50000</v>
      </c>
      <c r="O248" s="46" t="s">
        <v>149</v>
      </c>
      <c r="P248" s="46">
        <f>HEX2DEC(RIGHT(Table13232127[[#This Row],[h1]],8))</f>
        <v>0</v>
      </c>
      <c r="Q248" s="46" t="s">
        <v>149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6" t="s">
        <v>149</v>
      </c>
      <c r="P249" s="46">
        <f>HEX2DEC(RIGHT(Table13232127[[#This Row],[h1]],8))</f>
        <v>0</v>
      </c>
      <c r="Q249" s="46" t="s">
        <v>149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6" t="s">
        <v>149</v>
      </c>
      <c r="P250" s="46">
        <f>HEX2DEC(RIGHT(Table13232127[[#This Row],[h1]],8))</f>
        <v>0</v>
      </c>
      <c r="Q250" s="46" t="s">
        <v>149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45</v>
      </c>
      <c r="J251" s="24">
        <v>50000</v>
      </c>
      <c r="M251" s="24">
        <v>50000</v>
      </c>
      <c r="O251" s="46" t="s">
        <v>149</v>
      </c>
      <c r="P251" s="46">
        <f>HEX2DEC(RIGHT(Table13232127[[#This Row],[h1]],8))</f>
        <v>0</v>
      </c>
      <c r="Q251" s="46" t="s">
        <v>149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432</v>
      </c>
      <c r="E252" s="15" t="s">
        <v>106</v>
      </c>
      <c r="G252" s="15">
        <f>IF(Table131925[[#This Row],[dec val]]="",0,1)</f>
        <v>0</v>
      </c>
      <c r="J252" s="24">
        <v>50000</v>
      </c>
      <c r="M252" s="24">
        <v>50000</v>
      </c>
      <c r="O252" s="46" t="s">
        <v>149</v>
      </c>
      <c r="P252" s="46">
        <f>HEX2DEC(RIGHT(Table13232127[[#This Row],[h1]],8))</f>
        <v>0</v>
      </c>
      <c r="Q252" s="46" t="s">
        <v>149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433</v>
      </c>
      <c r="E253" s="15" t="s">
        <v>107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149</v>
      </c>
      <c r="P253" s="46">
        <f>HEX2DEC(RIGHT(Table13232127[[#This Row],[h1]],8))</f>
        <v>0</v>
      </c>
      <c r="Q253" s="46" t="s">
        <v>149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434</v>
      </c>
      <c r="E254" s="15" t="s">
        <v>108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149</v>
      </c>
      <c r="P254" s="46">
        <f>HEX2DEC(RIGHT(Table13232127[[#This Row],[h1]],8))</f>
        <v>0</v>
      </c>
      <c r="Q254" s="46" t="s">
        <v>149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435</v>
      </c>
      <c r="E255" s="15" t="s">
        <v>109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149</v>
      </c>
      <c r="P255" s="46">
        <f>HEX2DEC(RIGHT(Table13232127[[#This Row],[h1]],8))</f>
        <v>0</v>
      </c>
      <c r="Q255" s="46" t="s">
        <v>149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436</v>
      </c>
      <c r="E256" s="15" t="s">
        <v>110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149</v>
      </c>
      <c r="P256" s="46">
        <f>HEX2DEC(RIGHT(Table13232127[[#This Row],[h1]],8))</f>
        <v>0</v>
      </c>
      <c r="Q256" s="46" t="s">
        <v>149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437</v>
      </c>
      <c r="E257" s="15" t="s">
        <v>111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149</v>
      </c>
      <c r="P257" s="46">
        <f>HEX2DEC(RIGHT(Table13232127[[#This Row],[h1]],8))</f>
        <v>0</v>
      </c>
      <c r="Q257" s="46" t="s">
        <v>149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438</v>
      </c>
      <c r="E258" s="15" t="s">
        <v>112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149</v>
      </c>
      <c r="P258" s="46">
        <f>HEX2DEC(RIGHT(Table13232127[[#This Row],[h1]],8))</f>
        <v>0</v>
      </c>
      <c r="Q258" s="46" t="s">
        <v>149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439</v>
      </c>
      <c r="E259" s="15" t="s">
        <v>113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149</v>
      </c>
      <c r="P259" s="46">
        <f>HEX2DEC(RIGHT(Table13232127[[#This Row],[h1]],8))</f>
        <v>0</v>
      </c>
      <c r="Q259" s="46" t="s">
        <v>149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440</v>
      </c>
      <c r="E260" s="15" t="s">
        <v>114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149</v>
      </c>
      <c r="P260" s="46">
        <f>HEX2DEC(RIGHT(Table13232127[[#This Row],[h1]],8))</f>
        <v>0</v>
      </c>
      <c r="Q260" s="46" t="s">
        <v>149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441</v>
      </c>
      <c r="E261" s="15" t="s">
        <v>115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149</v>
      </c>
      <c r="P261" s="46">
        <f>HEX2DEC(RIGHT(Table13232127[[#This Row],[h1]],8))</f>
        <v>0</v>
      </c>
      <c r="Q261" s="46" t="s">
        <v>149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442</v>
      </c>
      <c r="E262" s="15" t="s">
        <v>116</v>
      </c>
      <c r="G262" s="15">
        <f>IF(Table131925[[#This Row],[dec val]]="",0,1)</f>
        <v>0</v>
      </c>
      <c r="J262" s="24">
        <v>50000</v>
      </c>
      <c r="M262" s="24">
        <v>50000</v>
      </c>
      <c r="O262" s="46" t="s">
        <v>149</v>
      </c>
      <c r="P262" s="46">
        <f>HEX2DEC(RIGHT(Table13232127[[#This Row],[h1]],8))</f>
        <v>0</v>
      </c>
      <c r="Q262" s="46" t="s">
        <v>149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443</v>
      </c>
      <c r="E263" s="15" t="s">
        <v>117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149</v>
      </c>
      <c r="P263" s="46">
        <f>HEX2DEC(RIGHT(Table13232127[[#This Row],[h1]],8))</f>
        <v>0</v>
      </c>
      <c r="Q263" s="46" t="s">
        <v>149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444</v>
      </c>
      <c r="E264" s="15" t="s">
        <v>118</v>
      </c>
      <c r="G264" s="15">
        <f>IF(Table131925[[#This Row],[dec val]]="",0,1)</f>
        <v>0</v>
      </c>
      <c r="J264" s="24">
        <v>50000</v>
      </c>
      <c r="M264" s="24">
        <v>50000</v>
      </c>
      <c r="O264" s="46" t="s">
        <v>149</v>
      </c>
      <c r="P264" s="46">
        <f>HEX2DEC(RIGHT(Table13232127[[#This Row],[h1]],8))</f>
        <v>0</v>
      </c>
      <c r="Q264" s="46" t="s">
        <v>149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445</v>
      </c>
      <c r="E265" s="15" t="s">
        <v>119</v>
      </c>
      <c r="G265" s="15">
        <f>IF(Table131925[[#This Row],[dec val]]="",0,1)</f>
        <v>0</v>
      </c>
      <c r="J265" s="24">
        <v>50000</v>
      </c>
      <c r="M265" s="24">
        <v>50000</v>
      </c>
      <c r="O265" s="46" t="s">
        <v>149</v>
      </c>
      <c r="P265" s="46">
        <f>HEX2DEC(RIGHT(Table13232127[[#This Row],[h1]],8))</f>
        <v>0</v>
      </c>
      <c r="Q265" s="46" t="s">
        <v>149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446</v>
      </c>
      <c r="E266" s="15" t="s">
        <v>120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149</v>
      </c>
      <c r="P266" s="46">
        <f>HEX2DEC(RIGHT(Table13232127[[#This Row],[h1]],8))</f>
        <v>0</v>
      </c>
      <c r="Q266" s="46" t="s">
        <v>149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447</v>
      </c>
      <c r="E267" s="15" t="s">
        <v>121</v>
      </c>
      <c r="G267" s="15">
        <v>1</v>
      </c>
      <c r="J267" s="24">
        <v>50000</v>
      </c>
      <c r="M267" s="24">
        <v>50000</v>
      </c>
      <c r="O267" s="46" t="s">
        <v>149</v>
      </c>
      <c r="P267" s="46">
        <f>HEX2DEC(RIGHT(Table13232127[[#This Row],[h1]],8))</f>
        <v>0</v>
      </c>
      <c r="Q267" s="46" t="s">
        <v>149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448</v>
      </c>
      <c r="E268" s="15" t="s">
        <v>122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149</v>
      </c>
      <c r="P268" s="46">
        <f>HEX2DEC(RIGHT(Table13232127[[#This Row],[h1]],8))</f>
        <v>0</v>
      </c>
      <c r="Q268" s="46" t="s">
        <v>149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449</v>
      </c>
      <c r="E269" s="15" t="s">
        <v>123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149</v>
      </c>
      <c r="P269" s="46">
        <f>HEX2DEC(RIGHT(Table13232127[[#This Row],[h1]],8))</f>
        <v>0</v>
      </c>
      <c r="Q269" s="46" t="s">
        <v>149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450</v>
      </c>
      <c r="E270" s="15" t="s">
        <v>124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149</v>
      </c>
      <c r="P270" s="46">
        <f>HEX2DEC(RIGHT(Table13232127[[#This Row],[h1]],8))</f>
        <v>0</v>
      </c>
      <c r="Q270" s="46" t="s">
        <v>149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451</v>
      </c>
      <c r="E271" s="15" t="s">
        <v>125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149</v>
      </c>
      <c r="P271" s="46">
        <f>HEX2DEC(RIGHT(Table13232127[[#This Row],[h1]],8))</f>
        <v>0</v>
      </c>
      <c r="Q271" s="46" t="s">
        <v>149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452</v>
      </c>
      <c r="E272" s="15" t="s">
        <v>126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149</v>
      </c>
      <c r="P272" s="46">
        <f>HEX2DEC(RIGHT(Table13232127[[#This Row],[h1]],8))</f>
        <v>0</v>
      </c>
      <c r="Q272" s="46" t="s">
        <v>149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453</v>
      </c>
      <c r="E273" s="15" t="s">
        <v>127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149</v>
      </c>
      <c r="P273" s="46">
        <f>HEX2DEC(RIGHT(Table13232127[[#This Row],[h1]],8))</f>
        <v>0</v>
      </c>
      <c r="Q273" s="46" t="s">
        <v>149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454</v>
      </c>
      <c r="E274" s="15" t="s">
        <v>128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149</v>
      </c>
      <c r="P274" s="46">
        <f>HEX2DEC(RIGHT(Table13232127[[#This Row],[h1]],8))</f>
        <v>0</v>
      </c>
      <c r="Q274" s="46" t="s">
        <v>149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455</v>
      </c>
      <c r="E275" s="15" t="s">
        <v>129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149</v>
      </c>
      <c r="P275" s="46">
        <f>HEX2DEC(RIGHT(Table13232127[[#This Row],[h1]],8))</f>
        <v>0</v>
      </c>
      <c r="Q275" s="46" t="s">
        <v>149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456</v>
      </c>
      <c r="E276" s="15" t="s">
        <v>130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149</v>
      </c>
      <c r="P276" s="46">
        <f>HEX2DEC(RIGHT(Table13232127[[#This Row],[h1]],8))</f>
        <v>0</v>
      </c>
      <c r="Q276" s="46" t="s">
        <v>149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457</v>
      </c>
      <c r="E277" s="15" t="s">
        <v>131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149</v>
      </c>
      <c r="P277" s="46">
        <f>HEX2DEC(RIGHT(Table13232127[[#This Row],[h1]],8))</f>
        <v>0</v>
      </c>
      <c r="Q277" s="46" t="s">
        <v>149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458</v>
      </c>
      <c r="E278" s="15" t="s">
        <v>132</v>
      </c>
      <c r="G278" s="15">
        <f>IF(Table131925[[#This Row],[dec val]]="",0,1)</f>
        <v>0</v>
      </c>
      <c r="J278" s="24">
        <v>50000</v>
      </c>
      <c r="M278" s="24">
        <v>50000</v>
      </c>
      <c r="O278" s="46" t="s">
        <v>149</v>
      </c>
      <c r="P278" s="46">
        <f>HEX2DEC(RIGHT(Table13232127[[#This Row],[h1]],8))</f>
        <v>0</v>
      </c>
      <c r="Q278" s="46" t="s">
        <v>149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459</v>
      </c>
      <c r="E279" s="15" t="s">
        <v>133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149</v>
      </c>
      <c r="P279" s="46">
        <f>HEX2DEC(RIGHT(Table13232127[[#This Row],[h1]],8))</f>
        <v>0</v>
      </c>
      <c r="Q279" s="46" t="s">
        <v>149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460</v>
      </c>
      <c r="E280" s="15" t="s">
        <v>134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149</v>
      </c>
      <c r="P280" s="46">
        <f>HEX2DEC(RIGHT(Table13232127[[#This Row],[h1]],8))</f>
        <v>0</v>
      </c>
      <c r="Q280" s="46" t="s">
        <v>149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461</v>
      </c>
      <c r="E281" s="15" t="s">
        <v>135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149</v>
      </c>
      <c r="P281" s="46">
        <f>HEX2DEC(RIGHT(Table13232127[[#This Row],[h1]],8))</f>
        <v>0</v>
      </c>
      <c r="Q281" s="46" t="s">
        <v>149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462</v>
      </c>
      <c r="E282" s="15" t="s">
        <v>136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149</v>
      </c>
      <c r="P282" s="46">
        <f>HEX2DEC(RIGHT(Table13232127[[#This Row],[h1]],8))</f>
        <v>0</v>
      </c>
      <c r="Q282" s="46" t="s">
        <v>149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6" t="s">
        <v>149</v>
      </c>
      <c r="P283" s="46">
        <f>HEX2DEC(RIGHT(Table13232127[[#This Row],[h1]],8))</f>
        <v>0</v>
      </c>
      <c r="Q283" s="46" t="s">
        <v>149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463</v>
      </c>
      <c r="E284" s="15" t="s">
        <v>106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149</v>
      </c>
      <c r="P284" s="46">
        <f>HEX2DEC(RIGHT(Table13232127[[#This Row],[h1]],8))</f>
        <v>0</v>
      </c>
      <c r="Q284" s="46" t="s">
        <v>149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464</v>
      </c>
      <c r="E285" s="15" t="s">
        <v>107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149</v>
      </c>
      <c r="P285" s="46">
        <f>HEX2DEC(RIGHT(Table13232127[[#This Row],[h1]],8))</f>
        <v>0</v>
      </c>
      <c r="Q285" s="46" t="s">
        <v>149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465</v>
      </c>
      <c r="E286" s="15" t="s">
        <v>108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149</v>
      </c>
      <c r="P286" s="46">
        <f>HEX2DEC(RIGHT(Table13232127[[#This Row],[h1]],8))</f>
        <v>0</v>
      </c>
      <c r="Q286" s="46" t="s">
        <v>149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466</v>
      </c>
      <c r="E287" s="15" t="s">
        <v>109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149</v>
      </c>
      <c r="P287" s="46">
        <f>HEX2DEC(RIGHT(Table13232127[[#This Row],[h1]],8))</f>
        <v>0</v>
      </c>
      <c r="Q287" s="46" t="s">
        <v>149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467</v>
      </c>
      <c r="E288" s="15" t="s">
        <v>110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149</v>
      </c>
      <c r="P288" s="46">
        <f>HEX2DEC(RIGHT(Table13232127[[#This Row],[h1]],8))</f>
        <v>0</v>
      </c>
      <c r="Q288" s="46" t="s">
        <v>149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468</v>
      </c>
      <c r="E289" s="15" t="s">
        <v>111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149</v>
      </c>
      <c r="P289" s="46">
        <f>HEX2DEC(RIGHT(Table13232127[[#This Row],[h1]],8))</f>
        <v>0</v>
      </c>
      <c r="Q289" s="46" t="s">
        <v>149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469</v>
      </c>
      <c r="E290" s="15" t="s">
        <v>112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149</v>
      </c>
      <c r="P290" s="46">
        <f>HEX2DEC(RIGHT(Table13232127[[#This Row],[h1]],8))</f>
        <v>0</v>
      </c>
      <c r="Q290" s="46" t="s">
        <v>149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470</v>
      </c>
      <c r="E291" s="15" t="s">
        <v>113</v>
      </c>
      <c r="G291" s="15">
        <f>IF(Table131925[[#This Row],[dec val]]="",0,1)</f>
        <v>0</v>
      </c>
      <c r="J291" s="24">
        <v>50000</v>
      </c>
      <c r="M291" s="24">
        <v>50000</v>
      </c>
      <c r="O291" s="46" t="s">
        <v>149</v>
      </c>
      <c r="P291" s="46">
        <f>HEX2DEC(RIGHT(Table13232127[[#This Row],[h1]],8))</f>
        <v>0</v>
      </c>
      <c r="Q291" s="46" t="s">
        <v>149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471</v>
      </c>
      <c r="E292" s="15" t="s">
        <v>114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149</v>
      </c>
      <c r="P292" s="46">
        <f>HEX2DEC(RIGHT(Table13232127[[#This Row],[h1]],8))</f>
        <v>0</v>
      </c>
      <c r="Q292" s="46" t="s">
        <v>149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472</v>
      </c>
      <c r="E293" s="15" t="s">
        <v>115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149</v>
      </c>
      <c r="P293" s="46">
        <f>HEX2DEC(RIGHT(Table13232127[[#This Row],[h1]],8))</f>
        <v>0</v>
      </c>
      <c r="Q293" s="46" t="s">
        <v>149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473</v>
      </c>
      <c r="E294" s="15" t="s">
        <v>116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149</v>
      </c>
      <c r="P294" s="46">
        <f>HEX2DEC(RIGHT(Table13232127[[#This Row],[h1]],8))</f>
        <v>0</v>
      </c>
      <c r="Q294" s="46" t="s">
        <v>149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474</v>
      </c>
      <c r="E295" s="15" t="s">
        <v>117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149</v>
      </c>
      <c r="P295" s="46">
        <f>HEX2DEC(RIGHT(Table13232127[[#This Row],[h1]],8))</f>
        <v>0</v>
      </c>
      <c r="Q295" s="46" t="s">
        <v>149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475</v>
      </c>
      <c r="E296" s="15" t="s">
        <v>118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149</v>
      </c>
      <c r="P296" s="46">
        <f>HEX2DEC(RIGHT(Table13232127[[#This Row],[h1]],8))</f>
        <v>0</v>
      </c>
      <c r="Q296" s="46" t="s">
        <v>149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476</v>
      </c>
      <c r="E297" s="15" t="s">
        <v>119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149</v>
      </c>
      <c r="P297" s="46">
        <f>HEX2DEC(RIGHT(Table13232127[[#This Row],[h1]],8))</f>
        <v>0</v>
      </c>
      <c r="Q297" s="46" t="s">
        <v>149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477</v>
      </c>
      <c r="E298" s="15" t="s">
        <v>120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149</v>
      </c>
      <c r="P298" s="46">
        <f>HEX2DEC(RIGHT(Table13232127[[#This Row],[h1]],8))</f>
        <v>0</v>
      </c>
      <c r="Q298" s="46" t="s">
        <v>149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478</v>
      </c>
      <c r="E299" s="15" t="s">
        <v>121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149</v>
      </c>
      <c r="P299" s="46">
        <f>HEX2DEC(RIGHT(Table13232127[[#This Row],[h1]],8))</f>
        <v>0</v>
      </c>
      <c r="Q299" s="46" t="s">
        <v>149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479</v>
      </c>
      <c r="E300" s="15" t="s">
        <v>122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149</v>
      </c>
      <c r="P300" s="46">
        <f>HEX2DEC(RIGHT(Table13232127[[#This Row],[h1]],8))</f>
        <v>0</v>
      </c>
      <c r="Q300" s="46" t="s">
        <v>149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480</v>
      </c>
      <c r="E301" s="15" t="s">
        <v>123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149</v>
      </c>
      <c r="P301" s="46">
        <f>HEX2DEC(RIGHT(Table13232127[[#This Row],[h1]],8))</f>
        <v>0</v>
      </c>
      <c r="Q301" s="46" t="s">
        <v>149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481</v>
      </c>
      <c r="E302" s="15" t="s">
        <v>124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149</v>
      </c>
      <c r="P302" s="46">
        <f>HEX2DEC(RIGHT(Table13232127[[#This Row],[h1]],8))</f>
        <v>0</v>
      </c>
      <c r="Q302" s="46" t="s">
        <v>149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482</v>
      </c>
      <c r="E303" s="15" t="s">
        <v>125</v>
      </c>
      <c r="G303" s="15">
        <f>IF(Table131925[[#This Row],[dec val]]="",0,1)</f>
        <v>0</v>
      </c>
      <c r="J303" s="24">
        <v>50000</v>
      </c>
      <c r="M303" s="24">
        <v>50000</v>
      </c>
      <c r="O303" s="46" t="s">
        <v>149</v>
      </c>
      <c r="P303" s="46">
        <f>HEX2DEC(RIGHT(Table13232127[[#This Row],[h1]],8))</f>
        <v>0</v>
      </c>
      <c r="Q303" s="46" t="s">
        <v>149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483</v>
      </c>
      <c r="E304" s="15" t="s">
        <v>126</v>
      </c>
      <c r="G304" s="15">
        <f>IF(Table131925[[#This Row],[dec val]]="",0,1)</f>
        <v>0</v>
      </c>
      <c r="J304" s="24">
        <v>50000</v>
      </c>
      <c r="M304" s="24">
        <v>50000</v>
      </c>
      <c r="O304" s="46" t="s">
        <v>149</v>
      </c>
      <c r="P304" s="46">
        <f>HEX2DEC(RIGHT(Table13232127[[#This Row],[h1]],8))</f>
        <v>0</v>
      </c>
      <c r="Q304" s="46" t="s">
        <v>149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484</v>
      </c>
      <c r="E305" s="15" t="s">
        <v>127</v>
      </c>
      <c r="G305" s="15">
        <f>IF(Table131925[[#This Row],[dec val]]="",0,1)</f>
        <v>0</v>
      </c>
      <c r="J305" s="24">
        <v>50000</v>
      </c>
      <c r="M305" s="24">
        <v>50000</v>
      </c>
      <c r="O305" s="46" t="s">
        <v>149</v>
      </c>
      <c r="P305" s="46">
        <f>HEX2DEC(RIGHT(Table13232127[[#This Row],[h1]],8))</f>
        <v>0</v>
      </c>
      <c r="Q305" s="46" t="s">
        <v>149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485</v>
      </c>
      <c r="E306" s="15" t="s">
        <v>128</v>
      </c>
      <c r="G306" s="15">
        <f>IF(Table131925[[#This Row],[dec val]]="",0,1)</f>
        <v>0</v>
      </c>
      <c r="J306" s="24">
        <v>50000</v>
      </c>
      <c r="M306" s="24">
        <v>50000</v>
      </c>
      <c r="O306" s="46" t="s">
        <v>149</v>
      </c>
      <c r="P306" s="46">
        <f>HEX2DEC(RIGHT(Table13232127[[#This Row],[h1]],8))</f>
        <v>0</v>
      </c>
      <c r="Q306" s="46" t="s">
        <v>149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486</v>
      </c>
      <c r="E307" s="15" t="s">
        <v>129</v>
      </c>
      <c r="G307" s="15">
        <f>IF(Table131925[[#This Row],[dec val]]="",0,1)</f>
        <v>0</v>
      </c>
      <c r="J307" s="24">
        <v>50000</v>
      </c>
      <c r="M307" s="24">
        <v>50000</v>
      </c>
      <c r="O307" s="46" t="s">
        <v>149</v>
      </c>
      <c r="P307" s="46">
        <f>HEX2DEC(RIGHT(Table13232127[[#This Row],[h1]],8))</f>
        <v>0</v>
      </c>
      <c r="Q307" s="46" t="s">
        <v>149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487</v>
      </c>
      <c r="E308" s="15" t="s">
        <v>130</v>
      </c>
      <c r="G308" s="15">
        <f>IF(Table131925[[#This Row],[dec val]]="",0,1)</f>
        <v>0</v>
      </c>
      <c r="J308" s="24">
        <v>50000</v>
      </c>
      <c r="M308" s="24">
        <v>50000</v>
      </c>
      <c r="O308" s="46" t="s">
        <v>149</v>
      </c>
      <c r="P308" s="46">
        <f>HEX2DEC(RIGHT(Table13232127[[#This Row],[h1]],8))</f>
        <v>0</v>
      </c>
      <c r="Q308" s="46" t="s">
        <v>149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488</v>
      </c>
      <c r="E309" s="15" t="s">
        <v>131</v>
      </c>
      <c r="G309" s="15">
        <f>IF(Table131925[[#This Row],[dec val]]="",0,1)</f>
        <v>0</v>
      </c>
      <c r="J309" s="24">
        <v>50000</v>
      </c>
      <c r="M309" s="24">
        <v>50000</v>
      </c>
      <c r="O309" s="46" t="s">
        <v>149</v>
      </c>
      <c r="P309" s="46">
        <f>HEX2DEC(RIGHT(Table13232127[[#This Row],[h1]],8))</f>
        <v>0</v>
      </c>
      <c r="Q309" s="46" t="s">
        <v>149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489</v>
      </c>
      <c r="E310" s="15" t="s">
        <v>132</v>
      </c>
      <c r="G310" s="15">
        <f>IF(Table131925[[#This Row],[dec val]]="",0,1)</f>
        <v>0</v>
      </c>
      <c r="J310" s="24">
        <v>50000</v>
      </c>
      <c r="M310" s="24">
        <v>50000</v>
      </c>
      <c r="O310" s="46" t="s">
        <v>149</v>
      </c>
      <c r="P310" s="46">
        <f>HEX2DEC(RIGHT(Table13232127[[#This Row],[h1]],8))</f>
        <v>0</v>
      </c>
      <c r="Q310" s="46" t="s">
        <v>149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490</v>
      </c>
      <c r="E311" s="15" t="s">
        <v>133</v>
      </c>
      <c r="G311" s="15">
        <f>IF(Table131925[[#This Row],[dec val]]="",0,1)</f>
        <v>0</v>
      </c>
      <c r="J311" s="24">
        <v>50000</v>
      </c>
      <c r="M311" s="24">
        <v>50000</v>
      </c>
      <c r="O311" s="46" t="s">
        <v>149</v>
      </c>
      <c r="P311" s="46">
        <f>HEX2DEC(RIGHT(Table13232127[[#This Row],[h1]],8))</f>
        <v>0</v>
      </c>
      <c r="Q311" s="46" t="s">
        <v>149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491</v>
      </c>
      <c r="E312" s="15" t="s">
        <v>134</v>
      </c>
      <c r="G312" s="15">
        <f>IF(Table131925[[#This Row],[dec val]]="",0,1)</f>
        <v>0</v>
      </c>
      <c r="J312" s="24">
        <v>50000</v>
      </c>
      <c r="M312" s="24">
        <v>50000</v>
      </c>
      <c r="O312" s="46" t="s">
        <v>149</v>
      </c>
      <c r="P312" s="46">
        <f>HEX2DEC(RIGHT(Table13232127[[#This Row],[h1]],8))</f>
        <v>0</v>
      </c>
      <c r="Q312" s="46" t="s">
        <v>149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492</v>
      </c>
      <c r="E313" s="15" t="s">
        <v>135</v>
      </c>
      <c r="G313" s="15">
        <f>IF(Table131925[[#This Row],[dec val]]="",0,1)</f>
        <v>0</v>
      </c>
      <c r="J313" s="24">
        <v>50000</v>
      </c>
      <c r="M313" s="24">
        <v>50000</v>
      </c>
      <c r="O313" s="46" t="s">
        <v>149</v>
      </c>
      <c r="P313" s="46">
        <f>HEX2DEC(RIGHT(Table13232127[[#This Row],[h1]],8))</f>
        <v>0</v>
      </c>
      <c r="Q313" s="46" t="s">
        <v>149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493</v>
      </c>
      <c r="E314" s="15" t="s">
        <v>136</v>
      </c>
      <c r="G314" s="15">
        <f>IF(Table131925[[#This Row],[dec val]]="",0,1)</f>
        <v>0</v>
      </c>
      <c r="J314" s="24">
        <v>50000</v>
      </c>
      <c r="M314" s="24">
        <v>50000</v>
      </c>
      <c r="O314" s="46" t="s">
        <v>149</v>
      </c>
      <c r="P314" s="46">
        <f>HEX2DEC(RIGHT(Table13232127[[#This Row],[h1]],8))</f>
        <v>0</v>
      </c>
      <c r="Q314" s="46" t="s">
        <v>149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6" t="s">
        <v>149</v>
      </c>
      <c r="P315" s="46">
        <f>HEX2DEC(RIGHT(Table13232127[[#This Row],[h1]],8))</f>
        <v>0</v>
      </c>
      <c r="Q315" s="46" t="s">
        <v>149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494</v>
      </c>
      <c r="E316" s="15" t="s">
        <v>106</v>
      </c>
      <c r="G316" s="15">
        <f>IF(Table131925[[#This Row],[dec val]]="",0,1)</f>
        <v>0</v>
      </c>
      <c r="J316" s="24">
        <v>50000</v>
      </c>
      <c r="M316" s="24">
        <v>50000</v>
      </c>
      <c r="O316" s="46" t="s">
        <v>149</v>
      </c>
      <c r="P316" s="46">
        <f>HEX2DEC(RIGHT(Table13232127[[#This Row],[h1]],8))</f>
        <v>0</v>
      </c>
      <c r="Q316" s="46" t="s">
        <v>149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495</v>
      </c>
      <c r="E317" s="15" t="s">
        <v>107</v>
      </c>
      <c r="G317" s="15">
        <f>IF(Table131925[[#This Row],[dec val]]="",0,1)</f>
        <v>0</v>
      </c>
      <c r="J317" s="24">
        <v>50000</v>
      </c>
      <c r="M317" s="24">
        <v>50000</v>
      </c>
      <c r="O317" s="46" t="s">
        <v>149</v>
      </c>
      <c r="P317" s="46">
        <f>HEX2DEC(RIGHT(Table13232127[[#This Row],[h1]],8))</f>
        <v>0</v>
      </c>
      <c r="Q317" s="46" t="s">
        <v>149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496</v>
      </c>
      <c r="E318" s="15" t="s">
        <v>108</v>
      </c>
      <c r="G318" s="15">
        <f>IF(Table131925[[#This Row],[dec val]]="",0,1)</f>
        <v>0</v>
      </c>
      <c r="J318" s="24">
        <v>50000</v>
      </c>
      <c r="M318" s="24">
        <v>50000</v>
      </c>
      <c r="O318" s="46" t="s">
        <v>149</v>
      </c>
      <c r="P318" s="46">
        <f>HEX2DEC(RIGHT(Table13232127[[#This Row],[h1]],8))</f>
        <v>0</v>
      </c>
      <c r="Q318" s="46" t="s">
        <v>149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497</v>
      </c>
      <c r="E319" s="15" t="s">
        <v>109</v>
      </c>
      <c r="G319" s="15">
        <f>IF(Table131925[[#This Row],[dec val]]="",0,1)</f>
        <v>0</v>
      </c>
      <c r="J319" s="24">
        <v>50000</v>
      </c>
      <c r="M319" s="24">
        <v>50000</v>
      </c>
      <c r="O319" s="46" t="s">
        <v>149</v>
      </c>
      <c r="P319" s="46">
        <f>HEX2DEC(RIGHT(Table13232127[[#This Row],[h1]],8))</f>
        <v>0</v>
      </c>
      <c r="Q319" s="46" t="s">
        <v>149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498</v>
      </c>
      <c r="E320" s="15" t="s">
        <v>110</v>
      </c>
      <c r="G320" s="15">
        <f>IF(Table131925[[#This Row],[dec val]]="",0,1)</f>
        <v>0</v>
      </c>
      <c r="J320" s="24">
        <v>50000</v>
      </c>
      <c r="M320" s="24">
        <v>50000</v>
      </c>
      <c r="O320" s="46" t="s">
        <v>149</v>
      </c>
      <c r="P320" s="46">
        <f>HEX2DEC(RIGHT(Table13232127[[#This Row],[h1]],8))</f>
        <v>0</v>
      </c>
      <c r="Q320" s="46" t="s">
        <v>149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499</v>
      </c>
      <c r="E321" s="15" t="s">
        <v>111</v>
      </c>
      <c r="G321" s="15">
        <f>IF(Table131925[[#This Row],[dec val]]="",0,1)</f>
        <v>0</v>
      </c>
      <c r="J321" s="24">
        <v>50000</v>
      </c>
      <c r="M321" s="24">
        <v>50000</v>
      </c>
      <c r="O321" s="46" t="s">
        <v>149</v>
      </c>
      <c r="P321" s="46">
        <f>HEX2DEC(RIGHT(Table13232127[[#This Row],[h1]],8))</f>
        <v>0</v>
      </c>
      <c r="Q321" s="46" t="s">
        <v>149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500</v>
      </c>
      <c r="E322" s="15" t="s">
        <v>112</v>
      </c>
      <c r="G322" s="15">
        <f>IF(Table131925[[#This Row],[dec val]]="",0,1)</f>
        <v>0</v>
      </c>
      <c r="J322" s="24">
        <v>50000</v>
      </c>
      <c r="M322" s="24">
        <v>50000</v>
      </c>
      <c r="O322" s="46" t="s">
        <v>149</v>
      </c>
      <c r="P322" s="46">
        <f>HEX2DEC(RIGHT(Table13232127[[#This Row],[h1]],8))</f>
        <v>0</v>
      </c>
      <c r="Q322" s="46" t="s">
        <v>149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501</v>
      </c>
      <c r="E323" s="15" t="s">
        <v>113</v>
      </c>
      <c r="G323" s="15">
        <f>IF(Table131925[[#This Row],[dec val]]="",0,1)</f>
        <v>0</v>
      </c>
      <c r="J323" s="24">
        <v>50000</v>
      </c>
      <c r="M323" s="24">
        <v>50000</v>
      </c>
      <c r="O323" s="46" t="s">
        <v>149</v>
      </c>
      <c r="P323" s="46">
        <f>HEX2DEC(RIGHT(Table13232127[[#This Row],[h1]],8))</f>
        <v>0</v>
      </c>
      <c r="Q323" s="46" t="s">
        <v>149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502</v>
      </c>
      <c r="E324" s="15" t="s">
        <v>114</v>
      </c>
      <c r="G324" s="15">
        <f>IF(Table131925[[#This Row],[dec val]]="",0,1)</f>
        <v>0</v>
      </c>
      <c r="J324" s="24">
        <v>50000</v>
      </c>
      <c r="M324" s="24">
        <v>50000</v>
      </c>
      <c r="O324" s="46" t="s">
        <v>149</v>
      </c>
      <c r="P324" s="46">
        <f>HEX2DEC(RIGHT(Table13232127[[#This Row],[h1]],8))</f>
        <v>0</v>
      </c>
      <c r="Q324" s="46" t="s">
        <v>149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503</v>
      </c>
      <c r="E325" s="15" t="s">
        <v>115</v>
      </c>
      <c r="G325" s="15">
        <f>IF(Table131925[[#This Row],[dec val]]="",0,1)</f>
        <v>0</v>
      </c>
      <c r="J325" s="24">
        <v>50000</v>
      </c>
      <c r="M325" s="24">
        <v>50000</v>
      </c>
      <c r="O325" s="46" t="s">
        <v>149</v>
      </c>
      <c r="P325" s="46">
        <f>HEX2DEC(RIGHT(Table13232127[[#This Row],[h1]],8))</f>
        <v>0</v>
      </c>
      <c r="Q325" s="46" t="s">
        <v>149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504</v>
      </c>
      <c r="E326" s="15" t="s">
        <v>116</v>
      </c>
      <c r="G326" s="15">
        <f>IF(Table131925[[#This Row],[dec val]]="",0,1)</f>
        <v>0</v>
      </c>
      <c r="J326" s="24">
        <v>50000</v>
      </c>
      <c r="M326" s="24">
        <v>50000</v>
      </c>
      <c r="O326" s="46" t="s">
        <v>149</v>
      </c>
      <c r="P326" s="46">
        <f>HEX2DEC(RIGHT(Table13232127[[#This Row],[h1]],8))</f>
        <v>0</v>
      </c>
      <c r="Q326" s="46" t="s">
        <v>149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505</v>
      </c>
      <c r="E327" s="15" t="s">
        <v>117</v>
      </c>
      <c r="G327" s="15">
        <f>IF(Table131925[[#This Row],[dec val]]="",0,1)</f>
        <v>0</v>
      </c>
      <c r="J327" s="24">
        <v>50000</v>
      </c>
      <c r="M327" s="24">
        <v>50000</v>
      </c>
      <c r="O327" s="46" t="s">
        <v>149</v>
      </c>
      <c r="P327" s="46">
        <f>HEX2DEC(RIGHT(Table13232127[[#This Row],[h1]],8))</f>
        <v>0</v>
      </c>
      <c r="Q327" s="46" t="s">
        <v>149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506</v>
      </c>
      <c r="E328" s="15" t="s">
        <v>118</v>
      </c>
      <c r="G328" s="15">
        <f>IF(Table131925[[#This Row],[dec val]]="",0,1)</f>
        <v>0</v>
      </c>
      <c r="J328" s="24">
        <v>50000</v>
      </c>
      <c r="M328" s="24">
        <v>50000</v>
      </c>
      <c r="O328" s="46" t="s">
        <v>149</v>
      </c>
      <c r="P328" s="46">
        <f>HEX2DEC(RIGHT(Table13232127[[#This Row],[h1]],8))</f>
        <v>0</v>
      </c>
      <c r="Q328" s="46" t="s">
        <v>149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507</v>
      </c>
      <c r="E329" s="15" t="s">
        <v>119</v>
      </c>
      <c r="G329" s="15">
        <f>IF(Table131925[[#This Row],[dec val]]="",0,1)</f>
        <v>0</v>
      </c>
      <c r="J329" s="24">
        <v>50000</v>
      </c>
      <c r="M329" s="24">
        <v>50000</v>
      </c>
      <c r="O329" s="46" t="s">
        <v>149</v>
      </c>
      <c r="P329" s="46">
        <f>HEX2DEC(RIGHT(Table13232127[[#This Row],[h1]],8))</f>
        <v>0</v>
      </c>
      <c r="Q329" s="46" t="s">
        <v>149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508</v>
      </c>
      <c r="E330" s="15" t="s">
        <v>120</v>
      </c>
      <c r="G330" s="15">
        <f>IF(Table131925[[#This Row],[dec val]]="",0,1)</f>
        <v>0</v>
      </c>
      <c r="J330" s="24">
        <v>50000</v>
      </c>
      <c r="M330" s="24">
        <v>50000</v>
      </c>
      <c r="O330" s="46" t="s">
        <v>149</v>
      </c>
      <c r="P330" s="46">
        <f>HEX2DEC(RIGHT(Table13232127[[#This Row],[h1]],8))</f>
        <v>0</v>
      </c>
      <c r="Q330" s="46" t="s">
        <v>149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509</v>
      </c>
      <c r="E331" s="15" t="s">
        <v>121</v>
      </c>
      <c r="G331" s="15">
        <f>IF(Table131925[[#This Row],[dec val]]="",0,1)</f>
        <v>0</v>
      </c>
      <c r="J331" s="24">
        <v>50000</v>
      </c>
      <c r="M331" s="24">
        <v>50000</v>
      </c>
      <c r="O331" s="46" t="s">
        <v>149</v>
      </c>
      <c r="P331" s="46">
        <f>HEX2DEC(RIGHT(Table13232127[[#This Row],[h1]],8))</f>
        <v>0</v>
      </c>
      <c r="Q331" s="46" t="s">
        <v>149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510</v>
      </c>
      <c r="E332" s="15" t="s">
        <v>122</v>
      </c>
      <c r="G332" s="15">
        <f>IF(Table131925[[#This Row],[dec val]]="",0,1)</f>
        <v>0</v>
      </c>
      <c r="J332" s="24">
        <v>50000</v>
      </c>
      <c r="M332" s="24">
        <v>50000</v>
      </c>
      <c r="O332" s="46" t="s">
        <v>149</v>
      </c>
      <c r="P332" s="46">
        <f>HEX2DEC(RIGHT(Table13232127[[#This Row],[h1]],8))</f>
        <v>0</v>
      </c>
      <c r="Q332" s="46" t="s">
        <v>149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511</v>
      </c>
      <c r="E333" s="15" t="s">
        <v>123</v>
      </c>
      <c r="G333" s="15">
        <f>IF(Table131925[[#This Row],[dec val]]="",0,1)</f>
        <v>0</v>
      </c>
      <c r="J333" s="24">
        <v>50000</v>
      </c>
      <c r="M333" s="24">
        <v>50000</v>
      </c>
      <c r="O333" s="46" t="s">
        <v>149</v>
      </c>
      <c r="P333" s="46">
        <f>HEX2DEC(RIGHT(Table13232127[[#This Row],[h1]],8))</f>
        <v>0</v>
      </c>
      <c r="Q333" s="46" t="s">
        <v>149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512</v>
      </c>
      <c r="E334" s="15" t="s">
        <v>124</v>
      </c>
      <c r="G334" s="15">
        <f>IF(Table131925[[#This Row],[dec val]]="",0,1)</f>
        <v>0</v>
      </c>
      <c r="J334" s="24">
        <v>50000</v>
      </c>
      <c r="M334" s="24">
        <v>50000</v>
      </c>
      <c r="O334" s="46" t="s">
        <v>149</v>
      </c>
      <c r="P334" s="46">
        <f>HEX2DEC(RIGHT(Table13232127[[#This Row],[h1]],8))</f>
        <v>0</v>
      </c>
      <c r="Q334" s="46" t="s">
        <v>149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513</v>
      </c>
      <c r="E335" s="15" t="s">
        <v>125</v>
      </c>
      <c r="G335" s="15">
        <f>IF(Table131925[[#This Row],[dec val]]="",0,1)</f>
        <v>0</v>
      </c>
      <c r="J335" s="24">
        <v>50000</v>
      </c>
      <c r="M335" s="24">
        <v>50000</v>
      </c>
      <c r="O335" s="46" t="s">
        <v>149</v>
      </c>
      <c r="P335" s="46">
        <f>HEX2DEC(RIGHT(Table13232127[[#This Row],[h1]],8))</f>
        <v>0</v>
      </c>
      <c r="Q335" s="46" t="s">
        <v>149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514</v>
      </c>
      <c r="E336" s="15" t="s">
        <v>126</v>
      </c>
      <c r="G336" s="15">
        <f>IF(Table131925[[#This Row],[dec val]]="",0,1)</f>
        <v>0</v>
      </c>
      <c r="J336" s="24">
        <v>50000</v>
      </c>
      <c r="M336" s="24">
        <v>50000</v>
      </c>
      <c r="O336" s="46" t="s">
        <v>149</v>
      </c>
      <c r="P336" s="46">
        <f>HEX2DEC(RIGHT(Table13232127[[#This Row],[h1]],8))</f>
        <v>0</v>
      </c>
      <c r="Q336" s="46" t="s">
        <v>149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515</v>
      </c>
      <c r="E337" s="15" t="s">
        <v>127</v>
      </c>
      <c r="G337" s="15">
        <f>IF(Table131925[[#This Row],[dec val]]="",0,1)</f>
        <v>0</v>
      </c>
      <c r="J337" s="24">
        <v>50000</v>
      </c>
      <c r="M337" s="24">
        <v>50000</v>
      </c>
      <c r="O337" s="46" t="s">
        <v>149</v>
      </c>
      <c r="P337" s="46">
        <f>HEX2DEC(RIGHT(Table13232127[[#This Row],[h1]],8))</f>
        <v>0</v>
      </c>
      <c r="Q337" s="46" t="s">
        <v>149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516</v>
      </c>
      <c r="E338" s="15" t="s">
        <v>128</v>
      </c>
      <c r="G338" s="15">
        <f>IF(Table131925[[#This Row],[dec val]]="",0,1)</f>
        <v>0</v>
      </c>
      <c r="J338" s="24">
        <v>50000</v>
      </c>
      <c r="M338" s="24">
        <v>50000</v>
      </c>
      <c r="O338" s="46" t="s">
        <v>149</v>
      </c>
      <c r="P338" s="46">
        <f>HEX2DEC(RIGHT(Table13232127[[#This Row],[h1]],8))</f>
        <v>0</v>
      </c>
      <c r="Q338" s="46" t="s">
        <v>149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517</v>
      </c>
      <c r="E339" s="15" t="s">
        <v>129</v>
      </c>
      <c r="G339" s="15">
        <f>IF(Table131925[[#This Row],[dec val]]="",0,1)</f>
        <v>0</v>
      </c>
      <c r="J339" s="24">
        <v>50000</v>
      </c>
      <c r="M339" s="24">
        <v>50000</v>
      </c>
      <c r="O339" s="46" t="s">
        <v>149</v>
      </c>
      <c r="P339" s="46">
        <f>HEX2DEC(RIGHT(Table13232127[[#This Row],[h1]],8))</f>
        <v>0</v>
      </c>
      <c r="Q339" s="46" t="s">
        <v>149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518</v>
      </c>
      <c r="E340" s="15" t="s">
        <v>130</v>
      </c>
      <c r="G340" s="15">
        <f>IF(Table131925[[#This Row],[dec val]]="",0,1)</f>
        <v>0</v>
      </c>
      <c r="J340" s="24">
        <v>50000</v>
      </c>
      <c r="M340" s="24">
        <v>50000</v>
      </c>
      <c r="O340" s="46" t="s">
        <v>149</v>
      </c>
      <c r="P340" s="46">
        <f>HEX2DEC(RIGHT(Table13232127[[#This Row],[h1]],8))</f>
        <v>0</v>
      </c>
      <c r="Q340" s="46" t="s">
        <v>149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519</v>
      </c>
      <c r="E341" s="15" t="s">
        <v>131</v>
      </c>
      <c r="G341" s="15">
        <f>IF(Table131925[[#This Row],[dec val]]="",0,1)</f>
        <v>0</v>
      </c>
      <c r="J341" s="24">
        <v>50000</v>
      </c>
      <c r="M341" s="24">
        <v>50000</v>
      </c>
      <c r="O341" s="46" t="s">
        <v>149</v>
      </c>
      <c r="P341" s="46">
        <f>HEX2DEC(RIGHT(Table13232127[[#This Row],[h1]],8))</f>
        <v>0</v>
      </c>
      <c r="Q341" s="46" t="s">
        <v>149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520</v>
      </c>
      <c r="E342" s="15" t="s">
        <v>132</v>
      </c>
      <c r="G342" s="15">
        <f>IF(Table131925[[#This Row],[dec val]]="",0,1)</f>
        <v>0</v>
      </c>
      <c r="J342" s="24">
        <v>50000</v>
      </c>
      <c r="M342" s="24">
        <v>50000</v>
      </c>
      <c r="O342" s="46" t="s">
        <v>149</v>
      </c>
      <c r="P342" s="46">
        <f>HEX2DEC(RIGHT(Table13232127[[#This Row],[h1]],8))</f>
        <v>0</v>
      </c>
      <c r="Q342" s="46" t="s">
        <v>149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521</v>
      </c>
      <c r="E343" s="15" t="s">
        <v>133</v>
      </c>
      <c r="G343" s="15">
        <f>IF(Table131925[[#This Row],[dec val]]="",0,1)</f>
        <v>0</v>
      </c>
      <c r="J343" s="24">
        <v>50000</v>
      </c>
      <c r="M343" s="24">
        <v>50000</v>
      </c>
      <c r="O343" s="46" t="s">
        <v>149</v>
      </c>
      <c r="P343" s="46">
        <f>HEX2DEC(RIGHT(Table13232127[[#This Row],[h1]],8))</f>
        <v>0</v>
      </c>
      <c r="Q343" s="46" t="s">
        <v>149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522</v>
      </c>
      <c r="E344" s="15" t="s">
        <v>134</v>
      </c>
      <c r="G344" s="15">
        <f>IF(Table131925[[#This Row],[dec val]]="",0,1)</f>
        <v>0</v>
      </c>
      <c r="J344" s="24">
        <v>50000</v>
      </c>
      <c r="M344" s="24">
        <v>50000</v>
      </c>
      <c r="O344" s="46" t="s">
        <v>149</v>
      </c>
      <c r="P344" s="46">
        <f>HEX2DEC(RIGHT(Table13232127[[#This Row],[h1]],8))</f>
        <v>0</v>
      </c>
      <c r="Q344" s="46" t="s">
        <v>149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523</v>
      </c>
      <c r="E345" s="15" t="s">
        <v>135</v>
      </c>
      <c r="G345" s="15">
        <f>IF(Table131925[[#This Row],[dec val]]="",0,1)</f>
        <v>0</v>
      </c>
      <c r="J345" s="24">
        <v>50000</v>
      </c>
      <c r="M345" s="24">
        <v>50000</v>
      </c>
      <c r="O345" s="46" t="s">
        <v>149</v>
      </c>
      <c r="P345" s="46">
        <f>HEX2DEC(RIGHT(Table13232127[[#This Row],[h1]],8))</f>
        <v>0</v>
      </c>
      <c r="Q345" s="46" t="s">
        <v>149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524</v>
      </c>
      <c r="E346" s="15" t="s">
        <v>136</v>
      </c>
      <c r="G346" s="15">
        <f>IF(Table131925[[#This Row],[dec val]]="",0,1)</f>
        <v>0</v>
      </c>
      <c r="J346" s="24">
        <v>50000</v>
      </c>
      <c r="M346" s="24">
        <v>50000</v>
      </c>
      <c r="O346" s="46" t="s">
        <v>149</v>
      </c>
      <c r="P346" s="46">
        <f>HEX2DEC(RIGHT(Table13232127[[#This Row],[h1]],8))</f>
        <v>0</v>
      </c>
      <c r="Q346" s="46" t="s">
        <v>149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6" t="s">
        <v>149</v>
      </c>
      <c r="P347" s="46">
        <f>HEX2DEC(RIGHT(Table13232127[[#This Row],[h1]],8))</f>
        <v>0</v>
      </c>
      <c r="Q347" s="46" t="s">
        <v>149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525</v>
      </c>
      <c r="E348" s="15" t="s">
        <v>106</v>
      </c>
      <c r="G348" s="15">
        <f>IF(Table131925[[#This Row],[dec val]]="",0,1)</f>
        <v>0</v>
      </c>
      <c r="J348" s="24">
        <v>50000</v>
      </c>
      <c r="M348" s="24">
        <v>50000</v>
      </c>
      <c r="O348" s="46" t="s">
        <v>149</v>
      </c>
      <c r="P348" s="46">
        <f>HEX2DEC(RIGHT(Table13232127[[#This Row],[h1]],8))</f>
        <v>0</v>
      </c>
      <c r="Q348" s="46" t="s">
        <v>149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526</v>
      </c>
      <c r="E349" s="15" t="s">
        <v>107</v>
      </c>
      <c r="G349" s="15">
        <f>IF(Table131925[[#This Row],[dec val]]="",0,1)</f>
        <v>0</v>
      </c>
      <c r="J349" s="24">
        <v>50000</v>
      </c>
      <c r="M349" s="24">
        <v>50000</v>
      </c>
      <c r="O349" s="46" t="s">
        <v>149</v>
      </c>
      <c r="P349" s="46">
        <f>HEX2DEC(RIGHT(Table13232127[[#This Row],[h1]],8))</f>
        <v>0</v>
      </c>
      <c r="Q349" s="46" t="s">
        <v>149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527</v>
      </c>
      <c r="E350" s="15" t="s">
        <v>108</v>
      </c>
      <c r="G350" s="15">
        <f>IF(Table131925[[#This Row],[dec val]]="",0,1)</f>
        <v>0</v>
      </c>
      <c r="J350" s="24">
        <v>50000</v>
      </c>
      <c r="M350" s="24">
        <v>50000</v>
      </c>
      <c r="O350" s="46" t="s">
        <v>149</v>
      </c>
      <c r="P350" s="46">
        <f>HEX2DEC(RIGHT(Table13232127[[#This Row],[h1]],8))</f>
        <v>0</v>
      </c>
      <c r="Q350" s="46" t="s">
        <v>149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528</v>
      </c>
      <c r="E351" s="15" t="s">
        <v>109</v>
      </c>
      <c r="G351" s="15">
        <f>IF(Table131925[[#This Row],[dec val]]="",0,1)</f>
        <v>0</v>
      </c>
      <c r="J351" s="24">
        <v>50000</v>
      </c>
      <c r="M351" s="24">
        <v>50000</v>
      </c>
      <c r="O351" s="46" t="s">
        <v>149</v>
      </c>
      <c r="P351" s="46">
        <f>HEX2DEC(RIGHT(Table13232127[[#This Row],[h1]],8))</f>
        <v>0</v>
      </c>
      <c r="Q351" s="46" t="s">
        <v>149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529</v>
      </c>
      <c r="E352" s="15" t="s">
        <v>110</v>
      </c>
      <c r="G352" s="15">
        <f>IF(Table131925[[#This Row],[dec val]]="",0,1)</f>
        <v>0</v>
      </c>
      <c r="J352" s="24">
        <v>50000</v>
      </c>
      <c r="M352" s="24">
        <v>50000</v>
      </c>
      <c r="O352" s="46" t="s">
        <v>149</v>
      </c>
      <c r="P352" s="46">
        <f>HEX2DEC(RIGHT(Table13232127[[#This Row],[h1]],8))</f>
        <v>0</v>
      </c>
      <c r="Q352" s="46" t="s">
        <v>149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530</v>
      </c>
      <c r="E353" s="15" t="s">
        <v>111</v>
      </c>
      <c r="G353" s="15">
        <f>IF(Table131925[[#This Row],[dec val]]="",0,1)</f>
        <v>0</v>
      </c>
      <c r="J353" s="24">
        <v>50000</v>
      </c>
      <c r="M353" s="24">
        <v>50000</v>
      </c>
      <c r="O353" s="46" t="s">
        <v>149</v>
      </c>
      <c r="P353" s="46">
        <f>HEX2DEC(RIGHT(Table13232127[[#This Row],[h1]],8))</f>
        <v>0</v>
      </c>
      <c r="Q353" s="46" t="s">
        <v>149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531</v>
      </c>
      <c r="E354" s="15" t="s">
        <v>112</v>
      </c>
      <c r="G354" s="15">
        <f>IF(Table131925[[#This Row],[dec val]]="",0,1)</f>
        <v>0</v>
      </c>
      <c r="J354" s="24">
        <v>50000</v>
      </c>
      <c r="M354" s="24">
        <v>50000</v>
      </c>
      <c r="O354" s="46" t="s">
        <v>149</v>
      </c>
      <c r="P354" s="46">
        <f>HEX2DEC(RIGHT(Table13232127[[#This Row],[h1]],8))</f>
        <v>0</v>
      </c>
      <c r="Q354" s="46" t="s">
        <v>149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532</v>
      </c>
      <c r="E355" s="15" t="s">
        <v>113</v>
      </c>
      <c r="G355" s="15">
        <f>IF(Table131925[[#This Row],[dec val]]="",0,1)</f>
        <v>0</v>
      </c>
      <c r="J355" s="24">
        <v>50000</v>
      </c>
      <c r="M355" s="24">
        <v>50000</v>
      </c>
      <c r="O355" s="46" t="s">
        <v>149</v>
      </c>
      <c r="P355" s="46">
        <f>HEX2DEC(RIGHT(Table13232127[[#This Row],[h1]],8))</f>
        <v>0</v>
      </c>
      <c r="Q355" s="46" t="s">
        <v>149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533</v>
      </c>
      <c r="E356" s="15" t="s">
        <v>114</v>
      </c>
      <c r="G356" s="15">
        <f>IF(Table131925[[#This Row],[dec val]]="",0,1)</f>
        <v>0</v>
      </c>
      <c r="J356" s="24">
        <v>50000</v>
      </c>
      <c r="M356" s="24">
        <v>50000</v>
      </c>
      <c r="O356" s="46" t="s">
        <v>149</v>
      </c>
      <c r="P356" s="46">
        <f>HEX2DEC(RIGHT(Table13232127[[#This Row],[h1]],8))</f>
        <v>0</v>
      </c>
      <c r="Q356" s="46" t="s">
        <v>149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534</v>
      </c>
      <c r="E357" s="15" t="s">
        <v>115</v>
      </c>
      <c r="G357" s="15">
        <f>IF(Table131925[[#This Row],[dec val]]="",0,1)</f>
        <v>0</v>
      </c>
      <c r="J357" s="24">
        <v>50000</v>
      </c>
      <c r="M357" s="24">
        <v>50000</v>
      </c>
      <c r="O357" s="46" t="s">
        <v>149</v>
      </c>
      <c r="P357" s="46">
        <f>HEX2DEC(RIGHT(Table13232127[[#This Row],[h1]],8))</f>
        <v>0</v>
      </c>
      <c r="Q357" s="46" t="s">
        <v>149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535</v>
      </c>
      <c r="E358" s="15" t="s">
        <v>116</v>
      </c>
      <c r="G358" s="15">
        <f>IF(Table131925[[#This Row],[dec val]]="",0,1)</f>
        <v>0</v>
      </c>
      <c r="J358" s="24">
        <v>50000</v>
      </c>
      <c r="M358" s="24">
        <v>50000</v>
      </c>
      <c r="O358" s="46" t="s">
        <v>149</v>
      </c>
      <c r="P358" s="46">
        <f>HEX2DEC(RIGHT(Table13232127[[#This Row],[h1]],8))</f>
        <v>0</v>
      </c>
      <c r="Q358" s="46" t="s">
        <v>149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536</v>
      </c>
      <c r="E359" s="15" t="s">
        <v>117</v>
      </c>
      <c r="G359" s="15">
        <f>IF(Table131925[[#This Row],[dec val]]="",0,1)</f>
        <v>0</v>
      </c>
      <c r="J359" s="24">
        <v>50000</v>
      </c>
      <c r="M359" s="24">
        <v>50000</v>
      </c>
      <c r="O359" s="46" t="s">
        <v>149</v>
      </c>
      <c r="P359" s="46">
        <f>HEX2DEC(RIGHT(Table13232127[[#This Row],[h1]],8))</f>
        <v>0</v>
      </c>
      <c r="Q359" s="46" t="s">
        <v>149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537</v>
      </c>
      <c r="E360" s="15" t="s">
        <v>118</v>
      </c>
      <c r="G360" s="15">
        <f>IF(Table131925[[#This Row],[dec val]]="",0,1)</f>
        <v>0</v>
      </c>
      <c r="J360" s="24">
        <v>50000</v>
      </c>
      <c r="M360" s="24">
        <v>50000</v>
      </c>
      <c r="O360" s="46" t="s">
        <v>149</v>
      </c>
      <c r="P360" s="46">
        <f>HEX2DEC(RIGHT(Table13232127[[#This Row],[h1]],8))</f>
        <v>0</v>
      </c>
      <c r="Q360" s="46" t="s">
        <v>149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538</v>
      </c>
      <c r="E361" s="15" t="s">
        <v>119</v>
      </c>
      <c r="G361" s="15">
        <f>IF(Table131925[[#This Row],[dec val]]="",0,1)</f>
        <v>0</v>
      </c>
      <c r="J361" s="24">
        <v>50000</v>
      </c>
      <c r="M361" s="24">
        <v>50000</v>
      </c>
      <c r="O361" s="46" t="s">
        <v>149</v>
      </c>
      <c r="P361" s="46">
        <f>HEX2DEC(RIGHT(Table13232127[[#This Row],[h1]],8))</f>
        <v>0</v>
      </c>
      <c r="Q361" s="46" t="s">
        <v>149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539</v>
      </c>
      <c r="E362" s="15" t="s">
        <v>120</v>
      </c>
      <c r="G362" s="15">
        <f>IF(Table131925[[#This Row],[dec val]]="",0,1)</f>
        <v>0</v>
      </c>
      <c r="J362" s="24">
        <v>50000</v>
      </c>
      <c r="M362" s="24">
        <v>50000</v>
      </c>
      <c r="O362" s="46" t="s">
        <v>149</v>
      </c>
      <c r="P362" s="46">
        <f>HEX2DEC(RIGHT(Table13232127[[#This Row],[h1]],8))</f>
        <v>0</v>
      </c>
      <c r="Q362" s="46" t="s">
        <v>149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540</v>
      </c>
      <c r="E363" s="15" t="s">
        <v>121</v>
      </c>
      <c r="G363" s="15">
        <f>IF(Table131925[[#This Row],[dec val]]="",0,1)</f>
        <v>0</v>
      </c>
      <c r="J363" s="24">
        <v>50000</v>
      </c>
      <c r="M363" s="24">
        <v>50000</v>
      </c>
      <c r="O363" s="46" t="s">
        <v>149</v>
      </c>
      <c r="P363" s="46">
        <f>HEX2DEC(RIGHT(Table13232127[[#This Row],[h1]],8))</f>
        <v>0</v>
      </c>
      <c r="Q363" s="46" t="s">
        <v>149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541</v>
      </c>
      <c r="E364" s="15" t="s">
        <v>122</v>
      </c>
      <c r="G364" s="15">
        <f>IF(Table131925[[#This Row],[dec val]]="",0,1)</f>
        <v>0</v>
      </c>
      <c r="J364" s="24">
        <v>50000</v>
      </c>
      <c r="M364" s="24">
        <v>50000</v>
      </c>
      <c r="O364" s="46" t="s">
        <v>149</v>
      </c>
      <c r="P364" s="46">
        <f>HEX2DEC(RIGHT(Table13232127[[#This Row],[h1]],8))</f>
        <v>0</v>
      </c>
      <c r="Q364" s="46" t="s">
        <v>149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542</v>
      </c>
      <c r="E365" s="15" t="s">
        <v>123</v>
      </c>
      <c r="G365" s="15">
        <f>IF(Table131925[[#This Row],[dec val]]="",0,1)</f>
        <v>0</v>
      </c>
      <c r="J365" s="24">
        <v>50000</v>
      </c>
      <c r="M365" s="24">
        <v>50000</v>
      </c>
      <c r="O365" s="46" t="s">
        <v>149</v>
      </c>
      <c r="P365" s="46">
        <f>HEX2DEC(RIGHT(Table13232127[[#This Row],[h1]],8))</f>
        <v>0</v>
      </c>
      <c r="Q365" s="46" t="s">
        <v>149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543</v>
      </c>
      <c r="E366" s="15" t="s">
        <v>124</v>
      </c>
      <c r="G366" s="15">
        <f>IF(Table131925[[#This Row],[dec val]]="",0,1)</f>
        <v>0</v>
      </c>
      <c r="J366" s="24">
        <v>50000</v>
      </c>
      <c r="M366" s="24">
        <v>50000</v>
      </c>
      <c r="O366" s="46" t="s">
        <v>149</v>
      </c>
      <c r="P366" s="46">
        <f>HEX2DEC(RIGHT(Table13232127[[#This Row],[h1]],8))</f>
        <v>0</v>
      </c>
      <c r="Q366" s="46" t="s">
        <v>149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544</v>
      </c>
      <c r="E367" s="15" t="s">
        <v>125</v>
      </c>
      <c r="G367" s="15">
        <f>IF(Table131925[[#This Row],[dec val]]="",0,1)</f>
        <v>0</v>
      </c>
      <c r="J367" s="24">
        <v>50000</v>
      </c>
      <c r="M367" s="24">
        <v>50000</v>
      </c>
      <c r="O367" s="46" t="s">
        <v>149</v>
      </c>
      <c r="P367" s="46">
        <f>HEX2DEC(RIGHT(Table13232127[[#This Row],[h1]],8))</f>
        <v>0</v>
      </c>
      <c r="Q367" s="46" t="s">
        <v>149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545</v>
      </c>
      <c r="E368" s="15" t="s">
        <v>126</v>
      </c>
      <c r="G368" s="15">
        <f>IF(Table131925[[#This Row],[dec val]]="",0,1)</f>
        <v>0</v>
      </c>
      <c r="J368" s="24">
        <v>50000</v>
      </c>
      <c r="M368" s="24">
        <v>50000</v>
      </c>
      <c r="O368" s="46" t="s">
        <v>149</v>
      </c>
      <c r="P368" s="46">
        <f>HEX2DEC(RIGHT(Table13232127[[#This Row],[h1]],8))</f>
        <v>0</v>
      </c>
      <c r="Q368" s="46" t="s">
        <v>149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546</v>
      </c>
      <c r="E369" s="15" t="s">
        <v>127</v>
      </c>
      <c r="G369" s="15">
        <f>IF(Table131925[[#This Row],[dec val]]="",0,1)</f>
        <v>0</v>
      </c>
      <c r="J369" s="24">
        <v>50000</v>
      </c>
      <c r="M369" s="24">
        <v>50000</v>
      </c>
      <c r="O369" s="46" t="s">
        <v>149</v>
      </c>
      <c r="P369" s="46">
        <f>HEX2DEC(RIGHT(Table13232127[[#This Row],[h1]],8))</f>
        <v>0</v>
      </c>
      <c r="Q369" s="46" t="s">
        <v>149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547</v>
      </c>
      <c r="E370" s="15" t="s">
        <v>128</v>
      </c>
      <c r="G370" s="15">
        <f>IF(Table131925[[#This Row],[dec val]]="",0,1)</f>
        <v>0</v>
      </c>
      <c r="J370" s="24">
        <v>50000</v>
      </c>
      <c r="M370" s="24">
        <v>50000</v>
      </c>
      <c r="O370" s="46" t="s">
        <v>149</v>
      </c>
      <c r="P370" s="46">
        <f>HEX2DEC(RIGHT(Table13232127[[#This Row],[h1]],8))</f>
        <v>0</v>
      </c>
      <c r="Q370" s="46" t="s">
        <v>149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548</v>
      </c>
      <c r="E371" s="15" t="s">
        <v>129</v>
      </c>
      <c r="G371" s="15">
        <f>IF(Table131925[[#This Row],[dec val]]="",0,1)</f>
        <v>0</v>
      </c>
      <c r="J371" s="24">
        <v>50000</v>
      </c>
      <c r="M371" s="24">
        <v>50000</v>
      </c>
      <c r="O371" s="46" t="s">
        <v>149</v>
      </c>
      <c r="P371" s="46">
        <f>HEX2DEC(RIGHT(Table13232127[[#This Row],[h1]],8))</f>
        <v>0</v>
      </c>
      <c r="Q371" s="46" t="s">
        <v>149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549</v>
      </c>
      <c r="E372" s="15" t="s">
        <v>130</v>
      </c>
      <c r="G372" s="15">
        <f>IF(Table131925[[#This Row],[dec val]]="",0,1)</f>
        <v>0</v>
      </c>
      <c r="J372" s="24">
        <v>50000</v>
      </c>
      <c r="M372" s="24">
        <v>50000</v>
      </c>
      <c r="O372" s="46" t="s">
        <v>149</v>
      </c>
      <c r="P372" s="46">
        <f>HEX2DEC(RIGHT(Table13232127[[#This Row],[h1]],8))</f>
        <v>0</v>
      </c>
      <c r="Q372" s="46" t="s">
        <v>149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550</v>
      </c>
      <c r="E373" s="15" t="s">
        <v>131</v>
      </c>
      <c r="G373" s="15">
        <f>IF(Table131925[[#This Row],[dec val]]="",0,1)</f>
        <v>0</v>
      </c>
      <c r="J373" s="24">
        <v>50000</v>
      </c>
      <c r="M373" s="24">
        <v>50000</v>
      </c>
      <c r="O373" s="46" t="s">
        <v>149</v>
      </c>
      <c r="P373" s="46">
        <f>HEX2DEC(RIGHT(Table13232127[[#This Row],[h1]],8))</f>
        <v>0</v>
      </c>
      <c r="Q373" s="46" t="s">
        <v>149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551</v>
      </c>
      <c r="E374" s="15" t="s">
        <v>132</v>
      </c>
      <c r="G374" s="15">
        <f>IF(Table131925[[#This Row],[dec val]]="",0,1)</f>
        <v>0</v>
      </c>
      <c r="J374" s="24">
        <v>50000</v>
      </c>
      <c r="M374" s="24">
        <v>50000</v>
      </c>
      <c r="O374" s="46" t="s">
        <v>149</v>
      </c>
      <c r="P374" s="46">
        <f>HEX2DEC(RIGHT(Table13232127[[#This Row],[h1]],8))</f>
        <v>0</v>
      </c>
      <c r="Q374" s="46" t="s">
        <v>149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552</v>
      </c>
      <c r="E375" s="15" t="s">
        <v>133</v>
      </c>
      <c r="G375" s="15">
        <f>IF(Table131925[[#This Row],[dec val]]="",0,1)</f>
        <v>0</v>
      </c>
      <c r="J375" s="24">
        <v>50000</v>
      </c>
      <c r="M375" s="24">
        <v>50000</v>
      </c>
      <c r="O375" s="46" t="s">
        <v>149</v>
      </c>
      <c r="P375" s="46">
        <f>HEX2DEC(RIGHT(Table13232127[[#This Row],[h1]],8))</f>
        <v>0</v>
      </c>
      <c r="Q375" s="46" t="s">
        <v>149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553</v>
      </c>
      <c r="E376" s="15" t="s">
        <v>134</v>
      </c>
      <c r="G376" s="15">
        <f>IF(Table131925[[#This Row],[dec val]]="",0,1)</f>
        <v>0</v>
      </c>
      <c r="J376" s="24">
        <v>50000</v>
      </c>
      <c r="M376" s="24">
        <v>50000</v>
      </c>
      <c r="O376" s="46" t="s">
        <v>149</v>
      </c>
      <c r="P376" s="46">
        <f>HEX2DEC(RIGHT(Table13232127[[#This Row],[h1]],8))</f>
        <v>0</v>
      </c>
      <c r="Q376" s="46" t="s">
        <v>149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554</v>
      </c>
      <c r="E377" s="15" t="s">
        <v>135</v>
      </c>
      <c r="G377" s="15">
        <f>IF(Table131925[[#This Row],[dec val]]="",0,1)</f>
        <v>0</v>
      </c>
      <c r="J377" s="24">
        <v>50000</v>
      </c>
      <c r="M377" s="24">
        <v>50000</v>
      </c>
      <c r="O377" s="46" t="s">
        <v>149</v>
      </c>
      <c r="P377" s="46">
        <f>HEX2DEC(RIGHT(Table13232127[[#This Row],[h1]],8))</f>
        <v>0</v>
      </c>
      <c r="Q377" s="46" t="s">
        <v>149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555</v>
      </c>
      <c r="E378" s="15" t="s">
        <v>136</v>
      </c>
      <c r="G378" s="15">
        <f>IF(Table131925[[#This Row],[dec val]]="",0,1)</f>
        <v>0</v>
      </c>
      <c r="J378" s="24">
        <v>50000</v>
      </c>
      <c r="M378" s="24">
        <v>50000</v>
      </c>
      <c r="O378" s="46" t="s">
        <v>149</v>
      </c>
      <c r="P378" s="46">
        <f>HEX2DEC(RIGHT(Table13232127[[#This Row],[h1]],8))</f>
        <v>0</v>
      </c>
      <c r="Q378" s="46" t="s">
        <v>149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6" t="s">
        <v>149</v>
      </c>
      <c r="P379" s="46">
        <f>HEX2DEC(RIGHT(Table13232127[[#This Row],[h1]],8))</f>
        <v>0</v>
      </c>
      <c r="Q379" s="46" t="s">
        <v>149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556</v>
      </c>
      <c r="G380" s="15">
        <v>0</v>
      </c>
      <c r="J380" s="24">
        <v>50000</v>
      </c>
      <c r="M380" s="24">
        <v>50000</v>
      </c>
      <c r="O380" s="46" t="s">
        <v>149</v>
      </c>
      <c r="P380" s="46">
        <f>HEX2DEC(RIGHT(Table13232127[[#This Row],[h1]],8))</f>
        <v>0</v>
      </c>
      <c r="Q380" s="46" t="s">
        <v>149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557</v>
      </c>
      <c r="G381" s="15">
        <v>0</v>
      </c>
      <c r="J381" s="24">
        <v>50000</v>
      </c>
      <c r="M381" s="24">
        <v>50000</v>
      </c>
      <c r="O381" s="46" t="s">
        <v>149</v>
      </c>
      <c r="P381" s="46">
        <f>HEX2DEC(RIGHT(Table13232127[[#This Row],[h1]],8))</f>
        <v>0</v>
      </c>
      <c r="Q381" s="46" t="s">
        <v>149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558</v>
      </c>
      <c r="G382" s="15">
        <v>0</v>
      </c>
      <c r="J382" s="24">
        <v>50000</v>
      </c>
      <c r="M382" s="24">
        <v>50000</v>
      </c>
      <c r="O382" s="46" t="s">
        <v>149</v>
      </c>
      <c r="P382" s="46">
        <f>HEX2DEC(RIGHT(Table13232127[[#This Row],[h1]],8))</f>
        <v>0</v>
      </c>
      <c r="Q382" s="46" t="s">
        <v>149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559</v>
      </c>
      <c r="G383" s="15">
        <v>0</v>
      </c>
      <c r="J383" s="24">
        <v>50000</v>
      </c>
      <c r="M383" s="24">
        <v>50000</v>
      </c>
      <c r="O383" s="46" t="s">
        <v>149</v>
      </c>
      <c r="P383" s="46">
        <f>HEX2DEC(RIGHT(Table13232127[[#This Row],[h1]],8))</f>
        <v>0</v>
      </c>
      <c r="Q383" s="46" t="s">
        <v>149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560</v>
      </c>
      <c r="G384" s="15">
        <v>0</v>
      </c>
      <c r="J384" s="24">
        <v>50000</v>
      </c>
      <c r="M384" s="24">
        <v>50000</v>
      </c>
      <c r="O384" s="46" t="s">
        <v>149</v>
      </c>
      <c r="P384" s="46">
        <f>HEX2DEC(RIGHT(Table13232127[[#This Row],[h1]],8))</f>
        <v>0</v>
      </c>
      <c r="Q384" s="46" t="s">
        <v>149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561</v>
      </c>
      <c r="G385" s="15">
        <v>0</v>
      </c>
      <c r="J385" s="24">
        <v>50000</v>
      </c>
      <c r="M385" s="24">
        <v>50000</v>
      </c>
      <c r="O385" s="46" t="s">
        <v>149</v>
      </c>
      <c r="P385" s="46">
        <f>HEX2DEC(RIGHT(Table13232127[[#This Row],[h1]],8))</f>
        <v>0</v>
      </c>
      <c r="Q385" s="46" t="s">
        <v>149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562</v>
      </c>
      <c r="G386" s="15">
        <v>0</v>
      </c>
      <c r="J386" s="24">
        <v>50000</v>
      </c>
      <c r="M386" s="24">
        <v>50000</v>
      </c>
      <c r="O386" s="46" t="s">
        <v>149</v>
      </c>
      <c r="P386" s="46">
        <f>HEX2DEC(RIGHT(Table13232127[[#This Row],[h1]],8))</f>
        <v>0</v>
      </c>
      <c r="Q386" s="46" t="s">
        <v>149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6" t="s">
        <v>149</v>
      </c>
      <c r="P387" s="46">
        <f>HEX2DEC(RIGHT(Table13232127[[#This Row],[h1]],8))</f>
        <v>0</v>
      </c>
      <c r="Q387" s="46" t="s">
        <v>149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165</v>
      </c>
      <c r="G388" s="33" t="s">
        <v>206</v>
      </c>
      <c r="J388" s="24">
        <v>50000</v>
      </c>
      <c r="M388" s="24">
        <v>50000</v>
      </c>
      <c r="O388" s="46" t="s">
        <v>149</v>
      </c>
      <c r="P388" s="46">
        <f>HEX2DEC(RIGHT(Table13232127[[#This Row],[h1]],8))</f>
        <v>0</v>
      </c>
      <c r="Q388" s="46" t="s">
        <v>149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166</v>
      </c>
      <c r="G389" s="33" t="s">
        <v>207</v>
      </c>
      <c r="J389" s="24">
        <v>50000</v>
      </c>
      <c r="M389" s="24">
        <v>50000</v>
      </c>
      <c r="O389" s="46" t="s">
        <v>149</v>
      </c>
      <c r="P389" s="46">
        <f>HEX2DEC(RIGHT(Table13232127[[#This Row],[h1]],8))</f>
        <v>0</v>
      </c>
      <c r="Q389" s="46" t="s">
        <v>149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167</v>
      </c>
      <c r="G390" s="33" t="s">
        <v>207</v>
      </c>
      <c r="J390" s="24">
        <v>50000</v>
      </c>
      <c r="M390" s="24">
        <v>50000</v>
      </c>
      <c r="O390" s="46" t="s">
        <v>149</v>
      </c>
      <c r="P390" s="46">
        <f>HEX2DEC(RIGHT(Table13232127[[#This Row],[h1]],8))</f>
        <v>0</v>
      </c>
      <c r="Q390" s="46" t="s">
        <v>149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168</v>
      </c>
      <c r="G391" s="33" t="s">
        <v>207</v>
      </c>
      <c r="J391" s="24">
        <v>50000</v>
      </c>
      <c r="M391" s="24">
        <v>50000</v>
      </c>
      <c r="O391" s="46" t="s">
        <v>149</v>
      </c>
      <c r="P391" s="46">
        <f>HEX2DEC(RIGHT(Table13232127[[#This Row],[h1]],8))</f>
        <v>0</v>
      </c>
      <c r="Q391" s="46" t="s">
        <v>149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169</v>
      </c>
      <c r="G392" s="33" t="s">
        <v>207</v>
      </c>
      <c r="J392" s="24">
        <v>50000</v>
      </c>
      <c r="M392" s="24">
        <v>50000</v>
      </c>
      <c r="O392" s="46" t="s">
        <v>149</v>
      </c>
      <c r="P392" s="46">
        <f>HEX2DEC(RIGHT(Table13232127[[#This Row],[h1]],8))</f>
        <v>0</v>
      </c>
      <c r="Q392" s="46" t="s">
        <v>149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170</v>
      </c>
      <c r="G393" s="33" t="s">
        <v>207</v>
      </c>
      <c r="J393" s="24">
        <v>50000</v>
      </c>
      <c r="M393" s="24">
        <v>50000</v>
      </c>
      <c r="O393" s="46" t="s">
        <v>149</v>
      </c>
      <c r="P393" s="46">
        <f>HEX2DEC(RIGHT(Table13232127[[#This Row],[h1]],8))</f>
        <v>0</v>
      </c>
      <c r="Q393" s="46" t="s">
        <v>149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171</v>
      </c>
      <c r="G394" s="33" t="s">
        <v>207</v>
      </c>
      <c r="J394" s="24">
        <v>50000</v>
      </c>
      <c r="M394" s="24">
        <v>50000</v>
      </c>
      <c r="O394" s="46" t="s">
        <v>149</v>
      </c>
      <c r="P394" s="46">
        <f>HEX2DEC(RIGHT(Table13232127[[#This Row],[h1]],8))</f>
        <v>0</v>
      </c>
      <c r="Q394" s="46" t="s">
        <v>149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172</v>
      </c>
      <c r="G395" s="33" t="s">
        <v>204</v>
      </c>
      <c r="J395" s="24">
        <v>50000</v>
      </c>
      <c r="M395" s="24">
        <v>50000</v>
      </c>
      <c r="O395" s="46" t="s">
        <v>149</v>
      </c>
      <c r="P395" s="46">
        <f>HEX2DEC(RIGHT(Table13232127[[#This Row],[h1]],8))</f>
        <v>0</v>
      </c>
      <c r="Q395" s="46" t="s">
        <v>149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173</v>
      </c>
      <c r="G396" s="33" t="s">
        <v>204</v>
      </c>
      <c r="J396" s="24">
        <v>50000</v>
      </c>
      <c r="M396" s="24">
        <v>50000</v>
      </c>
      <c r="O396" s="46" t="s">
        <v>149</v>
      </c>
      <c r="P396" s="46">
        <f>HEX2DEC(RIGHT(Table13232127[[#This Row],[h1]],8))</f>
        <v>0</v>
      </c>
      <c r="Q396" s="46" t="s">
        <v>149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174</v>
      </c>
      <c r="G397" s="33" t="s">
        <v>204</v>
      </c>
      <c r="J397" s="24">
        <v>50000</v>
      </c>
      <c r="M397" s="24">
        <v>50000</v>
      </c>
      <c r="O397" s="46" t="s">
        <v>149</v>
      </c>
      <c r="P397" s="46">
        <f>HEX2DEC(RIGHT(Table13232127[[#This Row],[h1]],8))</f>
        <v>0</v>
      </c>
      <c r="Q397" s="46" t="s">
        <v>149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175</v>
      </c>
      <c r="G398" s="33" t="s">
        <v>204</v>
      </c>
      <c r="J398" s="24">
        <v>50000</v>
      </c>
      <c r="M398" s="24">
        <v>50000</v>
      </c>
      <c r="O398" s="46" t="s">
        <v>149</v>
      </c>
      <c r="P398" s="46">
        <f>HEX2DEC(RIGHT(Table13232127[[#This Row],[h1]],8))</f>
        <v>0</v>
      </c>
      <c r="Q398" s="46" t="s">
        <v>149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176</v>
      </c>
      <c r="G399" s="33" t="s">
        <v>204</v>
      </c>
      <c r="J399" s="24">
        <v>50000</v>
      </c>
      <c r="M399" s="24">
        <v>50000</v>
      </c>
      <c r="O399" s="46" t="s">
        <v>149</v>
      </c>
      <c r="P399" s="46">
        <f>HEX2DEC(RIGHT(Table13232127[[#This Row],[h1]],8))</f>
        <v>0</v>
      </c>
      <c r="Q399" s="46" t="s">
        <v>149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177</v>
      </c>
      <c r="G400" s="33" t="s">
        <v>204</v>
      </c>
      <c r="J400" s="24">
        <v>50000</v>
      </c>
      <c r="M400" s="24">
        <v>50000</v>
      </c>
      <c r="O400" s="46" t="s">
        <v>149</v>
      </c>
      <c r="P400" s="46">
        <f>HEX2DEC(RIGHT(Table13232127[[#This Row],[h1]],8))</f>
        <v>0</v>
      </c>
      <c r="Q400" s="46" t="s">
        <v>149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178</v>
      </c>
      <c r="G401" s="33" t="s">
        <v>204</v>
      </c>
      <c r="J401" s="24">
        <v>50000</v>
      </c>
      <c r="M401" s="24">
        <v>50000</v>
      </c>
      <c r="O401" s="46" t="s">
        <v>149</v>
      </c>
      <c r="P401" s="46">
        <f>HEX2DEC(RIGHT(Table13232127[[#This Row],[h1]],8))</f>
        <v>0</v>
      </c>
      <c r="Q401" s="46" t="s">
        <v>149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179</v>
      </c>
      <c r="G402" s="33" t="s">
        <v>204</v>
      </c>
      <c r="J402" s="24">
        <v>50000</v>
      </c>
      <c r="M402" s="24">
        <v>50000</v>
      </c>
      <c r="O402" s="46" t="s">
        <v>149</v>
      </c>
      <c r="P402" s="46">
        <f>HEX2DEC(RIGHT(Table13232127[[#This Row],[h1]],8))</f>
        <v>0</v>
      </c>
      <c r="Q402" s="46" t="s">
        <v>149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180</v>
      </c>
      <c r="G403" s="33" t="s">
        <v>204</v>
      </c>
      <c r="J403" s="24">
        <v>50000</v>
      </c>
      <c r="M403" s="24">
        <v>50000</v>
      </c>
      <c r="O403" s="46" t="s">
        <v>149</v>
      </c>
      <c r="P403" s="46">
        <f>HEX2DEC(RIGHT(Table13232127[[#This Row],[h1]],8))</f>
        <v>0</v>
      </c>
      <c r="Q403" s="46" t="s">
        <v>149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181</v>
      </c>
      <c r="G404" s="33" t="s">
        <v>204</v>
      </c>
      <c r="J404" s="24">
        <v>50000</v>
      </c>
      <c r="M404" s="24">
        <v>50000</v>
      </c>
      <c r="O404" s="46" t="s">
        <v>149</v>
      </c>
      <c r="P404" s="46">
        <f>HEX2DEC(RIGHT(Table13232127[[#This Row],[h1]],8))</f>
        <v>0</v>
      </c>
      <c r="Q404" s="46" t="s">
        <v>149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182</v>
      </c>
      <c r="G405" s="33" t="s">
        <v>204</v>
      </c>
      <c r="J405" s="24">
        <v>50000</v>
      </c>
      <c r="M405" s="24">
        <v>50000</v>
      </c>
      <c r="O405" s="46" t="s">
        <v>149</v>
      </c>
      <c r="P405" s="46">
        <f>HEX2DEC(RIGHT(Table13232127[[#This Row],[h1]],8))</f>
        <v>0</v>
      </c>
      <c r="Q405" s="46" t="s">
        <v>149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183</v>
      </c>
      <c r="G406" s="33" t="s">
        <v>204</v>
      </c>
      <c r="J406" s="24">
        <v>50000</v>
      </c>
      <c r="M406" s="24">
        <v>50000</v>
      </c>
      <c r="O406" s="46" t="s">
        <v>149</v>
      </c>
      <c r="P406" s="46">
        <f>HEX2DEC(RIGHT(Table13232127[[#This Row],[h1]],8))</f>
        <v>0</v>
      </c>
      <c r="Q406" s="46" t="s">
        <v>149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184</v>
      </c>
      <c r="G407" s="33" t="s">
        <v>204</v>
      </c>
      <c r="J407" s="24">
        <v>50000</v>
      </c>
      <c r="M407" s="24">
        <v>50000</v>
      </c>
      <c r="O407" s="46" t="s">
        <v>149</v>
      </c>
      <c r="P407" s="46">
        <f>HEX2DEC(RIGHT(Table13232127[[#This Row],[h1]],8))</f>
        <v>0</v>
      </c>
      <c r="Q407" s="46" t="s">
        <v>149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185</v>
      </c>
      <c r="G408" s="33" t="s">
        <v>204</v>
      </c>
      <c r="J408" s="24">
        <v>50000</v>
      </c>
      <c r="M408" s="24">
        <v>50000</v>
      </c>
      <c r="O408" s="46" t="s">
        <v>149</v>
      </c>
      <c r="P408" s="46">
        <f>HEX2DEC(RIGHT(Table13232127[[#This Row],[h1]],8))</f>
        <v>0</v>
      </c>
      <c r="Q408" s="46" t="s">
        <v>149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186</v>
      </c>
      <c r="G409" s="33" t="s">
        <v>204</v>
      </c>
      <c r="J409" s="24">
        <v>50000</v>
      </c>
      <c r="M409" s="24">
        <v>50000</v>
      </c>
      <c r="O409" s="46" t="s">
        <v>149</v>
      </c>
      <c r="P409" s="46">
        <f>HEX2DEC(RIGHT(Table13232127[[#This Row],[h1]],8))</f>
        <v>0</v>
      </c>
      <c r="Q409" s="46" t="s">
        <v>149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187</v>
      </c>
      <c r="G410" s="33" t="s">
        <v>204</v>
      </c>
      <c r="J410" s="24">
        <v>50000</v>
      </c>
      <c r="M410" s="24">
        <v>50000</v>
      </c>
      <c r="O410" s="46" t="s">
        <v>149</v>
      </c>
      <c r="P410" s="46">
        <f>HEX2DEC(RIGHT(Table13232127[[#This Row],[h1]],8))</f>
        <v>0</v>
      </c>
      <c r="Q410" s="46" t="s">
        <v>149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188</v>
      </c>
      <c r="G411" s="33" t="s">
        <v>204</v>
      </c>
      <c r="J411" s="24">
        <v>50000</v>
      </c>
      <c r="M411" s="24">
        <v>50000</v>
      </c>
      <c r="O411" s="46" t="s">
        <v>149</v>
      </c>
      <c r="P411" s="46">
        <f>HEX2DEC(RIGHT(Table13232127[[#This Row],[h1]],8))</f>
        <v>0</v>
      </c>
      <c r="Q411" s="46" t="s">
        <v>149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189</v>
      </c>
      <c r="G412" s="33" t="s">
        <v>204</v>
      </c>
      <c r="J412" s="24">
        <v>50000</v>
      </c>
      <c r="M412" s="24">
        <v>50000</v>
      </c>
      <c r="O412" s="46" t="s">
        <v>149</v>
      </c>
      <c r="P412" s="46">
        <f>HEX2DEC(RIGHT(Table13232127[[#This Row],[h1]],8))</f>
        <v>0</v>
      </c>
      <c r="Q412" s="46" t="s">
        <v>149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190</v>
      </c>
      <c r="G413" s="33" t="s">
        <v>204</v>
      </c>
      <c r="J413" s="24">
        <v>50000</v>
      </c>
      <c r="M413" s="24">
        <v>50000</v>
      </c>
      <c r="O413" s="46" t="s">
        <v>149</v>
      </c>
      <c r="P413" s="46">
        <f>HEX2DEC(RIGHT(Table13232127[[#This Row],[h1]],8))</f>
        <v>0</v>
      </c>
      <c r="Q413" s="46" t="s">
        <v>149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191</v>
      </c>
      <c r="G414" s="33" t="s">
        <v>204</v>
      </c>
      <c r="J414" s="24">
        <v>50000</v>
      </c>
      <c r="M414" s="24">
        <v>50000</v>
      </c>
      <c r="O414" s="46" t="s">
        <v>149</v>
      </c>
      <c r="P414" s="46">
        <f>HEX2DEC(RIGHT(Table13232127[[#This Row],[h1]],8))</f>
        <v>0</v>
      </c>
      <c r="Q414" s="46" t="s">
        <v>149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192</v>
      </c>
      <c r="G415" s="33" t="s">
        <v>204</v>
      </c>
      <c r="J415" s="24">
        <v>50000</v>
      </c>
      <c r="M415" s="24">
        <v>50000</v>
      </c>
      <c r="O415" s="46" t="s">
        <v>149</v>
      </c>
      <c r="P415" s="46">
        <f>HEX2DEC(RIGHT(Table13232127[[#This Row],[h1]],8))</f>
        <v>0</v>
      </c>
      <c r="Q415" s="46" t="s">
        <v>149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193</v>
      </c>
      <c r="G416" s="33" t="s">
        <v>204</v>
      </c>
      <c r="J416" s="24">
        <v>50000</v>
      </c>
      <c r="M416" s="24">
        <v>50000</v>
      </c>
      <c r="O416" s="46" t="s">
        <v>149</v>
      </c>
      <c r="P416" s="46">
        <f>HEX2DEC(RIGHT(Table13232127[[#This Row],[h1]],8))</f>
        <v>0</v>
      </c>
      <c r="Q416" s="46" t="s">
        <v>149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194</v>
      </c>
      <c r="G417" s="33" t="s">
        <v>204</v>
      </c>
      <c r="J417" s="24">
        <v>50000</v>
      </c>
      <c r="M417" s="24">
        <v>50000</v>
      </c>
      <c r="O417" s="46" t="s">
        <v>149</v>
      </c>
      <c r="P417" s="46">
        <f>HEX2DEC(RIGHT(Table13232127[[#This Row],[h1]],8))</f>
        <v>0</v>
      </c>
      <c r="Q417" s="46" t="s">
        <v>149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195</v>
      </c>
      <c r="G418" s="33" t="s">
        <v>204</v>
      </c>
      <c r="J418" s="24">
        <v>50000</v>
      </c>
      <c r="M418" s="24">
        <v>50000</v>
      </c>
      <c r="O418" s="46" t="s">
        <v>149</v>
      </c>
      <c r="P418" s="46">
        <f>HEX2DEC(RIGHT(Table13232127[[#This Row],[h1]],8))</f>
        <v>0</v>
      </c>
      <c r="Q418" s="46" t="s">
        <v>149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196</v>
      </c>
      <c r="G419" s="33" t="s">
        <v>204</v>
      </c>
      <c r="J419" s="24">
        <v>50000</v>
      </c>
      <c r="M419" s="24">
        <v>50000</v>
      </c>
      <c r="O419" s="46" t="s">
        <v>149</v>
      </c>
      <c r="P419" s="46">
        <f>HEX2DEC(RIGHT(Table13232127[[#This Row],[h1]],8))</f>
        <v>0</v>
      </c>
      <c r="Q419" s="46" t="s">
        <v>149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197</v>
      </c>
      <c r="G420" s="33" t="s">
        <v>204</v>
      </c>
      <c r="J420" s="24">
        <v>50000</v>
      </c>
      <c r="M420" s="24">
        <v>50000</v>
      </c>
      <c r="O420" s="46" t="s">
        <v>149</v>
      </c>
      <c r="P420" s="46">
        <f>HEX2DEC(RIGHT(Table13232127[[#This Row],[h1]],8))</f>
        <v>0</v>
      </c>
      <c r="Q420" s="46" t="s">
        <v>149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198</v>
      </c>
      <c r="G421" s="33" t="s">
        <v>204</v>
      </c>
      <c r="J421" s="24">
        <v>50000</v>
      </c>
      <c r="M421" s="24">
        <v>50000</v>
      </c>
      <c r="O421" s="46" t="s">
        <v>149</v>
      </c>
      <c r="P421" s="46">
        <f>HEX2DEC(RIGHT(Table13232127[[#This Row],[h1]],8))</f>
        <v>0</v>
      </c>
      <c r="Q421" s="46" t="s">
        <v>149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199</v>
      </c>
      <c r="G422" s="33" t="s">
        <v>204</v>
      </c>
      <c r="J422" s="24">
        <v>50000</v>
      </c>
      <c r="M422" s="24">
        <v>50000</v>
      </c>
      <c r="O422" s="46" t="s">
        <v>149</v>
      </c>
      <c r="P422" s="46">
        <f>HEX2DEC(RIGHT(Table13232127[[#This Row],[h1]],8))</f>
        <v>0</v>
      </c>
      <c r="Q422" s="46" t="s">
        <v>149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200</v>
      </c>
      <c r="G423" s="33" t="s">
        <v>204</v>
      </c>
      <c r="J423" s="24">
        <v>50000</v>
      </c>
      <c r="M423" s="24">
        <v>50000</v>
      </c>
      <c r="O423" s="46" t="s">
        <v>149</v>
      </c>
      <c r="P423" s="46">
        <f>HEX2DEC(RIGHT(Table13232127[[#This Row],[h1]],8))</f>
        <v>0</v>
      </c>
      <c r="Q423" s="46" t="s">
        <v>149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201</v>
      </c>
      <c r="G424" s="33" t="s">
        <v>204</v>
      </c>
      <c r="J424" s="24">
        <v>50000</v>
      </c>
      <c r="M424" s="24">
        <v>50000</v>
      </c>
      <c r="O424" s="46" t="s">
        <v>149</v>
      </c>
      <c r="P424" s="46">
        <f>HEX2DEC(RIGHT(Table13232127[[#This Row],[h1]],8))</f>
        <v>0</v>
      </c>
      <c r="Q424" s="46" t="s">
        <v>149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202</v>
      </c>
      <c r="G425" s="33" t="s">
        <v>204</v>
      </c>
      <c r="J425" s="24">
        <v>50000</v>
      </c>
      <c r="M425" s="24">
        <v>50000</v>
      </c>
      <c r="O425" s="46" t="s">
        <v>149</v>
      </c>
      <c r="P425" s="46">
        <f>HEX2DEC(RIGHT(Table13232127[[#This Row],[h1]],8))</f>
        <v>0</v>
      </c>
      <c r="Q425" s="46" t="s">
        <v>149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203</v>
      </c>
      <c r="G426" s="33" t="s">
        <v>204</v>
      </c>
      <c r="J426" s="24">
        <v>50000</v>
      </c>
      <c r="M426" s="24">
        <v>50000</v>
      </c>
      <c r="O426" s="46" t="s">
        <v>149</v>
      </c>
      <c r="P426" s="46">
        <f>HEX2DEC(RIGHT(Table13232127[[#This Row],[h1]],8))</f>
        <v>0</v>
      </c>
      <c r="Q426" s="46" t="s">
        <v>149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205</v>
      </c>
      <c r="G427" s="15">
        <v>1</v>
      </c>
      <c r="J427" s="24">
        <v>50000</v>
      </c>
      <c r="M427" s="24">
        <v>50000</v>
      </c>
      <c r="O427" s="46" t="s">
        <v>149</v>
      </c>
      <c r="P427" s="46">
        <f>HEX2DEC(RIGHT(Table13232127[[#This Row],[h1]],8))</f>
        <v>0</v>
      </c>
      <c r="Q427" s="46" t="s">
        <v>149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205</v>
      </c>
      <c r="G428" s="15">
        <v>0</v>
      </c>
      <c r="J428" s="24">
        <v>50000</v>
      </c>
      <c r="M428" s="24">
        <v>50000</v>
      </c>
      <c r="O428" s="46" t="s">
        <v>149</v>
      </c>
      <c r="P428" s="46">
        <f>HEX2DEC(RIGHT(Table13232127[[#This Row],[h1]],8))</f>
        <v>0</v>
      </c>
      <c r="Q428" s="46" t="s">
        <v>149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6" t="s">
        <v>149</v>
      </c>
      <c r="P429" s="46">
        <f>HEX2DEC(RIGHT(Table13232127[[#This Row],[h1]],8))</f>
        <v>0</v>
      </c>
      <c r="Q429" s="46" t="s">
        <v>149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6" t="s">
        <v>149</v>
      </c>
      <c r="P430" s="46">
        <f>HEX2DEC(RIGHT(Table13232127[[#This Row],[h1]],8))</f>
        <v>0</v>
      </c>
      <c r="Q430" s="46" t="s">
        <v>149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6" t="s">
        <v>149</v>
      </c>
      <c r="P431" s="46">
        <f>HEX2DEC(RIGHT(Table13232127[[#This Row],[h1]],8))</f>
        <v>0</v>
      </c>
      <c r="Q431" s="46" t="s">
        <v>149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6" t="s">
        <v>149</v>
      </c>
      <c r="P432" s="46">
        <f>HEX2DEC(RIGHT(Table13232127[[#This Row],[h1]],8))</f>
        <v>0</v>
      </c>
      <c r="Q432" s="46" t="s">
        <v>149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6" t="s">
        <v>149</v>
      </c>
      <c r="P433" s="46">
        <f>HEX2DEC(RIGHT(Table13232127[[#This Row],[h1]],8))</f>
        <v>0</v>
      </c>
      <c r="Q433" s="46" t="s">
        <v>149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6" t="s">
        <v>149</v>
      </c>
      <c r="P434" s="46">
        <f>HEX2DEC(RIGHT(Table13232127[[#This Row],[h1]],8))</f>
        <v>0</v>
      </c>
      <c r="Q434" s="46" t="s">
        <v>149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6" t="s">
        <v>149</v>
      </c>
      <c r="P435" s="46">
        <f>HEX2DEC(RIGHT(Table13232127[[#This Row],[h1]],8))</f>
        <v>0</v>
      </c>
      <c r="Q435" s="46" t="s">
        <v>149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6" t="s">
        <v>149</v>
      </c>
      <c r="P436" s="46">
        <f>HEX2DEC(RIGHT(Table13232127[[#This Row],[h1]],8))</f>
        <v>0</v>
      </c>
      <c r="Q436" s="46" t="s">
        <v>149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6" t="s">
        <v>149</v>
      </c>
      <c r="P437" s="46">
        <f>HEX2DEC(RIGHT(Table13232127[[#This Row],[h1]],8))</f>
        <v>0</v>
      </c>
      <c r="Q437" s="46" t="s">
        <v>149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6" t="s">
        <v>149</v>
      </c>
      <c r="P438" s="46">
        <f>HEX2DEC(RIGHT(Table13232127[[#This Row],[h1]],8))</f>
        <v>0</v>
      </c>
      <c r="Q438" s="46" t="s">
        <v>149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6" t="s">
        <v>149</v>
      </c>
      <c r="P439" s="46">
        <f>HEX2DEC(RIGHT(Table13232127[[#This Row],[h1]],8))</f>
        <v>0</v>
      </c>
      <c r="Q439" s="46" t="s">
        <v>149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6" t="s">
        <v>149</v>
      </c>
      <c r="P440" s="46">
        <f>HEX2DEC(RIGHT(Table13232127[[#This Row],[h1]],8))</f>
        <v>0</v>
      </c>
      <c r="Q440" s="46" t="s">
        <v>149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6" t="s">
        <v>149</v>
      </c>
      <c r="P441" s="46">
        <f>HEX2DEC(RIGHT(Table13232127[[#This Row],[h1]],8))</f>
        <v>0</v>
      </c>
      <c r="Q441" s="46" t="s">
        <v>149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6" t="s">
        <v>149</v>
      </c>
      <c r="P442" s="46">
        <f>HEX2DEC(RIGHT(Table13232127[[#This Row],[h1]],8))</f>
        <v>0</v>
      </c>
      <c r="Q442" s="46" t="s">
        <v>149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6" t="s">
        <v>149</v>
      </c>
      <c r="P443" s="46">
        <f>HEX2DEC(RIGHT(Table13232127[[#This Row],[h1]],8))</f>
        <v>0</v>
      </c>
      <c r="Q443" s="46" t="s">
        <v>149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6" t="s">
        <v>149</v>
      </c>
      <c r="P444" s="46">
        <f>HEX2DEC(RIGHT(Table13232127[[#This Row],[h1]],8))</f>
        <v>0</v>
      </c>
      <c r="Q444" s="46" t="s">
        <v>149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6" t="s">
        <v>149</v>
      </c>
      <c r="P445" s="46">
        <f>HEX2DEC(RIGHT(Table13232127[[#This Row],[h1]],8))</f>
        <v>0</v>
      </c>
      <c r="Q445" s="46" t="s">
        <v>149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6" t="s">
        <v>149</v>
      </c>
      <c r="P446" s="46">
        <f>HEX2DEC(RIGHT(Table13232127[[#This Row],[h1]],8))</f>
        <v>0</v>
      </c>
      <c r="Q446" s="46" t="s">
        <v>149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6" t="s">
        <v>149</v>
      </c>
      <c r="P447" s="46">
        <f>HEX2DEC(RIGHT(Table13232127[[#This Row],[h1]],8))</f>
        <v>0</v>
      </c>
      <c r="Q447" s="46" t="s">
        <v>149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6" t="s">
        <v>149</v>
      </c>
      <c r="P448" s="46">
        <f>HEX2DEC(RIGHT(Table13232127[[#This Row],[h1]],8))</f>
        <v>0</v>
      </c>
      <c r="Q448" s="46" t="s">
        <v>149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6" t="s">
        <v>149</v>
      </c>
      <c r="P449" s="46">
        <f>HEX2DEC(RIGHT(Table13232127[[#This Row],[h1]],8))</f>
        <v>0</v>
      </c>
      <c r="Q449" s="46" t="s">
        <v>149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6" t="s">
        <v>149</v>
      </c>
      <c r="P450" s="46">
        <f>HEX2DEC(RIGHT(Table13232127[[#This Row],[h1]],8))</f>
        <v>0</v>
      </c>
      <c r="Q450" s="46" t="s">
        <v>149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6" t="s">
        <v>149</v>
      </c>
      <c r="P451" s="46">
        <f>HEX2DEC(RIGHT(Table13232127[[#This Row],[h1]],8))</f>
        <v>0</v>
      </c>
      <c r="Q451" s="46" t="s">
        <v>149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6" t="s">
        <v>149</v>
      </c>
      <c r="P452" s="46">
        <f>HEX2DEC(RIGHT(Table13232127[[#This Row],[h1]],8))</f>
        <v>0</v>
      </c>
      <c r="Q452" s="46" t="s">
        <v>149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6" t="s">
        <v>149</v>
      </c>
      <c r="P453" s="46">
        <f>HEX2DEC(RIGHT(Table13232127[[#This Row],[h1]],8))</f>
        <v>0</v>
      </c>
      <c r="Q453" s="46" t="s">
        <v>149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6" t="s">
        <v>149</v>
      </c>
      <c r="P454" s="46">
        <f>HEX2DEC(RIGHT(Table13232127[[#This Row],[h1]],8))</f>
        <v>0</v>
      </c>
      <c r="Q454" s="46" t="s">
        <v>149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6" t="s">
        <v>149</v>
      </c>
      <c r="P455" s="46">
        <f>HEX2DEC(RIGHT(Table13232127[[#This Row],[h1]],8))</f>
        <v>0</v>
      </c>
      <c r="Q455" s="46" t="s">
        <v>149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6" t="s">
        <v>149</v>
      </c>
      <c r="P456" s="46">
        <f>HEX2DEC(RIGHT(Table13232127[[#This Row],[h1]],8))</f>
        <v>0</v>
      </c>
      <c r="Q456" s="46" t="s">
        <v>149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6" t="s">
        <v>149</v>
      </c>
      <c r="P457" s="46">
        <f>HEX2DEC(RIGHT(Table13232127[[#This Row],[h1]],8))</f>
        <v>0</v>
      </c>
      <c r="Q457" s="46" t="s">
        <v>149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6" t="s">
        <v>149</v>
      </c>
      <c r="P458" s="46">
        <f>HEX2DEC(RIGHT(Table13232127[[#This Row],[h1]],8))</f>
        <v>0</v>
      </c>
      <c r="Q458" s="46" t="s">
        <v>149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6" t="s">
        <v>149</v>
      </c>
      <c r="P459" s="46">
        <f>HEX2DEC(RIGHT(Table13232127[[#This Row],[h1]],8))</f>
        <v>0</v>
      </c>
      <c r="Q459" s="46" t="s">
        <v>149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6" t="s">
        <v>149</v>
      </c>
      <c r="P460" s="46">
        <f>HEX2DEC(RIGHT(Table13232127[[#This Row],[h1]],8))</f>
        <v>0</v>
      </c>
      <c r="Q460" s="46" t="s">
        <v>149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56</v>
      </c>
      <c r="D461" s="43" t="s">
        <v>48</v>
      </c>
      <c r="E461" s="43"/>
      <c r="F461" s="43"/>
      <c r="G461" s="44"/>
      <c r="J461" s="24">
        <v>50000</v>
      </c>
      <c r="M461" s="24">
        <v>50000</v>
      </c>
      <c r="O461" s="46" t="s">
        <v>149</v>
      </c>
      <c r="P461" s="46">
        <f>HEX2DEC(RIGHT(Table13232127[[#This Row],[h1]],8))</f>
        <v>0</v>
      </c>
      <c r="Q461" s="46" t="s">
        <v>149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6" t="s">
        <v>149</v>
      </c>
      <c r="P462" s="46">
        <f>HEX2DEC(RIGHT(Table13232127[[#This Row],[h1]],8))</f>
        <v>0</v>
      </c>
      <c r="Q462" s="46" t="s">
        <v>149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6" t="s">
        <v>149</v>
      </c>
      <c r="P463" s="46">
        <f>HEX2DEC(RIGHT(Table13232127[[#This Row],[h1]],8))</f>
        <v>0</v>
      </c>
      <c r="Q463" s="46" t="s">
        <v>149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6" t="s">
        <v>149</v>
      </c>
      <c r="P464" s="46">
        <f>HEX2DEC(RIGHT(Table13232127[[#This Row],[h1]],8))</f>
        <v>0</v>
      </c>
      <c r="Q464" s="46" t="s">
        <v>149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6" t="s">
        <v>149</v>
      </c>
      <c r="P465" s="46">
        <f>HEX2DEC(RIGHT(Table13232127[[#This Row],[h1]],8))</f>
        <v>0</v>
      </c>
      <c r="Q465" s="46" t="s">
        <v>149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160</v>
      </c>
      <c r="G466" s="33">
        <v>0</v>
      </c>
      <c r="J466" s="24">
        <v>50000</v>
      </c>
      <c r="M466" s="24">
        <v>50000</v>
      </c>
      <c r="O466" s="46" t="s">
        <v>149</v>
      </c>
      <c r="P466" s="46">
        <f>HEX2DEC(RIGHT(Table13232127[[#This Row],[h1]],8))</f>
        <v>0</v>
      </c>
      <c r="Q466" s="46" t="s">
        <v>149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161</v>
      </c>
      <c r="G467" s="33">
        <v>1</v>
      </c>
      <c r="J467" s="24">
        <v>50000</v>
      </c>
      <c r="M467" s="24">
        <v>50000</v>
      </c>
      <c r="O467" s="46" t="s">
        <v>149</v>
      </c>
      <c r="P467" s="46">
        <f>HEX2DEC(RIGHT(Table13232127[[#This Row],[h1]],8))</f>
        <v>0</v>
      </c>
      <c r="Q467" s="46" t="s">
        <v>149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162</v>
      </c>
      <c r="G468" s="33">
        <v>1</v>
      </c>
      <c r="J468" s="24">
        <v>50000</v>
      </c>
      <c r="M468" s="24">
        <v>50000</v>
      </c>
      <c r="O468" s="46" t="s">
        <v>149</v>
      </c>
      <c r="P468" s="46">
        <f>HEX2DEC(RIGHT(Table13232127[[#This Row],[h1]],8))</f>
        <v>0</v>
      </c>
      <c r="Q468" s="46" t="s">
        <v>149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163</v>
      </c>
      <c r="G469" s="33">
        <v>1</v>
      </c>
      <c r="J469" s="24">
        <v>50000</v>
      </c>
      <c r="M469" s="24">
        <v>50000</v>
      </c>
      <c r="O469" s="46" t="s">
        <v>149</v>
      </c>
      <c r="P469" s="46">
        <f>HEX2DEC(RIGHT(Table13232127[[#This Row],[h1]],8))</f>
        <v>0</v>
      </c>
      <c r="Q469" s="46" t="s">
        <v>149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158</v>
      </c>
      <c r="J470" s="24">
        <v>50000</v>
      </c>
      <c r="M470" s="24">
        <v>50000</v>
      </c>
      <c r="O470" s="46" t="s">
        <v>149</v>
      </c>
      <c r="P470" s="46">
        <f>HEX2DEC(RIGHT(Table13232127[[#This Row],[h1]],8))</f>
        <v>0</v>
      </c>
      <c r="Q470" s="46" t="s">
        <v>149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149</v>
      </c>
      <c r="P471" s="46">
        <f>HEX2DEC(RIGHT(Table13232127[[#This Row],[h1]],8))</f>
        <v>0</v>
      </c>
      <c r="Q471" s="46" t="s">
        <v>149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48</v>
      </c>
      <c r="J472" s="24">
        <v>50000</v>
      </c>
      <c r="M472" s="24">
        <v>50000</v>
      </c>
      <c r="O472" s="46" t="s">
        <v>149</v>
      </c>
      <c r="P472" s="46">
        <f>HEX2DEC(RIGHT(Table13232127[[#This Row],[h1]],8))</f>
        <v>0</v>
      </c>
      <c r="Q472" s="46" t="s">
        <v>149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6" t="s">
        <v>149</v>
      </c>
      <c r="P473" s="46">
        <f>HEX2DEC(RIGHT(Table13232127[[#This Row],[h1]],8))</f>
        <v>0</v>
      </c>
      <c r="Q473" s="46" t="s">
        <v>149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6" t="s">
        <v>149</v>
      </c>
      <c r="P474" s="46">
        <f>HEX2DEC(RIGHT(Table13232127[[#This Row],[h1]],8))</f>
        <v>0</v>
      </c>
      <c r="Q474" s="46" t="s">
        <v>149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149</v>
      </c>
      <c r="P475" s="46">
        <f>HEX2DEC(RIGHT(Table13232127[[#This Row],[h1]],8))</f>
        <v>0</v>
      </c>
      <c r="Q475" s="46" t="s">
        <v>149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149</v>
      </c>
      <c r="P476" s="46">
        <f>HEX2DEC(RIGHT(Table13232127[[#This Row],[h1]],8))</f>
        <v>0</v>
      </c>
      <c r="Q476" s="46" t="s">
        <v>149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149</v>
      </c>
      <c r="P477" s="46">
        <f>HEX2DEC(RIGHT(Table13232127[[#This Row],[h1]],8))</f>
        <v>0</v>
      </c>
      <c r="Q477" s="46" t="s">
        <v>149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149</v>
      </c>
      <c r="P478" s="46">
        <f>HEX2DEC(RIGHT(Table13232127[[#This Row],[h1]],8))</f>
        <v>0</v>
      </c>
      <c r="Q478" s="46" t="s">
        <v>149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149</v>
      </c>
      <c r="P479" s="46">
        <f>HEX2DEC(RIGHT(Table13232127[[#This Row],[h1]],8))</f>
        <v>0</v>
      </c>
      <c r="Q479" s="46" t="s">
        <v>149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149</v>
      </c>
      <c r="P480" s="46">
        <f>HEX2DEC(RIGHT(Table13232127[[#This Row],[h1]],8))</f>
        <v>0</v>
      </c>
      <c r="Q480" s="46" t="s">
        <v>149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149</v>
      </c>
      <c r="P481" s="46">
        <f>HEX2DEC(RIGHT(Table13232127[[#This Row],[h1]],8))</f>
        <v>0</v>
      </c>
      <c r="Q481" s="46" t="s">
        <v>149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149</v>
      </c>
      <c r="P482" s="46">
        <f>HEX2DEC(RIGHT(Table13232127[[#This Row],[h1]],8))</f>
        <v>0</v>
      </c>
      <c r="Q482" s="46" t="s">
        <v>149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149</v>
      </c>
      <c r="P483" s="46">
        <f>HEX2DEC(RIGHT(Table13232127[[#This Row],[h1]],8))</f>
        <v>0</v>
      </c>
      <c r="Q483" s="46" t="s">
        <v>149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149</v>
      </c>
      <c r="P484" s="46">
        <f>HEX2DEC(RIGHT(Table13232127[[#This Row],[h1]],8))</f>
        <v>0</v>
      </c>
      <c r="Q484" s="46" t="s">
        <v>149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149</v>
      </c>
      <c r="P485" s="46">
        <f>HEX2DEC(RIGHT(Table13232127[[#This Row],[h1]],8))</f>
        <v>0</v>
      </c>
      <c r="Q485" s="46" t="s">
        <v>149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149</v>
      </c>
      <c r="P486" s="46">
        <f>HEX2DEC(RIGHT(Table13232127[[#This Row],[h1]],8))</f>
        <v>0</v>
      </c>
      <c r="Q486" s="46" t="s">
        <v>149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149</v>
      </c>
      <c r="P487" s="46">
        <f>HEX2DEC(RIGHT(Table13232127[[#This Row],[h1]],8))</f>
        <v>0</v>
      </c>
      <c r="Q487" s="46" t="s">
        <v>149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149</v>
      </c>
      <c r="P488" s="46">
        <f>HEX2DEC(RIGHT(Table13232127[[#This Row],[h1]],8))</f>
        <v>0</v>
      </c>
      <c r="Q488" s="46" t="s">
        <v>149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149</v>
      </c>
      <c r="P489" s="46">
        <f>HEX2DEC(RIGHT(Table13232127[[#This Row],[h1]],8))</f>
        <v>0</v>
      </c>
      <c r="Q489" s="46" t="s">
        <v>149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149</v>
      </c>
      <c r="P490" s="46">
        <f>HEX2DEC(RIGHT(Table13232127[[#This Row],[h1]],8))</f>
        <v>0</v>
      </c>
      <c r="Q490" s="46" t="s">
        <v>149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149</v>
      </c>
      <c r="P491" s="46">
        <f>HEX2DEC(RIGHT(Table13232127[[#This Row],[h1]],8))</f>
        <v>0</v>
      </c>
      <c r="Q491" s="46" t="s">
        <v>149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149</v>
      </c>
      <c r="P492" s="46">
        <f>HEX2DEC(RIGHT(Table13232127[[#This Row],[h1]],8))</f>
        <v>0</v>
      </c>
      <c r="Q492" s="46" t="s">
        <v>149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149</v>
      </c>
      <c r="P493" s="46">
        <f>HEX2DEC(RIGHT(Table13232127[[#This Row],[h1]],8))</f>
        <v>0</v>
      </c>
      <c r="Q493" s="46" t="s">
        <v>149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149</v>
      </c>
      <c r="P494" s="46">
        <f>HEX2DEC(RIGHT(Table13232127[[#This Row],[h1]],8))</f>
        <v>0</v>
      </c>
      <c r="Q494" s="46" t="s">
        <v>149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149</v>
      </c>
      <c r="P495" s="46">
        <f>HEX2DEC(RIGHT(Table13232127[[#This Row],[h1]],8))</f>
        <v>0</v>
      </c>
      <c r="Q495" s="46" t="s">
        <v>149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149</v>
      </c>
      <c r="P496" s="46">
        <f>HEX2DEC(RIGHT(Table13232127[[#This Row],[h1]],8))</f>
        <v>0</v>
      </c>
      <c r="Q496" s="46" t="s">
        <v>149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149</v>
      </c>
      <c r="P497" s="46">
        <f>HEX2DEC(RIGHT(Table13232127[[#This Row],[h1]],8))</f>
        <v>0</v>
      </c>
      <c r="Q497" s="46" t="s">
        <v>149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149</v>
      </c>
      <c r="P498" s="46">
        <f>HEX2DEC(RIGHT(Table13232127[[#This Row],[h1]],8))</f>
        <v>0</v>
      </c>
      <c r="Q498" s="46" t="s">
        <v>149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149</v>
      </c>
      <c r="P499" s="46">
        <f>HEX2DEC(RIGHT(Table13232127[[#This Row],[h1]],8))</f>
        <v>0</v>
      </c>
      <c r="Q499" s="46" t="s">
        <v>149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149</v>
      </c>
      <c r="P500" s="46">
        <f>HEX2DEC(RIGHT(Table13232127[[#This Row],[h1]],8))</f>
        <v>0</v>
      </c>
      <c r="Q500" s="46" t="s">
        <v>149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149</v>
      </c>
      <c r="P501" s="46">
        <f>HEX2DEC(RIGHT(Table13232127[[#This Row],[h1]],8))</f>
        <v>0</v>
      </c>
      <c r="Q501" s="46" t="s">
        <v>149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6" t="s">
        <v>149</v>
      </c>
      <c r="P502" s="46">
        <f>HEX2DEC(RIGHT(Table13232127[[#This Row],[h1]],8))</f>
        <v>0</v>
      </c>
      <c r="Q502" s="46" t="s">
        <v>149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6" t="s">
        <v>149</v>
      </c>
      <c r="P503" s="46">
        <f>HEX2DEC(RIGHT(Table13232127[[#This Row],[h1]],8))</f>
        <v>0</v>
      </c>
      <c r="Q503" s="46" t="s">
        <v>149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6" t="s">
        <v>149</v>
      </c>
      <c r="P504" s="46">
        <f>HEX2DEC(RIGHT(Table13232127[[#This Row],[h1]],8))</f>
        <v>0</v>
      </c>
      <c r="Q504" s="46" t="s">
        <v>149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6" t="s">
        <v>149</v>
      </c>
      <c r="P505" s="46">
        <f>HEX2DEC(RIGHT(Table13232127[[#This Row],[h1]],8))</f>
        <v>0</v>
      </c>
      <c r="Q505" s="46" t="s">
        <v>149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6" t="s">
        <v>149</v>
      </c>
      <c r="P506" s="46">
        <f>HEX2DEC(RIGHT(Table13232127[[#This Row],[h1]],8))</f>
        <v>0</v>
      </c>
      <c r="Q506" s="46" t="s">
        <v>149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6" t="s">
        <v>149</v>
      </c>
      <c r="P507" s="46">
        <f>HEX2DEC(RIGHT(Table13232127[[#This Row],[h1]],8))</f>
        <v>0</v>
      </c>
      <c r="Q507" s="46" t="s">
        <v>149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6" t="s">
        <v>149</v>
      </c>
      <c r="P508" s="46">
        <f>HEX2DEC(RIGHT(Table13232127[[#This Row],[h1]],8))</f>
        <v>0</v>
      </c>
      <c r="Q508" s="46" t="s">
        <v>149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6" t="s">
        <v>149</v>
      </c>
      <c r="P509" s="46">
        <f>HEX2DEC(RIGHT(Table13232127[[#This Row],[h1]],8))</f>
        <v>0</v>
      </c>
      <c r="Q509" s="46" t="s">
        <v>149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6" t="s">
        <v>149</v>
      </c>
      <c r="P510" s="46">
        <f>HEX2DEC(RIGHT(Table13232127[[#This Row],[h1]],8))</f>
        <v>0</v>
      </c>
      <c r="Q510" s="46" t="s">
        <v>149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6" t="s">
        <v>149</v>
      </c>
      <c r="P511" s="46">
        <f>HEX2DEC(RIGHT(Table13232127[[#This Row],[h1]],8))</f>
        <v>0</v>
      </c>
      <c r="Q511" s="46" t="s">
        <v>149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6" t="s">
        <v>149</v>
      </c>
      <c r="P512" s="46">
        <f>HEX2DEC(RIGHT(Table13232127[[#This Row],[h1]],8))</f>
        <v>0</v>
      </c>
      <c r="Q512" s="46" t="s">
        <v>149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6" t="s">
        <v>149</v>
      </c>
      <c r="P513" s="46">
        <f>HEX2DEC(RIGHT(Table13232127[[#This Row],[h1]],8))</f>
        <v>0</v>
      </c>
      <c r="Q513" s="46" t="s">
        <v>149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149</v>
      </c>
      <c r="P514" s="46">
        <f>HEX2DEC(RIGHT(Table13232127[[#This Row],[h1]],8))</f>
        <v>0</v>
      </c>
      <c r="Q514" s="46" t="s">
        <v>149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149</v>
      </c>
      <c r="P515" s="46">
        <f>HEX2DEC(RIGHT(Table13232127[[#This Row],[h1]],8))</f>
        <v>0</v>
      </c>
      <c r="Q515" s="46" t="s">
        <v>149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149</v>
      </c>
      <c r="P516" s="46">
        <f>HEX2DEC(RIGHT(Table13232127[[#This Row],[h1]],8))</f>
        <v>0</v>
      </c>
      <c r="Q516" s="46" t="s">
        <v>149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149</v>
      </c>
      <c r="P517" s="46">
        <f>HEX2DEC(RIGHT(Table13232127[[#This Row],[h1]],8))</f>
        <v>0</v>
      </c>
      <c r="Q517" s="46" t="s">
        <v>149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149</v>
      </c>
      <c r="P518" s="46">
        <f>HEX2DEC(RIGHT(Table13232127[[#This Row],[h1]],8))</f>
        <v>0</v>
      </c>
      <c r="Q518" s="46" t="s">
        <v>149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149</v>
      </c>
      <c r="P519" s="46">
        <f>HEX2DEC(RIGHT(Table13232127[[#This Row],[h1]],8))</f>
        <v>0</v>
      </c>
      <c r="Q519" s="46" t="s">
        <v>149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149</v>
      </c>
      <c r="P520" s="46">
        <f>HEX2DEC(RIGHT(Table13232127[[#This Row],[h1]],8))</f>
        <v>0</v>
      </c>
      <c r="Q520" s="46" t="s">
        <v>149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149</v>
      </c>
      <c r="P521" s="46">
        <f>HEX2DEC(RIGHT(Table13232127[[#This Row],[h1]],8))</f>
        <v>0</v>
      </c>
      <c r="Q521" s="46" t="s">
        <v>149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149</v>
      </c>
      <c r="P522" s="46">
        <f>HEX2DEC(RIGHT(Table13232127[[#This Row],[h1]],8))</f>
        <v>0</v>
      </c>
      <c r="Q522" s="46" t="s">
        <v>149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149</v>
      </c>
      <c r="P523" s="46">
        <f>HEX2DEC(RIGHT(Table13232127[[#This Row],[h1]],8))</f>
        <v>0</v>
      </c>
      <c r="Q523" s="46" t="s">
        <v>149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149</v>
      </c>
      <c r="P524" s="46">
        <f>HEX2DEC(RIGHT(Table13232127[[#This Row],[h1]],8))</f>
        <v>0</v>
      </c>
      <c r="Q524" s="46" t="s">
        <v>149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149</v>
      </c>
      <c r="P525" s="46">
        <f>HEX2DEC(RIGHT(Table13232127[[#This Row],[h1]],8))</f>
        <v>0</v>
      </c>
      <c r="Q525" s="46" t="s">
        <v>149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149</v>
      </c>
      <c r="P526" s="46">
        <f>HEX2DEC(RIGHT(Table13232127[[#This Row],[h1]],8))</f>
        <v>0</v>
      </c>
      <c r="Q526" s="46" t="s">
        <v>149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149</v>
      </c>
      <c r="P527" s="46">
        <f>HEX2DEC(RIGHT(Table13232127[[#This Row],[h1]],8))</f>
        <v>0</v>
      </c>
      <c r="Q527" s="46" t="s">
        <v>149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149</v>
      </c>
      <c r="P528" s="46">
        <f>HEX2DEC(RIGHT(Table13232127[[#This Row],[h1]],8))</f>
        <v>0</v>
      </c>
      <c r="Q528" s="46" t="s">
        <v>149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149</v>
      </c>
      <c r="P529" s="46">
        <f>HEX2DEC(RIGHT(Table13232127[[#This Row],[h1]],8))</f>
        <v>0</v>
      </c>
      <c r="Q529" s="46" t="s">
        <v>149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149</v>
      </c>
      <c r="P530" s="46">
        <f>HEX2DEC(RIGHT(Table13232127[[#This Row],[h1]],8))</f>
        <v>0</v>
      </c>
      <c r="Q530" s="46" t="s">
        <v>149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149</v>
      </c>
      <c r="P531" s="46">
        <f>HEX2DEC(RIGHT(Table13232127[[#This Row],[h1]],8))</f>
        <v>0</v>
      </c>
      <c r="Q531" s="46" t="s">
        <v>149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149</v>
      </c>
      <c r="P532" s="46">
        <f>HEX2DEC(RIGHT(Table13232127[[#This Row],[h1]],8))</f>
        <v>0</v>
      </c>
      <c r="Q532" s="46" t="s">
        <v>149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149</v>
      </c>
      <c r="P533" s="46">
        <f>HEX2DEC(RIGHT(Table13232127[[#This Row],[h1]],8))</f>
        <v>0</v>
      </c>
      <c r="Q533" s="46" t="s">
        <v>149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149</v>
      </c>
      <c r="P534" s="46">
        <f>HEX2DEC(RIGHT(Table13232127[[#This Row],[h1]],8))</f>
        <v>0</v>
      </c>
      <c r="Q534" s="46" t="s">
        <v>149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149</v>
      </c>
      <c r="P535" s="46">
        <f>HEX2DEC(RIGHT(Table13232127[[#This Row],[h1]],8))</f>
        <v>0</v>
      </c>
      <c r="Q535" s="46" t="s">
        <v>149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149</v>
      </c>
      <c r="P536" s="46">
        <f>HEX2DEC(RIGHT(Table13232127[[#This Row],[h1]],8))</f>
        <v>0</v>
      </c>
      <c r="Q536" s="46" t="s">
        <v>149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149</v>
      </c>
      <c r="P537" s="46">
        <f>HEX2DEC(RIGHT(Table13232127[[#This Row],[h1]],8))</f>
        <v>0</v>
      </c>
      <c r="Q537" s="46" t="s">
        <v>149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149</v>
      </c>
      <c r="P538" s="46">
        <f>HEX2DEC(RIGHT(Table13232127[[#This Row],[h1]],8))</f>
        <v>0</v>
      </c>
      <c r="Q538" s="46" t="s">
        <v>149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149</v>
      </c>
      <c r="P539" s="46">
        <f>HEX2DEC(RIGHT(Table13232127[[#This Row],[h1]],8))</f>
        <v>0</v>
      </c>
      <c r="Q539" s="46" t="s">
        <v>149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149</v>
      </c>
      <c r="P540" s="46">
        <f>HEX2DEC(RIGHT(Table13232127[[#This Row],[h1]],8))</f>
        <v>0</v>
      </c>
      <c r="Q540" s="46" t="s">
        <v>149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149</v>
      </c>
      <c r="P541" s="46">
        <f>HEX2DEC(RIGHT(Table13232127[[#This Row],[h1]],8))</f>
        <v>0</v>
      </c>
      <c r="Q541" s="46" t="s">
        <v>149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149</v>
      </c>
      <c r="P542" s="46">
        <f>HEX2DEC(RIGHT(Table13232127[[#This Row],[h1]],8))</f>
        <v>0</v>
      </c>
      <c r="Q542" s="46" t="s">
        <v>149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149</v>
      </c>
      <c r="P543" s="46">
        <f>HEX2DEC(RIGHT(Table13232127[[#This Row],[h1]],8))</f>
        <v>0</v>
      </c>
      <c r="Q543" s="46" t="s">
        <v>149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149</v>
      </c>
      <c r="P544" s="46">
        <f>HEX2DEC(RIGHT(Table13232127[[#This Row],[h1]],8))</f>
        <v>0</v>
      </c>
      <c r="Q544" s="46" t="s">
        <v>149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149</v>
      </c>
      <c r="P545" s="46">
        <f>HEX2DEC(RIGHT(Table13232127[[#This Row],[h1]],8))</f>
        <v>0</v>
      </c>
      <c r="Q545" s="46" t="s">
        <v>149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149</v>
      </c>
      <c r="P546" s="46">
        <f>HEX2DEC(RIGHT(Table13232127[[#This Row],[h1]],8))</f>
        <v>0</v>
      </c>
      <c r="Q546" s="46" t="s">
        <v>149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149</v>
      </c>
      <c r="P547" s="46">
        <f>HEX2DEC(RIGHT(Table13232127[[#This Row],[h1]],8))</f>
        <v>0</v>
      </c>
      <c r="Q547" s="46" t="s">
        <v>149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149</v>
      </c>
      <c r="P548" s="46">
        <f>HEX2DEC(RIGHT(Table13232127[[#This Row],[h1]],8))</f>
        <v>0</v>
      </c>
      <c r="Q548" s="46" t="s">
        <v>149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149</v>
      </c>
      <c r="P549" s="46">
        <f>HEX2DEC(RIGHT(Table13232127[[#This Row],[h1]],8))</f>
        <v>0</v>
      </c>
      <c r="Q549" s="46" t="s">
        <v>149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149</v>
      </c>
      <c r="P550" s="46">
        <f>HEX2DEC(RIGHT(Table13232127[[#This Row],[h1]],8))</f>
        <v>0</v>
      </c>
      <c r="Q550" s="46" t="s">
        <v>149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149</v>
      </c>
      <c r="P551" s="46">
        <f>HEX2DEC(RIGHT(Table13232127[[#This Row],[h1]],8))</f>
        <v>0</v>
      </c>
      <c r="Q551" s="46" t="s">
        <v>149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149</v>
      </c>
      <c r="P552" s="46">
        <f>HEX2DEC(RIGHT(Table13232127[[#This Row],[h1]],8))</f>
        <v>0</v>
      </c>
      <c r="Q552" s="46" t="s">
        <v>149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149</v>
      </c>
      <c r="P553" s="46">
        <f>HEX2DEC(RIGHT(Table13232127[[#This Row],[h1]],8))</f>
        <v>0</v>
      </c>
      <c r="Q553" s="46" t="s">
        <v>149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149</v>
      </c>
      <c r="P554" s="46">
        <f>HEX2DEC(RIGHT(Table13232127[[#This Row],[h1]],8))</f>
        <v>0</v>
      </c>
      <c r="Q554" s="46" t="s">
        <v>149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149</v>
      </c>
      <c r="P555" s="46">
        <f>HEX2DEC(RIGHT(Table13232127[[#This Row],[h1]],8))</f>
        <v>0</v>
      </c>
      <c r="Q555" s="46" t="s">
        <v>149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149</v>
      </c>
      <c r="P556" s="46">
        <f>HEX2DEC(RIGHT(Table13232127[[#This Row],[h1]],8))</f>
        <v>0</v>
      </c>
      <c r="Q556" s="46" t="s">
        <v>149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149</v>
      </c>
      <c r="P557" s="46">
        <f>HEX2DEC(RIGHT(Table13232127[[#This Row],[h1]],8))</f>
        <v>0</v>
      </c>
      <c r="Q557" s="46" t="s">
        <v>149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149</v>
      </c>
      <c r="P558" s="46">
        <f>HEX2DEC(RIGHT(Table13232127[[#This Row],[h1]],8))</f>
        <v>0</v>
      </c>
      <c r="Q558" s="46" t="s">
        <v>149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149</v>
      </c>
      <c r="P559" s="46">
        <f>HEX2DEC(RIGHT(Table13232127[[#This Row],[h1]],8))</f>
        <v>0</v>
      </c>
      <c r="Q559" s="46" t="s">
        <v>149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149</v>
      </c>
      <c r="P560" s="46">
        <f>HEX2DEC(RIGHT(Table13232127[[#This Row],[h1]],8))</f>
        <v>0</v>
      </c>
      <c r="Q560" s="46" t="s">
        <v>149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149</v>
      </c>
      <c r="P561" s="46">
        <f>HEX2DEC(RIGHT(Table13232127[[#This Row],[h1]],8))</f>
        <v>0</v>
      </c>
      <c r="Q561" s="46" t="s">
        <v>149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149</v>
      </c>
      <c r="P562" s="46">
        <f>HEX2DEC(RIGHT(Table13232127[[#This Row],[h1]],8))</f>
        <v>0</v>
      </c>
      <c r="Q562" s="46" t="s">
        <v>149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149</v>
      </c>
      <c r="P563" s="46">
        <f>HEX2DEC(RIGHT(Table13232127[[#This Row],[h1]],8))</f>
        <v>0</v>
      </c>
      <c r="Q563" s="46" t="s">
        <v>149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149</v>
      </c>
      <c r="P564" s="46">
        <f>HEX2DEC(RIGHT(Table13232127[[#This Row],[h1]],8))</f>
        <v>0</v>
      </c>
      <c r="Q564" s="46" t="s">
        <v>149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149</v>
      </c>
      <c r="P565" s="46">
        <f>HEX2DEC(RIGHT(Table13232127[[#This Row],[h1]],8))</f>
        <v>0</v>
      </c>
      <c r="Q565" s="46" t="s">
        <v>149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149</v>
      </c>
      <c r="P566" s="46">
        <f>HEX2DEC(RIGHT(Table13232127[[#This Row],[h1]],8))</f>
        <v>0</v>
      </c>
      <c r="Q566" s="46" t="s">
        <v>149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149</v>
      </c>
      <c r="P567" s="46">
        <f>HEX2DEC(RIGHT(Table13232127[[#This Row],[h1]],8))</f>
        <v>0</v>
      </c>
      <c r="Q567" s="46" t="s">
        <v>149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149</v>
      </c>
      <c r="P568" s="46">
        <f>HEX2DEC(RIGHT(Table13232127[[#This Row],[h1]],8))</f>
        <v>0</v>
      </c>
      <c r="Q568" s="46" t="s">
        <v>149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149</v>
      </c>
      <c r="P569" s="46">
        <f>HEX2DEC(RIGHT(Table13232127[[#This Row],[h1]],8))</f>
        <v>0</v>
      </c>
      <c r="Q569" s="46" t="s">
        <v>149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149</v>
      </c>
      <c r="P570" s="46">
        <f>HEX2DEC(RIGHT(Table13232127[[#This Row],[h1]],8))</f>
        <v>0</v>
      </c>
      <c r="Q570" s="46" t="s">
        <v>149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149</v>
      </c>
      <c r="P571" s="46">
        <f>HEX2DEC(RIGHT(Table13232127[[#This Row],[h1]],8))</f>
        <v>0</v>
      </c>
      <c r="Q571" s="46" t="s">
        <v>149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149</v>
      </c>
      <c r="P572" s="46">
        <f>HEX2DEC(RIGHT(Table13232127[[#This Row],[h1]],8))</f>
        <v>0</v>
      </c>
      <c r="Q572" s="46" t="s">
        <v>149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149</v>
      </c>
      <c r="P573" s="46">
        <f>HEX2DEC(RIGHT(Table13232127[[#This Row],[h1]],8))</f>
        <v>0</v>
      </c>
      <c r="Q573" s="46" t="s">
        <v>149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149</v>
      </c>
      <c r="P574" s="46">
        <f>HEX2DEC(RIGHT(Table13232127[[#This Row],[h1]],8))</f>
        <v>0</v>
      </c>
      <c r="Q574" s="46" t="s">
        <v>149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149</v>
      </c>
      <c r="P575" s="46">
        <f>HEX2DEC(RIGHT(Table13232127[[#This Row],[h1]],8))</f>
        <v>0</v>
      </c>
      <c r="Q575" s="46" t="s">
        <v>149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149</v>
      </c>
      <c r="P576" s="46">
        <f>HEX2DEC(RIGHT(Table13232127[[#This Row],[h1]],8))</f>
        <v>0</v>
      </c>
      <c r="Q576" s="46" t="s">
        <v>149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149</v>
      </c>
      <c r="P577" s="46">
        <f>HEX2DEC(RIGHT(Table13232127[[#This Row],[h1]],8))</f>
        <v>0</v>
      </c>
      <c r="Q577" s="46" t="s">
        <v>149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149</v>
      </c>
      <c r="P578" s="46">
        <f>HEX2DEC(RIGHT(Table13232127[[#This Row],[h1]],8))</f>
        <v>0</v>
      </c>
      <c r="Q578" s="46" t="s">
        <v>149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149</v>
      </c>
      <c r="P579" s="46">
        <f>HEX2DEC(RIGHT(Table13232127[[#This Row],[h1]],8))</f>
        <v>0</v>
      </c>
      <c r="Q579" s="46" t="s">
        <v>149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149</v>
      </c>
      <c r="P580" s="46">
        <f>HEX2DEC(RIGHT(Table13232127[[#This Row],[h1]],8))</f>
        <v>0</v>
      </c>
      <c r="Q580" s="46" t="s">
        <v>149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149</v>
      </c>
      <c r="P581" s="46">
        <f>HEX2DEC(RIGHT(Table13232127[[#This Row],[h1]],8))</f>
        <v>0</v>
      </c>
      <c r="Q581" s="46" t="s">
        <v>149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149</v>
      </c>
      <c r="P582" s="46">
        <f>HEX2DEC(RIGHT(Table13232127[[#This Row],[h1]],8))</f>
        <v>0</v>
      </c>
      <c r="Q582" s="46" t="s">
        <v>149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149</v>
      </c>
      <c r="P583" s="46">
        <f>HEX2DEC(RIGHT(Table13232127[[#This Row],[h1]],8))</f>
        <v>0</v>
      </c>
      <c r="Q583" s="46" t="s">
        <v>149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149</v>
      </c>
      <c r="P584" s="46">
        <f>HEX2DEC(RIGHT(Table13232127[[#This Row],[h1]],8))</f>
        <v>0</v>
      </c>
      <c r="Q584" s="46" t="s">
        <v>149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149</v>
      </c>
      <c r="P585" s="46">
        <f>HEX2DEC(RIGHT(Table13232127[[#This Row],[h1]],8))</f>
        <v>0</v>
      </c>
      <c r="Q585" s="46" t="s">
        <v>149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149</v>
      </c>
      <c r="P586" s="46">
        <f>HEX2DEC(RIGHT(Table13232127[[#This Row],[h1]],8))</f>
        <v>0</v>
      </c>
      <c r="Q586" s="46" t="s">
        <v>149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149</v>
      </c>
      <c r="P587" s="46">
        <f>HEX2DEC(RIGHT(Table13232127[[#This Row],[h1]],8))</f>
        <v>0</v>
      </c>
      <c r="Q587" s="46" t="s">
        <v>149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149</v>
      </c>
      <c r="P588" s="46">
        <f>HEX2DEC(RIGHT(Table13232127[[#This Row],[h1]],8))</f>
        <v>0</v>
      </c>
      <c r="Q588" s="46" t="s">
        <v>149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149</v>
      </c>
      <c r="P589" s="46">
        <f>HEX2DEC(RIGHT(Table13232127[[#This Row],[h1]],8))</f>
        <v>0</v>
      </c>
      <c r="Q589" s="46" t="s">
        <v>149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149</v>
      </c>
      <c r="P590" s="46">
        <f>HEX2DEC(RIGHT(Table13232127[[#This Row],[h1]],8))</f>
        <v>0</v>
      </c>
      <c r="Q590" s="46" t="s">
        <v>149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149</v>
      </c>
      <c r="P591" s="46">
        <f>HEX2DEC(RIGHT(Table13232127[[#This Row],[h1]],8))</f>
        <v>0</v>
      </c>
      <c r="Q591" s="46" t="s">
        <v>149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149</v>
      </c>
      <c r="P592" s="46">
        <f>HEX2DEC(RIGHT(Table13232127[[#This Row],[h1]],8))</f>
        <v>0</v>
      </c>
      <c r="Q592" s="46" t="s">
        <v>149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149</v>
      </c>
      <c r="P593" s="46">
        <f>HEX2DEC(RIGHT(Table13232127[[#This Row],[h1]],8))</f>
        <v>0</v>
      </c>
      <c r="Q593" s="46" t="s">
        <v>149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149</v>
      </c>
      <c r="P594" s="46">
        <f>HEX2DEC(RIGHT(Table13232127[[#This Row],[h1]],8))</f>
        <v>0</v>
      </c>
      <c r="Q594" s="46" t="s">
        <v>149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149</v>
      </c>
      <c r="P595" s="46">
        <f>HEX2DEC(RIGHT(Table13232127[[#This Row],[h1]],8))</f>
        <v>0</v>
      </c>
      <c r="Q595" s="46" t="s">
        <v>149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149</v>
      </c>
      <c r="P596" s="46">
        <f>HEX2DEC(RIGHT(Table13232127[[#This Row],[h1]],8))</f>
        <v>0</v>
      </c>
      <c r="Q596" s="46" t="s">
        <v>149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149</v>
      </c>
      <c r="P597" s="46">
        <f>HEX2DEC(RIGHT(Table13232127[[#This Row],[h1]],8))</f>
        <v>0</v>
      </c>
      <c r="Q597" s="46" t="s">
        <v>149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149</v>
      </c>
      <c r="P598" s="46">
        <f>HEX2DEC(RIGHT(Table13232127[[#This Row],[h1]],8))</f>
        <v>0</v>
      </c>
      <c r="Q598" s="46" t="s">
        <v>149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149</v>
      </c>
      <c r="P599" s="46">
        <f>HEX2DEC(RIGHT(Table13232127[[#This Row],[h1]],8))</f>
        <v>0</v>
      </c>
      <c r="Q599" s="46" t="s">
        <v>149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149</v>
      </c>
      <c r="P600" s="46">
        <f>HEX2DEC(RIGHT(Table13232127[[#This Row],[h1]],8))</f>
        <v>0</v>
      </c>
      <c r="Q600" s="46" t="s">
        <v>149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149</v>
      </c>
      <c r="P601" s="46">
        <f>HEX2DEC(RIGHT(Table13232127[[#This Row],[h1]],8))</f>
        <v>0</v>
      </c>
      <c r="Q601" s="46" t="s">
        <v>149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149</v>
      </c>
      <c r="P602" s="46">
        <f>HEX2DEC(RIGHT(Table13232127[[#This Row],[h1]],8))</f>
        <v>0</v>
      </c>
      <c r="Q602" s="46" t="s">
        <v>149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149</v>
      </c>
      <c r="P603" s="46">
        <f>HEX2DEC(RIGHT(Table13232127[[#This Row],[h1]],8))</f>
        <v>0</v>
      </c>
      <c r="Q603" s="46" t="s">
        <v>149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149</v>
      </c>
      <c r="P604" s="46">
        <f>HEX2DEC(RIGHT(Table13232127[[#This Row],[h1]],8))</f>
        <v>0</v>
      </c>
      <c r="Q604" s="46" t="s">
        <v>149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149</v>
      </c>
      <c r="P605" s="46">
        <f>HEX2DEC(RIGHT(Table13232127[[#This Row],[h1]],8))</f>
        <v>0</v>
      </c>
      <c r="Q605" s="46" t="s">
        <v>149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149</v>
      </c>
      <c r="P606" s="46">
        <f>HEX2DEC(RIGHT(Table13232127[[#This Row],[h1]],8))</f>
        <v>0</v>
      </c>
      <c r="Q606" s="46" t="s">
        <v>149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149</v>
      </c>
      <c r="P607" s="46">
        <f>HEX2DEC(RIGHT(Table13232127[[#This Row],[h1]],8))</f>
        <v>0</v>
      </c>
      <c r="Q607" s="46" t="s">
        <v>149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149</v>
      </c>
      <c r="P608" s="46">
        <f>HEX2DEC(RIGHT(Table13232127[[#This Row],[h1]],8))</f>
        <v>0</v>
      </c>
      <c r="Q608" s="46" t="s">
        <v>149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149</v>
      </c>
      <c r="P609" s="46">
        <f>HEX2DEC(RIGHT(Table13232127[[#This Row],[h1]],8))</f>
        <v>0</v>
      </c>
      <c r="Q609" s="46" t="s">
        <v>149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149</v>
      </c>
      <c r="P610" s="46">
        <f>HEX2DEC(RIGHT(Table13232127[[#This Row],[h1]],8))</f>
        <v>0</v>
      </c>
      <c r="Q610" s="46" t="s">
        <v>149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149</v>
      </c>
      <c r="P611" s="46">
        <f>HEX2DEC(RIGHT(Table13232127[[#This Row],[h1]],8))</f>
        <v>0</v>
      </c>
      <c r="Q611" s="46" t="s">
        <v>149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149</v>
      </c>
      <c r="P612" s="46">
        <f>HEX2DEC(RIGHT(Table13232127[[#This Row],[h1]],8))</f>
        <v>0</v>
      </c>
      <c r="Q612" s="46" t="s">
        <v>149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149</v>
      </c>
      <c r="P613" s="46">
        <f>HEX2DEC(RIGHT(Table13232127[[#This Row],[h1]],8))</f>
        <v>0</v>
      </c>
      <c r="Q613" s="46" t="s">
        <v>149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149</v>
      </c>
      <c r="P614" s="46">
        <f>HEX2DEC(RIGHT(Table13232127[[#This Row],[h1]],8))</f>
        <v>0</v>
      </c>
      <c r="Q614" s="46" t="s">
        <v>149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149</v>
      </c>
      <c r="P615" s="46">
        <f>HEX2DEC(RIGHT(Table13232127[[#This Row],[h1]],8))</f>
        <v>0</v>
      </c>
      <c r="Q615" s="46" t="s">
        <v>149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149</v>
      </c>
      <c r="P616" s="46">
        <f>HEX2DEC(RIGHT(Table13232127[[#This Row],[h1]],8))</f>
        <v>0</v>
      </c>
      <c r="Q616" s="46" t="s">
        <v>149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149</v>
      </c>
      <c r="P617" s="46">
        <f>HEX2DEC(RIGHT(Table13232127[[#This Row],[h1]],8))</f>
        <v>0</v>
      </c>
      <c r="Q617" s="46" t="s">
        <v>149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149</v>
      </c>
      <c r="P618" s="46">
        <f>HEX2DEC(RIGHT(Table13232127[[#This Row],[h1]],8))</f>
        <v>0</v>
      </c>
      <c r="Q618" s="46" t="s">
        <v>149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149</v>
      </c>
      <c r="P619" s="46">
        <f>HEX2DEC(RIGHT(Table13232127[[#This Row],[h1]],8))</f>
        <v>0</v>
      </c>
      <c r="Q619" s="46" t="s">
        <v>149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149</v>
      </c>
      <c r="P620" s="46">
        <f>HEX2DEC(RIGHT(Table13232127[[#This Row],[h1]],8))</f>
        <v>0</v>
      </c>
      <c r="Q620" s="46" t="s">
        <v>149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149</v>
      </c>
      <c r="P621" s="46">
        <f>HEX2DEC(RIGHT(Table13232127[[#This Row],[h1]],8))</f>
        <v>0</v>
      </c>
      <c r="Q621" s="46" t="s">
        <v>149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149</v>
      </c>
      <c r="P622" s="46">
        <f>HEX2DEC(RIGHT(Table13232127[[#This Row],[h1]],8))</f>
        <v>0</v>
      </c>
      <c r="Q622" s="46" t="s">
        <v>149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149</v>
      </c>
      <c r="P623" s="46">
        <f>HEX2DEC(RIGHT(Table13232127[[#This Row],[h1]],8))</f>
        <v>0</v>
      </c>
      <c r="Q623" s="46" t="s">
        <v>149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149</v>
      </c>
      <c r="P624" s="46">
        <f>HEX2DEC(RIGHT(Table13232127[[#This Row],[h1]],8))</f>
        <v>0</v>
      </c>
      <c r="Q624" s="46" t="s">
        <v>149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149</v>
      </c>
      <c r="P625" s="46">
        <f>HEX2DEC(RIGHT(Table13232127[[#This Row],[h1]],8))</f>
        <v>0</v>
      </c>
      <c r="Q625" s="46" t="s">
        <v>149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149</v>
      </c>
      <c r="P626" s="46">
        <f>HEX2DEC(RIGHT(Table13232127[[#This Row],[h1]],8))</f>
        <v>0</v>
      </c>
      <c r="Q626" s="46" t="s">
        <v>149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149</v>
      </c>
      <c r="P627" s="46">
        <f>HEX2DEC(RIGHT(Table13232127[[#This Row],[h1]],8))</f>
        <v>0</v>
      </c>
      <c r="Q627" s="46" t="s">
        <v>149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149</v>
      </c>
      <c r="P628" s="46">
        <f>HEX2DEC(RIGHT(Table13232127[[#This Row],[h1]],8))</f>
        <v>0</v>
      </c>
      <c r="Q628" s="46" t="s">
        <v>149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149</v>
      </c>
      <c r="P629" s="46">
        <f>HEX2DEC(RIGHT(Table13232127[[#This Row],[h1]],8))</f>
        <v>0</v>
      </c>
      <c r="Q629" s="46" t="s">
        <v>149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149</v>
      </c>
      <c r="P630" s="46">
        <f>HEX2DEC(RIGHT(Table13232127[[#This Row],[h1]],8))</f>
        <v>0</v>
      </c>
      <c r="Q630" s="46" t="s">
        <v>149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149</v>
      </c>
      <c r="P631" s="46">
        <f>HEX2DEC(RIGHT(Table13232127[[#This Row],[h1]],8))</f>
        <v>0</v>
      </c>
      <c r="Q631" s="46" t="s">
        <v>149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149</v>
      </c>
      <c r="P632" s="46">
        <f>HEX2DEC(RIGHT(Table13232127[[#This Row],[h1]],8))</f>
        <v>0</v>
      </c>
      <c r="Q632" s="46" t="s">
        <v>149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149</v>
      </c>
      <c r="P633" s="46">
        <f>HEX2DEC(RIGHT(Table13232127[[#This Row],[h1]],8))</f>
        <v>0</v>
      </c>
      <c r="Q633" s="46" t="s">
        <v>149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149</v>
      </c>
      <c r="P634" s="46">
        <f>HEX2DEC(RIGHT(Table13232127[[#This Row],[h1]],8))</f>
        <v>0</v>
      </c>
      <c r="Q634" s="46" t="s">
        <v>149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149</v>
      </c>
      <c r="P635" s="46">
        <f>HEX2DEC(RIGHT(Table13232127[[#This Row],[h1]],8))</f>
        <v>0</v>
      </c>
      <c r="Q635" s="46" t="s">
        <v>149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149</v>
      </c>
      <c r="P636" s="46">
        <f>HEX2DEC(RIGHT(Table13232127[[#This Row],[h1]],8))</f>
        <v>0</v>
      </c>
      <c r="Q636" s="46" t="s">
        <v>149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149</v>
      </c>
      <c r="P637" s="46">
        <f>HEX2DEC(RIGHT(Table13232127[[#This Row],[h1]],8))</f>
        <v>0</v>
      </c>
      <c r="Q637" s="46" t="s">
        <v>149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149</v>
      </c>
      <c r="P638" s="46">
        <f>HEX2DEC(RIGHT(Table13232127[[#This Row],[h1]],8))</f>
        <v>0</v>
      </c>
      <c r="Q638" s="46" t="s">
        <v>149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149</v>
      </c>
      <c r="P639" s="46">
        <f>HEX2DEC(RIGHT(Table13232127[[#This Row],[h1]],8))</f>
        <v>0</v>
      </c>
      <c r="Q639" s="46" t="s">
        <v>149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149</v>
      </c>
      <c r="P640" s="46">
        <f>HEX2DEC(RIGHT(Table13232127[[#This Row],[h1]],8))</f>
        <v>0</v>
      </c>
      <c r="Q640" s="46" t="s">
        <v>149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149</v>
      </c>
      <c r="P641" s="46">
        <f>HEX2DEC(RIGHT(Table13232127[[#This Row],[h1]],8))</f>
        <v>0</v>
      </c>
      <c r="Q641" s="46" t="s">
        <v>149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149</v>
      </c>
      <c r="P642" s="46">
        <f>HEX2DEC(RIGHT(Table13232127[[#This Row],[h1]],8))</f>
        <v>0</v>
      </c>
      <c r="Q642" s="46" t="s">
        <v>149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149</v>
      </c>
      <c r="P643" s="46">
        <f>HEX2DEC(RIGHT(Table13232127[[#This Row],[h1]],8))</f>
        <v>0</v>
      </c>
      <c r="Q643" s="46" t="s">
        <v>149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149</v>
      </c>
      <c r="P644" s="46">
        <f>HEX2DEC(RIGHT(Table13232127[[#This Row],[h1]],8))</f>
        <v>0</v>
      </c>
      <c r="Q644" s="46" t="s">
        <v>149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149</v>
      </c>
      <c r="P645" s="46">
        <f>HEX2DEC(RIGHT(Table13232127[[#This Row],[h1]],8))</f>
        <v>0</v>
      </c>
      <c r="Q645" s="46" t="s">
        <v>149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149</v>
      </c>
      <c r="P646" s="46">
        <f>HEX2DEC(RIGHT(Table13232127[[#This Row],[h1]],8))</f>
        <v>0</v>
      </c>
      <c r="Q646" s="46" t="s">
        <v>149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149</v>
      </c>
      <c r="P647" s="46">
        <f>HEX2DEC(RIGHT(Table13232127[[#This Row],[h1]],8))</f>
        <v>0</v>
      </c>
      <c r="Q647" s="46" t="s">
        <v>149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149</v>
      </c>
      <c r="P648" s="46">
        <f>HEX2DEC(RIGHT(Table13232127[[#This Row],[h1]],8))</f>
        <v>0</v>
      </c>
      <c r="Q648" s="46" t="s">
        <v>149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149</v>
      </c>
      <c r="P649" s="46">
        <f>HEX2DEC(RIGHT(Table13232127[[#This Row],[h1]],8))</f>
        <v>0</v>
      </c>
      <c r="Q649" s="46" t="s">
        <v>149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149</v>
      </c>
      <c r="P650" s="46">
        <f>HEX2DEC(RIGHT(Table13232127[[#This Row],[h1]],8))</f>
        <v>0</v>
      </c>
      <c r="Q650" s="46" t="s">
        <v>149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149</v>
      </c>
      <c r="P651" s="46">
        <f>HEX2DEC(RIGHT(Table13232127[[#This Row],[h1]],8))</f>
        <v>0</v>
      </c>
      <c r="Q651" s="46" t="s">
        <v>149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149</v>
      </c>
      <c r="P652" s="46">
        <f>HEX2DEC(RIGHT(Table13232127[[#This Row],[h1]],8))</f>
        <v>0</v>
      </c>
      <c r="Q652" s="46" t="s">
        <v>149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149</v>
      </c>
      <c r="P653" s="46">
        <f>HEX2DEC(RIGHT(Table13232127[[#This Row],[h1]],8))</f>
        <v>0</v>
      </c>
      <c r="Q653" s="46" t="s">
        <v>149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149</v>
      </c>
      <c r="P654" s="46">
        <f>HEX2DEC(RIGHT(Table13232127[[#This Row],[h1]],8))</f>
        <v>0</v>
      </c>
      <c r="Q654" s="46" t="s">
        <v>149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149</v>
      </c>
      <c r="P655" s="46">
        <f>HEX2DEC(RIGHT(Table13232127[[#This Row],[h1]],8))</f>
        <v>0</v>
      </c>
      <c r="Q655" s="46" t="s">
        <v>149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149</v>
      </c>
      <c r="P656" s="46">
        <f>HEX2DEC(RIGHT(Table13232127[[#This Row],[h1]],8))</f>
        <v>0</v>
      </c>
      <c r="Q656" s="46" t="s">
        <v>149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149</v>
      </c>
      <c r="P657" s="46">
        <f>HEX2DEC(RIGHT(Table13232127[[#This Row],[h1]],8))</f>
        <v>0</v>
      </c>
      <c r="Q657" s="46" t="s">
        <v>149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149</v>
      </c>
      <c r="P658" s="46">
        <f>HEX2DEC(RIGHT(Table13232127[[#This Row],[h1]],8))</f>
        <v>0</v>
      </c>
      <c r="Q658" s="46" t="s">
        <v>149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149</v>
      </c>
      <c r="P659" s="46">
        <f>HEX2DEC(RIGHT(Table13232127[[#This Row],[h1]],8))</f>
        <v>0</v>
      </c>
      <c r="Q659" s="46" t="s">
        <v>149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149</v>
      </c>
      <c r="P660" s="46">
        <f>HEX2DEC(RIGHT(Table13232127[[#This Row],[h1]],8))</f>
        <v>0</v>
      </c>
      <c r="Q660" s="46" t="s">
        <v>149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149</v>
      </c>
      <c r="P661" s="46">
        <f>HEX2DEC(RIGHT(Table13232127[[#This Row],[h1]],8))</f>
        <v>0</v>
      </c>
      <c r="Q661" s="46" t="s">
        <v>149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149</v>
      </c>
      <c r="P662" s="46">
        <f>HEX2DEC(RIGHT(Table13232127[[#This Row],[h1]],8))</f>
        <v>0</v>
      </c>
      <c r="Q662" s="46" t="s">
        <v>149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149</v>
      </c>
      <c r="P663" s="46">
        <f>HEX2DEC(RIGHT(Table13232127[[#This Row],[h1]],8))</f>
        <v>0</v>
      </c>
      <c r="Q663" s="46" t="s">
        <v>149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149</v>
      </c>
      <c r="P664" s="46">
        <f>HEX2DEC(RIGHT(Table13232127[[#This Row],[h1]],8))</f>
        <v>0</v>
      </c>
      <c r="Q664" s="46" t="s">
        <v>149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149</v>
      </c>
      <c r="P665" s="46">
        <f>HEX2DEC(RIGHT(Table13232127[[#This Row],[h1]],8))</f>
        <v>0</v>
      </c>
      <c r="Q665" s="46" t="s">
        <v>149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149</v>
      </c>
      <c r="P666" s="46">
        <f>HEX2DEC(RIGHT(Table13232127[[#This Row],[h1]],8))</f>
        <v>0</v>
      </c>
      <c r="Q666" s="46" t="s">
        <v>149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149</v>
      </c>
      <c r="P667" s="46">
        <f>HEX2DEC(RIGHT(Table13232127[[#This Row],[h1]],8))</f>
        <v>0</v>
      </c>
      <c r="Q667" s="46" t="s">
        <v>149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149</v>
      </c>
      <c r="P668" s="46">
        <f>HEX2DEC(RIGHT(Table13232127[[#This Row],[h1]],8))</f>
        <v>0</v>
      </c>
      <c r="Q668" s="46" t="s">
        <v>149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149</v>
      </c>
      <c r="P669" s="46">
        <f>HEX2DEC(RIGHT(Table13232127[[#This Row],[h1]],8))</f>
        <v>0</v>
      </c>
      <c r="Q669" s="46" t="s">
        <v>149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149</v>
      </c>
      <c r="P670" s="46">
        <f>HEX2DEC(RIGHT(Table13232127[[#This Row],[h1]],8))</f>
        <v>0</v>
      </c>
      <c r="Q670" s="46" t="s">
        <v>149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149</v>
      </c>
      <c r="P671" s="46">
        <f>HEX2DEC(RIGHT(Table13232127[[#This Row],[h1]],8))</f>
        <v>0</v>
      </c>
      <c r="Q671" s="46" t="s">
        <v>149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149</v>
      </c>
      <c r="P672" s="46">
        <f>HEX2DEC(RIGHT(Table13232127[[#This Row],[h1]],8))</f>
        <v>0</v>
      </c>
      <c r="Q672" s="46" t="s">
        <v>149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149</v>
      </c>
      <c r="P673" s="46">
        <f>HEX2DEC(RIGHT(Table13232127[[#This Row],[h1]],8))</f>
        <v>0</v>
      </c>
      <c r="Q673" s="46" t="s">
        <v>149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149</v>
      </c>
      <c r="P674" s="46">
        <f>HEX2DEC(RIGHT(Table13232127[[#This Row],[h1]],8))</f>
        <v>0</v>
      </c>
      <c r="Q674" s="46" t="s">
        <v>149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149</v>
      </c>
      <c r="P675" s="46">
        <f>HEX2DEC(RIGHT(Table13232127[[#This Row],[h1]],8))</f>
        <v>0</v>
      </c>
      <c r="Q675" s="46" t="s">
        <v>149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149</v>
      </c>
      <c r="P676" s="46">
        <f>HEX2DEC(RIGHT(Table13232127[[#This Row],[h1]],8))</f>
        <v>0</v>
      </c>
      <c r="Q676" s="46" t="s">
        <v>149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149</v>
      </c>
      <c r="P677" s="46">
        <f>HEX2DEC(RIGHT(Table13232127[[#This Row],[h1]],8))</f>
        <v>0</v>
      </c>
      <c r="Q677" s="46" t="s">
        <v>149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149</v>
      </c>
      <c r="P678" s="46">
        <f>HEX2DEC(RIGHT(Table13232127[[#This Row],[h1]],8))</f>
        <v>0</v>
      </c>
      <c r="Q678" s="46" t="s">
        <v>149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149</v>
      </c>
      <c r="P679" s="46">
        <f>HEX2DEC(RIGHT(Table13232127[[#This Row],[h1]],8))</f>
        <v>0</v>
      </c>
      <c r="Q679" s="46" t="s">
        <v>149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149</v>
      </c>
      <c r="P680" s="46">
        <f>HEX2DEC(RIGHT(Table13232127[[#This Row],[h1]],8))</f>
        <v>0</v>
      </c>
      <c r="Q680" s="46" t="s">
        <v>149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149</v>
      </c>
      <c r="P681" s="46">
        <f>HEX2DEC(RIGHT(Table13232127[[#This Row],[h1]],8))</f>
        <v>0</v>
      </c>
      <c r="Q681" s="46" t="s">
        <v>149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149</v>
      </c>
      <c r="P682" s="46">
        <f>HEX2DEC(RIGHT(Table13232127[[#This Row],[h1]],8))</f>
        <v>0</v>
      </c>
      <c r="Q682" s="46" t="s">
        <v>149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149</v>
      </c>
      <c r="P683" s="46">
        <f>HEX2DEC(RIGHT(Table13232127[[#This Row],[h1]],8))</f>
        <v>0</v>
      </c>
      <c r="Q683" s="46" t="s">
        <v>149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149</v>
      </c>
      <c r="P684" s="46">
        <f>HEX2DEC(RIGHT(Table13232127[[#This Row],[h1]],8))</f>
        <v>0</v>
      </c>
      <c r="Q684" s="46" t="s">
        <v>149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149</v>
      </c>
      <c r="P685" s="46">
        <f>HEX2DEC(RIGHT(Table13232127[[#This Row],[h1]],8))</f>
        <v>0</v>
      </c>
      <c r="Q685" s="46" t="s">
        <v>149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149</v>
      </c>
      <c r="P686" s="46">
        <f>HEX2DEC(RIGHT(Table13232127[[#This Row],[h1]],8))</f>
        <v>0</v>
      </c>
      <c r="Q686" s="46" t="s">
        <v>149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149</v>
      </c>
      <c r="P687" s="46">
        <f>HEX2DEC(RIGHT(Table13232127[[#This Row],[h1]],8))</f>
        <v>0</v>
      </c>
      <c r="Q687" s="46" t="s">
        <v>149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149</v>
      </c>
      <c r="P688" s="46">
        <f>HEX2DEC(RIGHT(Table13232127[[#This Row],[h1]],8))</f>
        <v>0</v>
      </c>
      <c r="Q688" s="46" t="s">
        <v>149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149</v>
      </c>
      <c r="P689" s="46">
        <f>HEX2DEC(RIGHT(Table13232127[[#This Row],[h1]],8))</f>
        <v>0</v>
      </c>
      <c r="Q689" s="46" t="s">
        <v>149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149</v>
      </c>
      <c r="P690" s="46">
        <f>HEX2DEC(RIGHT(Table13232127[[#This Row],[h1]],8))</f>
        <v>0</v>
      </c>
      <c r="Q690" s="46" t="s">
        <v>149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149</v>
      </c>
      <c r="P691" s="46">
        <f>HEX2DEC(RIGHT(Table13232127[[#This Row],[h1]],8))</f>
        <v>0</v>
      </c>
      <c r="Q691" s="46" t="s">
        <v>149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149</v>
      </c>
      <c r="P692" s="46">
        <f>HEX2DEC(RIGHT(Table13232127[[#This Row],[h1]],8))</f>
        <v>0</v>
      </c>
      <c r="Q692" s="46" t="s">
        <v>149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149</v>
      </c>
      <c r="P693" s="46">
        <f>HEX2DEC(RIGHT(Table13232127[[#This Row],[h1]],8))</f>
        <v>0</v>
      </c>
      <c r="Q693" s="46" t="s">
        <v>149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149</v>
      </c>
      <c r="P694" s="46">
        <f>HEX2DEC(RIGHT(Table13232127[[#This Row],[h1]],8))</f>
        <v>0</v>
      </c>
      <c r="Q694" s="46" t="s">
        <v>149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149</v>
      </c>
      <c r="P695" s="46">
        <f>HEX2DEC(RIGHT(Table13232127[[#This Row],[h1]],8))</f>
        <v>0</v>
      </c>
      <c r="Q695" s="46" t="s">
        <v>149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149</v>
      </c>
      <c r="P696" s="46">
        <f>HEX2DEC(RIGHT(Table13232127[[#This Row],[h1]],8))</f>
        <v>0</v>
      </c>
      <c r="Q696" s="46" t="s">
        <v>149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149</v>
      </c>
      <c r="P697" s="46">
        <f>HEX2DEC(RIGHT(Table13232127[[#This Row],[h1]],8))</f>
        <v>0</v>
      </c>
      <c r="Q697" s="46" t="s">
        <v>149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149</v>
      </c>
      <c r="P698" s="46">
        <f>HEX2DEC(RIGHT(Table13232127[[#This Row],[h1]],8))</f>
        <v>0</v>
      </c>
      <c r="Q698" s="46" t="s">
        <v>149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149</v>
      </c>
      <c r="P699" s="46">
        <f>HEX2DEC(RIGHT(Table13232127[[#This Row],[h1]],8))</f>
        <v>0</v>
      </c>
      <c r="Q699" s="46" t="s">
        <v>149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149</v>
      </c>
      <c r="P700" s="46">
        <f>HEX2DEC(RIGHT(Table13232127[[#This Row],[h1]],8))</f>
        <v>0</v>
      </c>
      <c r="Q700" s="46" t="s">
        <v>149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149</v>
      </c>
      <c r="P701" s="46">
        <f>HEX2DEC(RIGHT(Table13232127[[#This Row],[h1]],8))</f>
        <v>0</v>
      </c>
      <c r="Q701" s="46" t="s">
        <v>149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149</v>
      </c>
      <c r="P702" s="46">
        <f>HEX2DEC(RIGHT(Table13232127[[#This Row],[h1]],8))</f>
        <v>0</v>
      </c>
      <c r="Q702" s="46" t="s">
        <v>149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149</v>
      </c>
      <c r="P703" s="46">
        <f>HEX2DEC(RIGHT(Table13232127[[#This Row],[h1]],8))</f>
        <v>0</v>
      </c>
      <c r="Q703" s="46" t="s">
        <v>149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149</v>
      </c>
      <c r="P704" s="46">
        <f>HEX2DEC(RIGHT(Table13232127[[#This Row],[h1]],8))</f>
        <v>0</v>
      </c>
      <c r="Q704" s="46" t="s">
        <v>149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149</v>
      </c>
      <c r="P705" s="46">
        <f>HEX2DEC(RIGHT(Table13232127[[#This Row],[h1]],8))</f>
        <v>0</v>
      </c>
      <c r="Q705" s="46" t="s">
        <v>149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149</v>
      </c>
      <c r="P706" s="46">
        <f>HEX2DEC(RIGHT(Table13232127[[#This Row],[h1]],8))</f>
        <v>0</v>
      </c>
      <c r="Q706" s="46" t="s">
        <v>149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149</v>
      </c>
      <c r="P707" s="46">
        <f>HEX2DEC(RIGHT(Table13232127[[#This Row],[h1]],8))</f>
        <v>0</v>
      </c>
      <c r="Q707" s="46" t="s">
        <v>149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149</v>
      </c>
      <c r="P708" s="46">
        <f>HEX2DEC(RIGHT(Table13232127[[#This Row],[h1]],8))</f>
        <v>0</v>
      </c>
      <c r="Q708" s="46" t="s">
        <v>149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149</v>
      </c>
      <c r="P709" s="46">
        <f>HEX2DEC(RIGHT(Table13232127[[#This Row],[h1]],8))</f>
        <v>0</v>
      </c>
      <c r="Q709" s="46" t="s">
        <v>149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149</v>
      </c>
      <c r="P710" s="46">
        <f>HEX2DEC(RIGHT(Table13232127[[#This Row],[h1]],8))</f>
        <v>0</v>
      </c>
      <c r="Q710" s="46" t="s">
        <v>149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149</v>
      </c>
      <c r="P711" s="46">
        <f>HEX2DEC(RIGHT(Table13232127[[#This Row],[h1]],8))</f>
        <v>0</v>
      </c>
      <c r="Q711" s="46" t="s">
        <v>149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149</v>
      </c>
      <c r="P712" s="46">
        <f>HEX2DEC(RIGHT(Table13232127[[#This Row],[h1]],8))</f>
        <v>0</v>
      </c>
      <c r="Q712" s="46" t="s">
        <v>149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149</v>
      </c>
      <c r="P713" s="46">
        <f>HEX2DEC(RIGHT(Table13232127[[#This Row],[h1]],8))</f>
        <v>0</v>
      </c>
      <c r="Q713" s="46" t="s">
        <v>149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149</v>
      </c>
      <c r="P714" s="46">
        <f>HEX2DEC(RIGHT(Table13232127[[#This Row],[h1]],8))</f>
        <v>0</v>
      </c>
      <c r="Q714" s="46" t="s">
        <v>149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149</v>
      </c>
      <c r="P715" s="46">
        <f>HEX2DEC(RIGHT(Table13232127[[#This Row],[h1]],8))</f>
        <v>0</v>
      </c>
      <c r="Q715" s="46" t="s">
        <v>149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149</v>
      </c>
      <c r="P716" s="46">
        <f>HEX2DEC(RIGHT(Table13232127[[#This Row],[h1]],8))</f>
        <v>0</v>
      </c>
      <c r="Q716" s="46" t="s">
        <v>149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149</v>
      </c>
      <c r="P717" s="46">
        <f>HEX2DEC(RIGHT(Table13232127[[#This Row],[h1]],8))</f>
        <v>0</v>
      </c>
      <c r="Q717" s="46" t="s">
        <v>149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149</v>
      </c>
      <c r="P718" s="46">
        <f>HEX2DEC(RIGHT(Table13232127[[#This Row],[h1]],8))</f>
        <v>0</v>
      </c>
      <c r="Q718" s="46" t="s">
        <v>149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149</v>
      </c>
      <c r="P719" s="46">
        <f>HEX2DEC(RIGHT(Table13232127[[#This Row],[h1]],8))</f>
        <v>0</v>
      </c>
      <c r="Q719" s="46" t="s">
        <v>149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149</v>
      </c>
      <c r="P720" s="46">
        <f>HEX2DEC(RIGHT(Table13232127[[#This Row],[h1]],8))</f>
        <v>0</v>
      </c>
      <c r="Q720" s="46" t="s">
        <v>149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149</v>
      </c>
      <c r="P721" s="46">
        <f>HEX2DEC(RIGHT(Table13232127[[#This Row],[h1]],8))</f>
        <v>0</v>
      </c>
      <c r="Q721" s="46" t="s">
        <v>149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149</v>
      </c>
      <c r="P722" s="46">
        <f>HEX2DEC(RIGHT(Table13232127[[#This Row],[h1]],8))</f>
        <v>0</v>
      </c>
      <c r="Q722" s="46" t="s">
        <v>149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149</v>
      </c>
      <c r="P723" s="46">
        <f>HEX2DEC(RIGHT(Table13232127[[#This Row],[h1]],8))</f>
        <v>0</v>
      </c>
      <c r="Q723" s="46" t="s">
        <v>149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149</v>
      </c>
      <c r="P724" s="46">
        <f>HEX2DEC(RIGHT(Table13232127[[#This Row],[h1]],8))</f>
        <v>0</v>
      </c>
      <c r="Q724" s="46" t="s">
        <v>149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149</v>
      </c>
      <c r="P725" s="46">
        <f>HEX2DEC(RIGHT(Table13232127[[#This Row],[h1]],8))</f>
        <v>0</v>
      </c>
      <c r="Q725" s="46" t="s">
        <v>149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149</v>
      </c>
      <c r="P726" s="46">
        <f>HEX2DEC(RIGHT(Table13232127[[#This Row],[h1]],8))</f>
        <v>0</v>
      </c>
      <c r="Q726" s="46" t="s">
        <v>149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149</v>
      </c>
      <c r="P727" s="46">
        <f>HEX2DEC(RIGHT(Table13232127[[#This Row],[h1]],8))</f>
        <v>0</v>
      </c>
      <c r="Q727" s="46" t="s">
        <v>149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149</v>
      </c>
      <c r="P728" s="46">
        <f>HEX2DEC(RIGHT(Table13232127[[#This Row],[h1]],8))</f>
        <v>0</v>
      </c>
      <c r="Q728" s="46" t="s">
        <v>149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149</v>
      </c>
      <c r="P729" s="46">
        <f>HEX2DEC(RIGHT(Table13232127[[#This Row],[h1]],8))</f>
        <v>0</v>
      </c>
      <c r="Q729" s="46" t="s">
        <v>149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149</v>
      </c>
      <c r="P730" s="46">
        <f>HEX2DEC(RIGHT(Table13232127[[#This Row],[h1]],8))</f>
        <v>0</v>
      </c>
      <c r="Q730" s="46" t="s">
        <v>149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149</v>
      </c>
      <c r="P731" s="46">
        <f>HEX2DEC(RIGHT(Table13232127[[#This Row],[h1]],8))</f>
        <v>0</v>
      </c>
      <c r="Q731" s="46" t="s">
        <v>149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149</v>
      </c>
      <c r="P732" s="46">
        <f>HEX2DEC(RIGHT(Table13232127[[#This Row],[h1]],8))</f>
        <v>0</v>
      </c>
      <c r="Q732" s="46" t="s">
        <v>149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149</v>
      </c>
      <c r="P733" s="46">
        <f>HEX2DEC(RIGHT(Table13232127[[#This Row],[h1]],8))</f>
        <v>0</v>
      </c>
      <c r="Q733" s="46" t="s">
        <v>149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149</v>
      </c>
      <c r="P734" s="46">
        <f>HEX2DEC(RIGHT(Table13232127[[#This Row],[h1]],8))</f>
        <v>0</v>
      </c>
      <c r="Q734" s="46" t="s">
        <v>149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149</v>
      </c>
      <c r="P735" s="46">
        <f>HEX2DEC(RIGHT(Table13232127[[#This Row],[h1]],8))</f>
        <v>0</v>
      </c>
      <c r="Q735" s="46" t="s">
        <v>149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149</v>
      </c>
      <c r="P736" s="46">
        <f>HEX2DEC(RIGHT(Table13232127[[#This Row],[h1]],8))</f>
        <v>0</v>
      </c>
      <c r="Q736" s="46" t="s">
        <v>149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149</v>
      </c>
      <c r="P737" s="46">
        <f>HEX2DEC(RIGHT(Table13232127[[#This Row],[h1]],8))</f>
        <v>0</v>
      </c>
      <c r="Q737" s="46" t="s">
        <v>149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149</v>
      </c>
      <c r="P738" s="46">
        <f>HEX2DEC(RIGHT(Table13232127[[#This Row],[h1]],8))</f>
        <v>0</v>
      </c>
      <c r="Q738" s="46" t="s">
        <v>149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149</v>
      </c>
      <c r="P739" s="46">
        <f>HEX2DEC(RIGHT(Table13232127[[#This Row],[h1]],8))</f>
        <v>0</v>
      </c>
      <c r="Q739" s="46" t="s">
        <v>149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149</v>
      </c>
      <c r="P740" s="46">
        <f>HEX2DEC(RIGHT(Table13232127[[#This Row],[h1]],8))</f>
        <v>0</v>
      </c>
      <c r="Q740" s="46" t="s">
        <v>149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149</v>
      </c>
      <c r="P741" s="46">
        <f>HEX2DEC(RIGHT(Table13232127[[#This Row],[h1]],8))</f>
        <v>0</v>
      </c>
      <c r="Q741" s="46" t="s">
        <v>149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149</v>
      </c>
      <c r="P742" s="46">
        <f>HEX2DEC(RIGHT(Table13232127[[#This Row],[h1]],8))</f>
        <v>0</v>
      </c>
      <c r="Q742" s="46" t="s">
        <v>149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149</v>
      </c>
      <c r="P743" s="46">
        <f>HEX2DEC(RIGHT(Table13232127[[#This Row],[h1]],8))</f>
        <v>0</v>
      </c>
      <c r="Q743" s="46" t="s">
        <v>149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149</v>
      </c>
      <c r="P744" s="46">
        <f>HEX2DEC(RIGHT(Table13232127[[#This Row],[h1]],8))</f>
        <v>0</v>
      </c>
      <c r="Q744" s="46" t="s">
        <v>149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149</v>
      </c>
      <c r="P745" s="46">
        <f>HEX2DEC(RIGHT(Table13232127[[#This Row],[h1]],8))</f>
        <v>0</v>
      </c>
      <c r="Q745" s="46" t="s">
        <v>149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149</v>
      </c>
      <c r="P746" s="46">
        <f>HEX2DEC(RIGHT(Table13232127[[#This Row],[h1]],8))</f>
        <v>0</v>
      </c>
      <c r="Q746" s="46" t="s">
        <v>149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149</v>
      </c>
      <c r="P747" s="46">
        <f>HEX2DEC(RIGHT(Table13232127[[#This Row],[h1]],8))</f>
        <v>0</v>
      </c>
      <c r="Q747" s="46" t="s">
        <v>149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149</v>
      </c>
      <c r="P748" s="46">
        <f>HEX2DEC(RIGHT(Table13232127[[#This Row],[h1]],8))</f>
        <v>0</v>
      </c>
      <c r="Q748" s="46" t="s">
        <v>149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149</v>
      </c>
      <c r="P749" s="46">
        <f>HEX2DEC(RIGHT(Table13232127[[#This Row],[h1]],8))</f>
        <v>0</v>
      </c>
      <c r="Q749" s="46" t="s">
        <v>149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149</v>
      </c>
      <c r="P750" s="46">
        <f>HEX2DEC(RIGHT(Table13232127[[#This Row],[h1]],8))</f>
        <v>0</v>
      </c>
      <c r="Q750" s="46" t="s">
        <v>149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149</v>
      </c>
      <c r="P751" s="46">
        <f>HEX2DEC(RIGHT(Table13232127[[#This Row],[h1]],8))</f>
        <v>0</v>
      </c>
      <c r="Q751" s="46" t="s">
        <v>149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149</v>
      </c>
      <c r="P752" s="46">
        <f>HEX2DEC(RIGHT(Table13232127[[#This Row],[h1]],8))</f>
        <v>0</v>
      </c>
      <c r="Q752" s="46" t="s">
        <v>149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149</v>
      </c>
      <c r="P753" s="46">
        <f>HEX2DEC(RIGHT(Table13232127[[#This Row],[h1]],8))</f>
        <v>0</v>
      </c>
      <c r="Q753" s="46" t="s">
        <v>149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149</v>
      </c>
      <c r="P754" s="46">
        <f>HEX2DEC(RIGHT(Table13232127[[#This Row],[h1]],8))</f>
        <v>0</v>
      </c>
      <c r="Q754" s="46" t="s">
        <v>149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149</v>
      </c>
      <c r="P755" s="46">
        <f>HEX2DEC(RIGHT(Table13232127[[#This Row],[h1]],8))</f>
        <v>0</v>
      </c>
      <c r="Q755" s="46" t="s">
        <v>149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149</v>
      </c>
      <c r="P756" s="46">
        <f>HEX2DEC(RIGHT(Table13232127[[#This Row],[h1]],8))</f>
        <v>0</v>
      </c>
      <c r="Q756" s="46" t="s">
        <v>149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149</v>
      </c>
      <c r="P757" s="46">
        <f>HEX2DEC(RIGHT(Table13232127[[#This Row],[h1]],8))</f>
        <v>0</v>
      </c>
      <c r="Q757" s="46" t="s">
        <v>149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149</v>
      </c>
      <c r="P758" s="46">
        <f>HEX2DEC(RIGHT(Table13232127[[#This Row],[h1]],8))</f>
        <v>0</v>
      </c>
      <c r="Q758" s="46" t="s">
        <v>149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149</v>
      </c>
      <c r="P759" s="46">
        <f>HEX2DEC(RIGHT(Table13232127[[#This Row],[h1]],8))</f>
        <v>0</v>
      </c>
      <c r="Q759" s="46" t="s">
        <v>149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149</v>
      </c>
      <c r="P760" s="46">
        <f>HEX2DEC(RIGHT(Table13232127[[#This Row],[h1]],8))</f>
        <v>0</v>
      </c>
      <c r="Q760" s="46" t="s">
        <v>149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149</v>
      </c>
      <c r="P761" s="46">
        <f>HEX2DEC(RIGHT(Table13232127[[#This Row],[h1]],8))</f>
        <v>0</v>
      </c>
      <c r="Q761" s="46" t="s">
        <v>149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149</v>
      </c>
      <c r="P762" s="46">
        <f>HEX2DEC(RIGHT(Table13232127[[#This Row],[h1]],8))</f>
        <v>0</v>
      </c>
      <c r="Q762" s="46" t="s">
        <v>149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149</v>
      </c>
      <c r="P763" s="46">
        <f>HEX2DEC(RIGHT(Table13232127[[#This Row],[h1]],8))</f>
        <v>0</v>
      </c>
      <c r="Q763" s="46" t="s">
        <v>149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149</v>
      </c>
      <c r="P764" s="46">
        <f>HEX2DEC(RIGHT(Table13232127[[#This Row],[h1]],8))</f>
        <v>0</v>
      </c>
      <c r="Q764" s="46" t="s">
        <v>149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149</v>
      </c>
      <c r="P765" s="46">
        <f>HEX2DEC(RIGHT(Table13232127[[#This Row],[h1]],8))</f>
        <v>0</v>
      </c>
      <c r="Q765" s="46" t="s">
        <v>149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149</v>
      </c>
      <c r="P766" s="46">
        <f>HEX2DEC(RIGHT(Table13232127[[#This Row],[h1]],8))</f>
        <v>0</v>
      </c>
      <c r="Q766" s="46" t="s">
        <v>149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149</v>
      </c>
      <c r="P767" s="46">
        <f>HEX2DEC(RIGHT(Table13232127[[#This Row],[h1]],8))</f>
        <v>0</v>
      </c>
      <c r="Q767" s="46" t="s">
        <v>149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149</v>
      </c>
      <c r="P768" s="46">
        <f>HEX2DEC(RIGHT(Table13232127[[#This Row],[h1]],8))</f>
        <v>0</v>
      </c>
      <c r="Q768" s="46" t="s">
        <v>149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149</v>
      </c>
      <c r="P769" s="46">
        <f>HEX2DEC(RIGHT(Table13232127[[#This Row],[h1]],8))</f>
        <v>0</v>
      </c>
      <c r="Q769" s="46" t="s">
        <v>149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149</v>
      </c>
      <c r="P770" s="46">
        <f>HEX2DEC(RIGHT(Table13232127[[#This Row],[h1]],8))</f>
        <v>0</v>
      </c>
      <c r="Q770" s="46" t="s">
        <v>149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149</v>
      </c>
      <c r="P771" s="46">
        <f>HEX2DEC(RIGHT(Table13232127[[#This Row],[h1]],8))</f>
        <v>0</v>
      </c>
      <c r="Q771" s="46" t="s">
        <v>149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149</v>
      </c>
      <c r="P772" s="46">
        <f>HEX2DEC(RIGHT(Table13232127[[#This Row],[h1]],8))</f>
        <v>0</v>
      </c>
      <c r="Q772" s="46" t="s">
        <v>149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149</v>
      </c>
      <c r="P773" s="46">
        <f>HEX2DEC(RIGHT(Table13232127[[#This Row],[h1]],8))</f>
        <v>0</v>
      </c>
      <c r="Q773" s="46" t="s">
        <v>149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149</v>
      </c>
      <c r="P774" s="46">
        <f>HEX2DEC(RIGHT(Table13232127[[#This Row],[h1]],8))</f>
        <v>0</v>
      </c>
      <c r="Q774" s="46" t="s">
        <v>149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149</v>
      </c>
      <c r="P775" s="46">
        <f>HEX2DEC(RIGHT(Table13232127[[#This Row],[h1]],8))</f>
        <v>0</v>
      </c>
      <c r="Q775" s="46" t="s">
        <v>149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149</v>
      </c>
      <c r="P776" s="46">
        <f>HEX2DEC(RIGHT(Table13232127[[#This Row],[h1]],8))</f>
        <v>0</v>
      </c>
      <c r="Q776" s="46" t="s">
        <v>149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149</v>
      </c>
      <c r="P777" s="46">
        <f>HEX2DEC(RIGHT(Table13232127[[#This Row],[h1]],8))</f>
        <v>0</v>
      </c>
      <c r="Q777" s="46" t="s">
        <v>149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149</v>
      </c>
      <c r="P778" s="46">
        <f>HEX2DEC(RIGHT(Table13232127[[#This Row],[h1]],8))</f>
        <v>0</v>
      </c>
      <c r="Q778" s="46" t="s">
        <v>149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149</v>
      </c>
      <c r="P779" s="46">
        <f>HEX2DEC(RIGHT(Table13232127[[#This Row],[h1]],8))</f>
        <v>0</v>
      </c>
      <c r="Q779" s="46" t="s">
        <v>149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149</v>
      </c>
      <c r="P780" s="46">
        <f>HEX2DEC(RIGHT(Table13232127[[#This Row],[h1]],8))</f>
        <v>0</v>
      </c>
      <c r="Q780" s="46" t="s">
        <v>149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149</v>
      </c>
      <c r="P781" s="46">
        <f>HEX2DEC(RIGHT(Table13232127[[#This Row],[h1]],8))</f>
        <v>0</v>
      </c>
      <c r="Q781" s="46" t="s">
        <v>149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149</v>
      </c>
      <c r="P782" s="46">
        <f>HEX2DEC(RIGHT(Table13232127[[#This Row],[h1]],8))</f>
        <v>0</v>
      </c>
      <c r="Q782" s="46" t="s">
        <v>149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149</v>
      </c>
      <c r="P783" s="46">
        <f>HEX2DEC(RIGHT(Table13232127[[#This Row],[h1]],8))</f>
        <v>0</v>
      </c>
      <c r="Q783" s="46" t="s">
        <v>149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149</v>
      </c>
      <c r="P784" s="46">
        <f>HEX2DEC(RIGHT(Table13232127[[#This Row],[h1]],8))</f>
        <v>0</v>
      </c>
      <c r="Q784" s="46" t="s">
        <v>149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149</v>
      </c>
      <c r="P785" s="46">
        <f>HEX2DEC(RIGHT(Table13232127[[#This Row],[h1]],8))</f>
        <v>0</v>
      </c>
      <c r="Q785" s="46" t="s">
        <v>149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149</v>
      </c>
      <c r="P786" s="46">
        <f>HEX2DEC(RIGHT(Table13232127[[#This Row],[h1]],8))</f>
        <v>0</v>
      </c>
      <c r="Q786" s="46" t="s">
        <v>149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149</v>
      </c>
      <c r="P787" s="46">
        <f>HEX2DEC(RIGHT(Table13232127[[#This Row],[h1]],8))</f>
        <v>0</v>
      </c>
      <c r="Q787" s="46" t="s">
        <v>149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149</v>
      </c>
      <c r="P788" s="46">
        <f>HEX2DEC(RIGHT(Table13232127[[#This Row],[h1]],8))</f>
        <v>0</v>
      </c>
      <c r="Q788" s="46" t="s">
        <v>149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149</v>
      </c>
      <c r="P789" s="46">
        <f>HEX2DEC(RIGHT(Table13232127[[#This Row],[h1]],8))</f>
        <v>0</v>
      </c>
      <c r="Q789" s="46" t="s">
        <v>149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149</v>
      </c>
      <c r="P790" s="46">
        <f>HEX2DEC(RIGHT(Table13232127[[#This Row],[h1]],8))</f>
        <v>0</v>
      </c>
      <c r="Q790" s="46" t="s">
        <v>149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149</v>
      </c>
      <c r="P791" s="46">
        <f>HEX2DEC(RIGHT(Table13232127[[#This Row],[h1]],8))</f>
        <v>0</v>
      </c>
      <c r="Q791" s="46" t="s">
        <v>149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149</v>
      </c>
      <c r="P792" s="46">
        <f>HEX2DEC(RIGHT(Table13232127[[#This Row],[h1]],8))</f>
        <v>0</v>
      </c>
      <c r="Q792" s="46" t="s">
        <v>149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149</v>
      </c>
      <c r="P793" s="46">
        <f>HEX2DEC(RIGHT(Table13232127[[#This Row],[h1]],8))</f>
        <v>0</v>
      </c>
      <c r="Q793" s="46" t="s">
        <v>149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149</v>
      </c>
      <c r="P794" s="46">
        <f>HEX2DEC(RIGHT(Table13232127[[#This Row],[h1]],8))</f>
        <v>0</v>
      </c>
      <c r="Q794" s="46" t="s">
        <v>149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149</v>
      </c>
      <c r="P795" s="46">
        <f>HEX2DEC(RIGHT(Table13232127[[#This Row],[h1]],8))</f>
        <v>0</v>
      </c>
      <c r="Q795" s="46" t="s">
        <v>149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149</v>
      </c>
      <c r="P796" s="46">
        <f>HEX2DEC(RIGHT(Table13232127[[#This Row],[h1]],8))</f>
        <v>0</v>
      </c>
      <c r="Q796" s="46" t="s">
        <v>149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149</v>
      </c>
      <c r="P797" s="46">
        <f>HEX2DEC(RIGHT(Table13232127[[#This Row],[h1]],8))</f>
        <v>0</v>
      </c>
      <c r="Q797" s="46" t="s">
        <v>149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149</v>
      </c>
      <c r="P798" s="46">
        <f>HEX2DEC(RIGHT(Table13232127[[#This Row],[h1]],8))</f>
        <v>0</v>
      </c>
      <c r="Q798" s="46" t="s">
        <v>149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149</v>
      </c>
      <c r="P799" s="46">
        <f>HEX2DEC(RIGHT(Table13232127[[#This Row],[h1]],8))</f>
        <v>0</v>
      </c>
      <c r="Q799" s="46" t="s">
        <v>149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149</v>
      </c>
      <c r="P800" s="46">
        <f>HEX2DEC(RIGHT(Table13232127[[#This Row],[h1]],8))</f>
        <v>0</v>
      </c>
      <c r="Q800" s="46" t="s">
        <v>149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149</v>
      </c>
      <c r="P801" s="46">
        <f>HEX2DEC(RIGHT(Table13232127[[#This Row],[h1]],8))</f>
        <v>0</v>
      </c>
      <c r="Q801" s="46" t="s">
        <v>149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149</v>
      </c>
      <c r="P802" s="46">
        <f>HEX2DEC(RIGHT(Table13232127[[#This Row],[h1]],8))</f>
        <v>0</v>
      </c>
      <c r="Q802" s="46" t="s">
        <v>149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149</v>
      </c>
      <c r="P803" s="46">
        <f>HEX2DEC(RIGHT(Table13232127[[#This Row],[h1]],8))</f>
        <v>0</v>
      </c>
      <c r="Q803" s="46" t="s">
        <v>149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149</v>
      </c>
      <c r="P804" s="46">
        <f>HEX2DEC(RIGHT(Table13232127[[#This Row],[h1]],8))</f>
        <v>0</v>
      </c>
      <c r="Q804" s="46" t="s">
        <v>149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149</v>
      </c>
      <c r="P805" s="46">
        <f>HEX2DEC(RIGHT(Table13232127[[#This Row],[h1]],8))</f>
        <v>0</v>
      </c>
      <c r="Q805" s="46" t="s">
        <v>149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149</v>
      </c>
      <c r="P806" s="46">
        <f>HEX2DEC(RIGHT(Table13232127[[#This Row],[h1]],8))</f>
        <v>0</v>
      </c>
      <c r="Q806" s="46" t="s">
        <v>149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149</v>
      </c>
      <c r="P807" s="46">
        <f>HEX2DEC(RIGHT(Table13232127[[#This Row],[h1]],8))</f>
        <v>0</v>
      </c>
      <c r="Q807" s="46" t="s">
        <v>149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149</v>
      </c>
      <c r="P808" s="46">
        <f>HEX2DEC(RIGHT(Table13232127[[#This Row],[h1]],8))</f>
        <v>0</v>
      </c>
      <c r="Q808" s="46" t="s">
        <v>149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149</v>
      </c>
      <c r="P809" s="46">
        <f>HEX2DEC(RIGHT(Table13232127[[#This Row],[h1]],8))</f>
        <v>0</v>
      </c>
      <c r="Q809" s="46" t="s">
        <v>149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149</v>
      </c>
      <c r="P810" s="46">
        <f>HEX2DEC(RIGHT(Table13232127[[#This Row],[h1]],8))</f>
        <v>0</v>
      </c>
      <c r="Q810" s="46" t="s">
        <v>149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149</v>
      </c>
      <c r="P811" s="46">
        <f>HEX2DEC(RIGHT(Table13232127[[#This Row],[h1]],8))</f>
        <v>0</v>
      </c>
      <c r="Q811" s="46" t="s">
        <v>149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149</v>
      </c>
      <c r="P812" s="46">
        <f>HEX2DEC(RIGHT(Table13232127[[#This Row],[h1]],8))</f>
        <v>0</v>
      </c>
      <c r="Q812" s="46" t="s">
        <v>149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149</v>
      </c>
      <c r="P813" s="46">
        <f>HEX2DEC(RIGHT(Table13232127[[#This Row],[h1]],8))</f>
        <v>0</v>
      </c>
      <c r="Q813" s="46" t="s">
        <v>149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149</v>
      </c>
      <c r="P814" s="46">
        <f>HEX2DEC(RIGHT(Table13232127[[#This Row],[h1]],8))</f>
        <v>0</v>
      </c>
      <c r="Q814" s="46" t="s">
        <v>149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149</v>
      </c>
      <c r="P815" s="46">
        <f>HEX2DEC(RIGHT(Table13232127[[#This Row],[h1]],8))</f>
        <v>0</v>
      </c>
      <c r="Q815" s="46" t="s">
        <v>149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149</v>
      </c>
      <c r="P816" s="46">
        <f>HEX2DEC(RIGHT(Table13232127[[#This Row],[h1]],8))</f>
        <v>0</v>
      </c>
      <c r="Q816" s="46" t="s">
        <v>149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149</v>
      </c>
      <c r="P817" s="46">
        <f>HEX2DEC(RIGHT(Table13232127[[#This Row],[h1]],8))</f>
        <v>0</v>
      </c>
      <c r="Q817" s="46" t="s">
        <v>149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149</v>
      </c>
      <c r="P818" s="46">
        <f>HEX2DEC(RIGHT(Table13232127[[#This Row],[h1]],8))</f>
        <v>0</v>
      </c>
      <c r="Q818" s="46" t="s">
        <v>149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149</v>
      </c>
      <c r="P819" s="46">
        <f>HEX2DEC(RIGHT(Table13232127[[#This Row],[h1]],8))</f>
        <v>0</v>
      </c>
      <c r="Q819" s="46" t="s">
        <v>149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149</v>
      </c>
      <c r="P820" s="46">
        <f>HEX2DEC(RIGHT(Table13232127[[#This Row],[h1]],8))</f>
        <v>0</v>
      </c>
      <c r="Q820" s="46" t="s">
        <v>149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149</v>
      </c>
      <c r="P821" s="46">
        <f>HEX2DEC(RIGHT(Table13232127[[#This Row],[h1]],8))</f>
        <v>0</v>
      </c>
      <c r="Q821" s="46" t="s">
        <v>149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149</v>
      </c>
      <c r="P822" s="46">
        <f>HEX2DEC(RIGHT(Table13232127[[#This Row],[h1]],8))</f>
        <v>0</v>
      </c>
      <c r="Q822" s="46" t="s">
        <v>149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149</v>
      </c>
      <c r="P823" s="46">
        <f>HEX2DEC(RIGHT(Table13232127[[#This Row],[h1]],8))</f>
        <v>0</v>
      </c>
      <c r="Q823" s="46" t="s">
        <v>149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149</v>
      </c>
      <c r="P824" s="46">
        <f>HEX2DEC(RIGHT(Table13232127[[#This Row],[h1]],8))</f>
        <v>0</v>
      </c>
      <c r="Q824" s="46" t="s">
        <v>149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149</v>
      </c>
      <c r="P825" s="46">
        <f>HEX2DEC(RIGHT(Table13232127[[#This Row],[h1]],8))</f>
        <v>0</v>
      </c>
      <c r="Q825" s="46" t="s">
        <v>149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149</v>
      </c>
      <c r="P826" s="46">
        <f>HEX2DEC(RIGHT(Table13232127[[#This Row],[h1]],8))</f>
        <v>0</v>
      </c>
      <c r="Q826" s="46" t="s">
        <v>149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149</v>
      </c>
      <c r="P827" s="46">
        <f>HEX2DEC(RIGHT(Table13232127[[#This Row],[h1]],8))</f>
        <v>0</v>
      </c>
      <c r="Q827" s="46" t="s">
        <v>149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149</v>
      </c>
      <c r="P828" s="46">
        <f>HEX2DEC(RIGHT(Table13232127[[#This Row],[h1]],8))</f>
        <v>0</v>
      </c>
      <c r="Q828" s="46" t="s">
        <v>149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149</v>
      </c>
      <c r="P829" s="46">
        <f>HEX2DEC(RIGHT(Table13232127[[#This Row],[h1]],8))</f>
        <v>0</v>
      </c>
      <c r="Q829" s="46" t="s">
        <v>149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149</v>
      </c>
      <c r="P830" s="46">
        <f>HEX2DEC(RIGHT(Table13232127[[#This Row],[h1]],8))</f>
        <v>0</v>
      </c>
      <c r="Q830" s="46" t="s">
        <v>149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149</v>
      </c>
      <c r="P831" s="46">
        <f>HEX2DEC(RIGHT(Table13232127[[#This Row],[h1]],8))</f>
        <v>0</v>
      </c>
      <c r="Q831" s="46" t="s">
        <v>149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149</v>
      </c>
      <c r="P832" s="46">
        <f>HEX2DEC(RIGHT(Table13232127[[#This Row],[h1]],8))</f>
        <v>0</v>
      </c>
      <c r="Q832" s="46" t="s">
        <v>149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149</v>
      </c>
      <c r="P833" s="46">
        <f>HEX2DEC(RIGHT(Table13232127[[#This Row],[h1]],8))</f>
        <v>0</v>
      </c>
      <c r="Q833" s="46" t="s">
        <v>149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149</v>
      </c>
      <c r="P834" s="46">
        <f>HEX2DEC(RIGHT(Table13232127[[#This Row],[h1]],8))</f>
        <v>0</v>
      </c>
      <c r="Q834" s="46" t="s">
        <v>149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149</v>
      </c>
      <c r="P835" s="46">
        <f>HEX2DEC(RIGHT(Table13232127[[#This Row],[h1]],8))</f>
        <v>0</v>
      </c>
      <c r="Q835" s="46" t="s">
        <v>149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149</v>
      </c>
      <c r="P836" s="46">
        <f>HEX2DEC(RIGHT(Table13232127[[#This Row],[h1]],8))</f>
        <v>0</v>
      </c>
      <c r="Q836" s="46" t="s">
        <v>149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149</v>
      </c>
      <c r="P837" s="46">
        <f>HEX2DEC(RIGHT(Table13232127[[#This Row],[h1]],8))</f>
        <v>0</v>
      </c>
      <c r="Q837" s="46" t="s">
        <v>149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149</v>
      </c>
      <c r="P838" s="46">
        <f>HEX2DEC(RIGHT(Table13232127[[#This Row],[h1]],8))</f>
        <v>0</v>
      </c>
      <c r="Q838" s="46" t="s">
        <v>149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149</v>
      </c>
      <c r="P839" s="46">
        <f>HEX2DEC(RIGHT(Table13232127[[#This Row],[h1]],8))</f>
        <v>0</v>
      </c>
      <c r="Q839" s="46" t="s">
        <v>149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149</v>
      </c>
      <c r="P840" s="46">
        <f>HEX2DEC(RIGHT(Table13232127[[#This Row],[h1]],8))</f>
        <v>0</v>
      </c>
      <c r="Q840" s="46" t="s">
        <v>149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149</v>
      </c>
      <c r="P841" s="46">
        <f>HEX2DEC(RIGHT(Table13232127[[#This Row],[h1]],8))</f>
        <v>0</v>
      </c>
      <c r="Q841" s="46" t="s">
        <v>149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149</v>
      </c>
      <c r="P842" s="46">
        <f>HEX2DEC(RIGHT(Table13232127[[#This Row],[h1]],8))</f>
        <v>0</v>
      </c>
      <c r="Q842" s="46" t="s">
        <v>149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149</v>
      </c>
      <c r="P843" s="46">
        <f>HEX2DEC(RIGHT(Table13232127[[#This Row],[h1]],8))</f>
        <v>0</v>
      </c>
      <c r="Q843" s="46" t="s">
        <v>149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149</v>
      </c>
      <c r="P844" s="46">
        <f>HEX2DEC(RIGHT(Table13232127[[#This Row],[h1]],8))</f>
        <v>0</v>
      </c>
      <c r="Q844" s="46" t="s">
        <v>149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149</v>
      </c>
      <c r="P845" s="46">
        <f>HEX2DEC(RIGHT(Table13232127[[#This Row],[h1]],8))</f>
        <v>0</v>
      </c>
      <c r="Q845" s="46" t="s">
        <v>149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149</v>
      </c>
      <c r="P846" s="46">
        <f>HEX2DEC(RIGHT(Table13232127[[#This Row],[h1]],8))</f>
        <v>0</v>
      </c>
      <c r="Q846" s="46" t="s">
        <v>149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149</v>
      </c>
      <c r="P847" s="46">
        <f>HEX2DEC(RIGHT(Table13232127[[#This Row],[h1]],8))</f>
        <v>0</v>
      </c>
      <c r="Q847" s="46" t="s">
        <v>149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149</v>
      </c>
      <c r="P848" s="46">
        <f>HEX2DEC(RIGHT(Table13232127[[#This Row],[h1]],8))</f>
        <v>0</v>
      </c>
      <c r="Q848" s="46" t="s">
        <v>149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149</v>
      </c>
      <c r="P849" s="46">
        <f>HEX2DEC(RIGHT(Table13232127[[#This Row],[h1]],8))</f>
        <v>0</v>
      </c>
      <c r="Q849" s="46" t="s">
        <v>149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149</v>
      </c>
      <c r="P850" s="46">
        <f>HEX2DEC(RIGHT(Table13232127[[#This Row],[h1]],8))</f>
        <v>0</v>
      </c>
      <c r="Q850" s="46" t="s">
        <v>149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149</v>
      </c>
      <c r="P851" s="46">
        <f>HEX2DEC(RIGHT(Table13232127[[#This Row],[h1]],8))</f>
        <v>0</v>
      </c>
      <c r="Q851" s="46" t="s">
        <v>149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149</v>
      </c>
      <c r="P852" s="46">
        <f>HEX2DEC(RIGHT(Table13232127[[#This Row],[h1]],8))</f>
        <v>0</v>
      </c>
      <c r="Q852" s="46" t="s">
        <v>149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149</v>
      </c>
      <c r="P853" s="46">
        <f>HEX2DEC(RIGHT(Table13232127[[#This Row],[h1]],8))</f>
        <v>0</v>
      </c>
      <c r="Q853" s="46" t="s">
        <v>149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149</v>
      </c>
      <c r="P854" s="46">
        <f>HEX2DEC(RIGHT(Table13232127[[#This Row],[h1]],8))</f>
        <v>0</v>
      </c>
      <c r="Q854" s="46" t="s">
        <v>149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149</v>
      </c>
      <c r="P855" s="46">
        <f>HEX2DEC(RIGHT(Table13232127[[#This Row],[h1]],8))</f>
        <v>0</v>
      </c>
      <c r="Q855" s="46" t="s">
        <v>149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149</v>
      </c>
      <c r="P856" s="46">
        <f>HEX2DEC(RIGHT(Table13232127[[#This Row],[h1]],8))</f>
        <v>0</v>
      </c>
      <c r="Q856" s="46" t="s">
        <v>149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149</v>
      </c>
      <c r="P857" s="46">
        <f>HEX2DEC(RIGHT(Table13232127[[#This Row],[h1]],8))</f>
        <v>0</v>
      </c>
      <c r="Q857" s="46" t="s">
        <v>149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149</v>
      </c>
      <c r="P858" s="46">
        <f>HEX2DEC(RIGHT(Table13232127[[#This Row],[h1]],8))</f>
        <v>0</v>
      </c>
      <c r="Q858" s="46" t="s">
        <v>149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149</v>
      </c>
      <c r="P859" s="46">
        <f>HEX2DEC(RIGHT(Table13232127[[#This Row],[h1]],8))</f>
        <v>0</v>
      </c>
      <c r="Q859" s="46" t="s">
        <v>149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149</v>
      </c>
      <c r="P860" s="46">
        <f>HEX2DEC(RIGHT(Table13232127[[#This Row],[h1]],8))</f>
        <v>0</v>
      </c>
      <c r="Q860" s="46" t="s">
        <v>149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149</v>
      </c>
      <c r="P861" s="46">
        <f>HEX2DEC(RIGHT(Table13232127[[#This Row],[h1]],8))</f>
        <v>0</v>
      </c>
      <c r="Q861" s="46" t="s">
        <v>149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149</v>
      </c>
      <c r="P862" s="46">
        <f>HEX2DEC(RIGHT(Table13232127[[#This Row],[h1]],8))</f>
        <v>0</v>
      </c>
      <c r="Q862" s="46" t="s">
        <v>149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149</v>
      </c>
      <c r="P863" s="46">
        <f>HEX2DEC(RIGHT(Table13232127[[#This Row],[h1]],8))</f>
        <v>0</v>
      </c>
      <c r="Q863" s="46" t="s">
        <v>149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149</v>
      </c>
      <c r="P864" s="46">
        <f>HEX2DEC(RIGHT(Table13232127[[#This Row],[h1]],8))</f>
        <v>0</v>
      </c>
      <c r="Q864" s="46" t="s">
        <v>149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149</v>
      </c>
      <c r="P865" s="46">
        <f>HEX2DEC(RIGHT(Table13232127[[#This Row],[h1]],8))</f>
        <v>0</v>
      </c>
      <c r="Q865" s="46" t="s">
        <v>149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149</v>
      </c>
      <c r="P866" s="46">
        <f>HEX2DEC(RIGHT(Table13232127[[#This Row],[h1]],8))</f>
        <v>0</v>
      </c>
      <c r="Q866" s="46" t="s">
        <v>149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149</v>
      </c>
      <c r="P867" s="46">
        <f>HEX2DEC(RIGHT(Table13232127[[#This Row],[h1]],8))</f>
        <v>0</v>
      </c>
      <c r="Q867" s="46" t="s">
        <v>149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149</v>
      </c>
      <c r="P868" s="46">
        <f>HEX2DEC(RIGHT(Table13232127[[#This Row],[h1]],8))</f>
        <v>0</v>
      </c>
      <c r="Q868" s="46" t="s">
        <v>149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149</v>
      </c>
      <c r="P869" s="46">
        <f>HEX2DEC(RIGHT(Table13232127[[#This Row],[h1]],8))</f>
        <v>0</v>
      </c>
      <c r="Q869" s="46" t="s">
        <v>149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149</v>
      </c>
      <c r="P870" s="46">
        <f>HEX2DEC(RIGHT(Table13232127[[#This Row],[h1]],8))</f>
        <v>0</v>
      </c>
      <c r="Q870" s="46" t="s">
        <v>149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149</v>
      </c>
      <c r="P871" s="46">
        <f>HEX2DEC(RIGHT(Table13232127[[#This Row],[h1]],8))</f>
        <v>0</v>
      </c>
      <c r="Q871" s="46" t="s">
        <v>149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149</v>
      </c>
      <c r="P872" s="46">
        <f>HEX2DEC(RIGHT(Table13232127[[#This Row],[h1]],8))</f>
        <v>0</v>
      </c>
      <c r="Q872" s="46" t="s">
        <v>149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149</v>
      </c>
      <c r="P873" s="46">
        <f>HEX2DEC(RIGHT(Table13232127[[#This Row],[h1]],8))</f>
        <v>0</v>
      </c>
      <c r="Q873" s="46" t="s">
        <v>149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149</v>
      </c>
      <c r="P874" s="46">
        <f>HEX2DEC(RIGHT(Table13232127[[#This Row],[h1]],8))</f>
        <v>0</v>
      </c>
      <c r="Q874" s="46" t="s">
        <v>149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149</v>
      </c>
      <c r="P875" s="46">
        <f>HEX2DEC(RIGHT(Table13232127[[#This Row],[h1]],8))</f>
        <v>0</v>
      </c>
      <c r="Q875" s="46" t="s">
        <v>149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149</v>
      </c>
      <c r="P876" s="46">
        <f>HEX2DEC(RIGHT(Table13232127[[#This Row],[h1]],8))</f>
        <v>0</v>
      </c>
      <c r="Q876" s="46" t="s">
        <v>149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149</v>
      </c>
      <c r="P877" s="46">
        <f>HEX2DEC(RIGHT(Table13232127[[#This Row],[h1]],8))</f>
        <v>0</v>
      </c>
      <c r="Q877" s="46" t="s">
        <v>149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149</v>
      </c>
      <c r="P878" s="46">
        <f>HEX2DEC(RIGHT(Table13232127[[#This Row],[h1]],8))</f>
        <v>0</v>
      </c>
      <c r="Q878" s="46" t="s">
        <v>149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149</v>
      </c>
      <c r="P879" s="46">
        <f>HEX2DEC(RIGHT(Table13232127[[#This Row],[h1]],8))</f>
        <v>0</v>
      </c>
      <c r="Q879" s="46" t="s">
        <v>149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149</v>
      </c>
      <c r="P880" s="46">
        <f>HEX2DEC(RIGHT(Table13232127[[#This Row],[h1]],8))</f>
        <v>0</v>
      </c>
      <c r="Q880" s="46" t="s">
        <v>149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149</v>
      </c>
      <c r="P881" s="46">
        <f>HEX2DEC(RIGHT(Table13232127[[#This Row],[h1]],8))</f>
        <v>0</v>
      </c>
      <c r="Q881" s="46" t="s">
        <v>149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149</v>
      </c>
      <c r="P882" s="46">
        <f>HEX2DEC(RIGHT(Table13232127[[#This Row],[h1]],8))</f>
        <v>0</v>
      </c>
      <c r="Q882" s="46" t="s">
        <v>149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149</v>
      </c>
      <c r="P883" s="46">
        <f>HEX2DEC(RIGHT(Table13232127[[#This Row],[h1]],8))</f>
        <v>0</v>
      </c>
      <c r="Q883" s="46" t="s">
        <v>149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149</v>
      </c>
      <c r="P884" s="46">
        <f>HEX2DEC(RIGHT(Table13232127[[#This Row],[h1]],8))</f>
        <v>0</v>
      </c>
      <c r="Q884" s="46" t="s">
        <v>149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149</v>
      </c>
      <c r="P885" s="46">
        <f>HEX2DEC(RIGHT(Table13232127[[#This Row],[h1]],8))</f>
        <v>0</v>
      </c>
      <c r="Q885" s="46" t="s">
        <v>149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149</v>
      </c>
      <c r="P886" s="46">
        <f>HEX2DEC(RIGHT(Table13232127[[#This Row],[h1]],8))</f>
        <v>0</v>
      </c>
      <c r="Q886" s="46" t="s">
        <v>149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149</v>
      </c>
      <c r="P887" s="46">
        <f>HEX2DEC(RIGHT(Table13232127[[#This Row],[h1]],8))</f>
        <v>0</v>
      </c>
      <c r="Q887" s="46" t="s">
        <v>149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149</v>
      </c>
      <c r="P888" s="46">
        <f>HEX2DEC(RIGHT(Table13232127[[#This Row],[h1]],8))</f>
        <v>0</v>
      </c>
      <c r="Q888" s="46" t="s">
        <v>149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149</v>
      </c>
      <c r="P889" s="46">
        <f>HEX2DEC(RIGHT(Table13232127[[#This Row],[h1]],8))</f>
        <v>0</v>
      </c>
      <c r="Q889" s="46" t="s">
        <v>149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149</v>
      </c>
      <c r="P890" s="46">
        <f>HEX2DEC(RIGHT(Table13232127[[#This Row],[h1]],8))</f>
        <v>0</v>
      </c>
      <c r="Q890" s="46" t="s">
        <v>149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149</v>
      </c>
      <c r="P891" s="46">
        <f>HEX2DEC(RIGHT(Table13232127[[#This Row],[h1]],8))</f>
        <v>0</v>
      </c>
      <c r="Q891" s="46" t="s">
        <v>149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149</v>
      </c>
      <c r="P892" s="46">
        <f>HEX2DEC(RIGHT(Table13232127[[#This Row],[h1]],8))</f>
        <v>0</v>
      </c>
      <c r="Q892" s="46" t="s">
        <v>149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149</v>
      </c>
      <c r="P893" s="46">
        <f>HEX2DEC(RIGHT(Table13232127[[#This Row],[h1]],8))</f>
        <v>0</v>
      </c>
      <c r="Q893" s="46" t="s">
        <v>149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149</v>
      </c>
      <c r="P894" s="46">
        <f>HEX2DEC(RIGHT(Table13232127[[#This Row],[h1]],8))</f>
        <v>0</v>
      </c>
      <c r="Q894" s="46" t="s">
        <v>149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149</v>
      </c>
      <c r="P895" s="46">
        <f>HEX2DEC(RIGHT(Table13232127[[#This Row],[h1]],8))</f>
        <v>0</v>
      </c>
      <c r="Q895" s="46" t="s">
        <v>149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149</v>
      </c>
      <c r="P896" s="46">
        <f>HEX2DEC(RIGHT(Table13232127[[#This Row],[h1]],8))</f>
        <v>0</v>
      </c>
      <c r="Q896" s="46" t="s">
        <v>149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149</v>
      </c>
      <c r="P897" s="46">
        <f>HEX2DEC(RIGHT(Table13232127[[#This Row],[h1]],8))</f>
        <v>0</v>
      </c>
      <c r="Q897" s="46" t="s">
        <v>149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149</v>
      </c>
      <c r="P898" s="46">
        <f>HEX2DEC(RIGHT(Table13232127[[#This Row],[h1]],8))</f>
        <v>0</v>
      </c>
      <c r="Q898" s="46" t="s">
        <v>149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149</v>
      </c>
      <c r="P899" s="46">
        <f>HEX2DEC(RIGHT(Table13232127[[#This Row],[h1]],8))</f>
        <v>0</v>
      </c>
      <c r="Q899" s="46" t="s">
        <v>149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149</v>
      </c>
      <c r="P900" s="46">
        <f>HEX2DEC(RIGHT(Table13232127[[#This Row],[h1]],8))</f>
        <v>0</v>
      </c>
      <c r="Q900" s="46" t="s">
        <v>149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149</v>
      </c>
      <c r="P901" s="46">
        <f>HEX2DEC(RIGHT(Table13232127[[#This Row],[h1]],8))</f>
        <v>0</v>
      </c>
      <c r="Q901" s="46" t="s">
        <v>149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149</v>
      </c>
      <c r="P902" s="46">
        <f>HEX2DEC(RIGHT(Table13232127[[#This Row],[h1]],8))</f>
        <v>0</v>
      </c>
      <c r="Q902" s="46" t="s">
        <v>149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149</v>
      </c>
      <c r="P903" s="46">
        <f>HEX2DEC(RIGHT(Table13232127[[#This Row],[h1]],8))</f>
        <v>0</v>
      </c>
      <c r="Q903" s="46" t="s">
        <v>149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149</v>
      </c>
      <c r="P904" s="46">
        <f>HEX2DEC(RIGHT(Table13232127[[#This Row],[h1]],8))</f>
        <v>0</v>
      </c>
      <c r="Q904" s="46" t="s">
        <v>149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149</v>
      </c>
      <c r="P905" s="46">
        <f>HEX2DEC(RIGHT(Table13232127[[#This Row],[h1]],8))</f>
        <v>0</v>
      </c>
      <c r="Q905" s="46" t="s">
        <v>149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149</v>
      </c>
      <c r="P906" s="46">
        <f>HEX2DEC(RIGHT(Table13232127[[#This Row],[h1]],8))</f>
        <v>0</v>
      </c>
      <c r="Q906" s="46" t="s">
        <v>149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149</v>
      </c>
      <c r="P907" s="46">
        <f>HEX2DEC(RIGHT(Table13232127[[#This Row],[h1]],8))</f>
        <v>0</v>
      </c>
      <c r="Q907" s="46" t="s">
        <v>149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149</v>
      </c>
      <c r="P908" s="46">
        <f>HEX2DEC(RIGHT(Table13232127[[#This Row],[h1]],8))</f>
        <v>0</v>
      </c>
      <c r="Q908" s="46" t="s">
        <v>149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149</v>
      </c>
      <c r="P909" s="46">
        <f>HEX2DEC(RIGHT(Table13232127[[#This Row],[h1]],8))</f>
        <v>0</v>
      </c>
      <c r="Q909" s="46" t="s">
        <v>149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149</v>
      </c>
      <c r="P910" s="46">
        <f>HEX2DEC(RIGHT(Table13232127[[#This Row],[h1]],8))</f>
        <v>0</v>
      </c>
      <c r="Q910" s="46" t="s">
        <v>149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149</v>
      </c>
      <c r="P911" s="46">
        <f>HEX2DEC(RIGHT(Table13232127[[#This Row],[h1]],8))</f>
        <v>0</v>
      </c>
      <c r="Q911" s="46" t="s">
        <v>149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149</v>
      </c>
      <c r="P912" s="46">
        <f>HEX2DEC(RIGHT(Table13232127[[#This Row],[h1]],8))</f>
        <v>0</v>
      </c>
      <c r="Q912" s="46" t="s">
        <v>149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149</v>
      </c>
      <c r="P913" s="46">
        <f>HEX2DEC(RIGHT(Table13232127[[#This Row],[h1]],8))</f>
        <v>0</v>
      </c>
      <c r="Q913" s="46" t="s">
        <v>149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149</v>
      </c>
      <c r="P914" s="46">
        <f>HEX2DEC(RIGHT(Table13232127[[#This Row],[h1]],8))</f>
        <v>0</v>
      </c>
      <c r="Q914" s="46" t="s">
        <v>149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149</v>
      </c>
      <c r="P915" s="46">
        <f>HEX2DEC(RIGHT(Table13232127[[#This Row],[h1]],8))</f>
        <v>0</v>
      </c>
      <c r="Q915" s="46" t="s">
        <v>149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149</v>
      </c>
      <c r="P916" s="46">
        <f>HEX2DEC(RIGHT(Table13232127[[#This Row],[h1]],8))</f>
        <v>0</v>
      </c>
      <c r="Q916" s="46" t="s">
        <v>149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149</v>
      </c>
      <c r="P917" s="46">
        <f>HEX2DEC(RIGHT(Table13232127[[#This Row],[h1]],8))</f>
        <v>0</v>
      </c>
      <c r="Q917" s="46" t="s">
        <v>149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149</v>
      </c>
      <c r="P918" s="46">
        <f>HEX2DEC(RIGHT(Table13232127[[#This Row],[h1]],8))</f>
        <v>0</v>
      </c>
      <c r="Q918" s="46" t="s">
        <v>149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149</v>
      </c>
      <c r="P919" s="46">
        <f>HEX2DEC(RIGHT(Table13232127[[#This Row],[h1]],8))</f>
        <v>0</v>
      </c>
      <c r="Q919" s="46" t="s">
        <v>149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149</v>
      </c>
      <c r="P920" s="46">
        <f>HEX2DEC(RIGHT(Table13232127[[#This Row],[h1]],8))</f>
        <v>0</v>
      </c>
      <c r="Q920" s="46" t="s">
        <v>149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149</v>
      </c>
      <c r="P921" s="46">
        <f>HEX2DEC(RIGHT(Table13232127[[#This Row],[h1]],8))</f>
        <v>0</v>
      </c>
      <c r="Q921" s="46" t="s">
        <v>149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149</v>
      </c>
      <c r="P922" s="46">
        <f>HEX2DEC(RIGHT(Table13232127[[#This Row],[h1]],8))</f>
        <v>0</v>
      </c>
      <c r="Q922" s="46" t="s">
        <v>149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149</v>
      </c>
      <c r="P923" s="46">
        <f>HEX2DEC(RIGHT(Table13232127[[#This Row],[h1]],8))</f>
        <v>0</v>
      </c>
      <c r="Q923" s="46" t="s">
        <v>149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149</v>
      </c>
      <c r="P924" s="46">
        <f>HEX2DEC(RIGHT(Table13232127[[#This Row],[h1]],8))</f>
        <v>0</v>
      </c>
      <c r="Q924" s="46" t="s">
        <v>149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149</v>
      </c>
      <c r="P925" s="46">
        <f>HEX2DEC(RIGHT(Table13232127[[#This Row],[h1]],8))</f>
        <v>0</v>
      </c>
      <c r="Q925" s="46" t="s">
        <v>149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149</v>
      </c>
      <c r="P926" s="46">
        <f>HEX2DEC(RIGHT(Table13232127[[#This Row],[h1]],8))</f>
        <v>0</v>
      </c>
      <c r="Q926" s="46" t="s">
        <v>149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149</v>
      </c>
      <c r="P927" s="46">
        <f>HEX2DEC(RIGHT(Table13232127[[#This Row],[h1]],8))</f>
        <v>0</v>
      </c>
      <c r="Q927" s="46" t="s">
        <v>149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149</v>
      </c>
      <c r="P928" s="46">
        <f>HEX2DEC(RIGHT(Table13232127[[#This Row],[h1]],8))</f>
        <v>0</v>
      </c>
      <c r="Q928" s="46" t="s">
        <v>149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149</v>
      </c>
      <c r="P929" s="46">
        <f>HEX2DEC(RIGHT(Table13232127[[#This Row],[h1]],8))</f>
        <v>0</v>
      </c>
      <c r="Q929" s="46" t="s">
        <v>149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149</v>
      </c>
      <c r="P930" s="46">
        <f>HEX2DEC(RIGHT(Table13232127[[#This Row],[h1]],8))</f>
        <v>0</v>
      </c>
      <c r="Q930" s="46" t="s">
        <v>149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149</v>
      </c>
      <c r="P931" s="46">
        <f>HEX2DEC(RIGHT(Table13232127[[#This Row],[h1]],8))</f>
        <v>0</v>
      </c>
      <c r="Q931" s="46" t="s">
        <v>149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149</v>
      </c>
      <c r="P932" s="46">
        <f>HEX2DEC(RIGHT(Table13232127[[#This Row],[h1]],8))</f>
        <v>0</v>
      </c>
      <c r="Q932" s="46" t="s">
        <v>149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149</v>
      </c>
      <c r="P933" s="46">
        <f>HEX2DEC(RIGHT(Table13232127[[#This Row],[h1]],8))</f>
        <v>0</v>
      </c>
      <c r="Q933" s="46" t="s">
        <v>149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149</v>
      </c>
      <c r="P934" s="46">
        <f>HEX2DEC(RIGHT(Table13232127[[#This Row],[h1]],8))</f>
        <v>0</v>
      </c>
      <c r="Q934" s="46" t="s">
        <v>149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149</v>
      </c>
      <c r="P935" s="46">
        <f>HEX2DEC(RIGHT(Table13232127[[#This Row],[h1]],8))</f>
        <v>0</v>
      </c>
      <c r="Q935" s="46" t="s">
        <v>149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149</v>
      </c>
      <c r="P936" s="46">
        <f>HEX2DEC(RIGHT(Table13232127[[#This Row],[h1]],8))</f>
        <v>0</v>
      </c>
      <c r="Q936" s="46" t="s">
        <v>149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149</v>
      </c>
      <c r="P937" s="46">
        <f>HEX2DEC(RIGHT(Table13232127[[#This Row],[h1]],8))</f>
        <v>0</v>
      </c>
      <c r="Q937" s="46" t="s">
        <v>149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149</v>
      </c>
      <c r="P938" s="46">
        <f>HEX2DEC(RIGHT(Table13232127[[#This Row],[h1]],8))</f>
        <v>0</v>
      </c>
      <c r="Q938" s="46" t="s">
        <v>149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149</v>
      </c>
      <c r="P939" s="46">
        <f>HEX2DEC(RIGHT(Table13232127[[#This Row],[h1]],8))</f>
        <v>0</v>
      </c>
      <c r="Q939" s="46" t="s">
        <v>149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149</v>
      </c>
      <c r="P940" s="46">
        <f>HEX2DEC(RIGHT(Table13232127[[#This Row],[h1]],8))</f>
        <v>0</v>
      </c>
      <c r="Q940" s="46" t="s">
        <v>149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149</v>
      </c>
      <c r="P941" s="46">
        <f>HEX2DEC(RIGHT(Table13232127[[#This Row],[h1]],8))</f>
        <v>0</v>
      </c>
      <c r="Q941" s="46" t="s">
        <v>149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149</v>
      </c>
      <c r="P942" s="46">
        <f>HEX2DEC(RIGHT(Table13232127[[#This Row],[h1]],8))</f>
        <v>0</v>
      </c>
      <c r="Q942" s="46" t="s">
        <v>149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149</v>
      </c>
      <c r="P943" s="46">
        <f>HEX2DEC(RIGHT(Table13232127[[#This Row],[h1]],8))</f>
        <v>0</v>
      </c>
      <c r="Q943" s="46" t="s">
        <v>149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149</v>
      </c>
      <c r="P944" s="46">
        <f>HEX2DEC(RIGHT(Table13232127[[#This Row],[h1]],8))</f>
        <v>0</v>
      </c>
      <c r="Q944" s="46" t="s">
        <v>149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149</v>
      </c>
      <c r="P945" s="46">
        <f>HEX2DEC(RIGHT(Table13232127[[#This Row],[h1]],8))</f>
        <v>0</v>
      </c>
      <c r="Q945" s="46" t="s">
        <v>149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149</v>
      </c>
      <c r="P946" s="46">
        <f>HEX2DEC(RIGHT(Table13232127[[#This Row],[h1]],8))</f>
        <v>0</v>
      </c>
      <c r="Q946" s="46" t="s">
        <v>149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149</v>
      </c>
      <c r="P947" s="46">
        <f>HEX2DEC(RIGHT(Table13232127[[#This Row],[h1]],8))</f>
        <v>0</v>
      </c>
      <c r="Q947" s="46" t="s">
        <v>149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149</v>
      </c>
      <c r="P948" s="46">
        <f>HEX2DEC(RIGHT(Table13232127[[#This Row],[h1]],8))</f>
        <v>0</v>
      </c>
      <c r="Q948" s="46" t="s">
        <v>149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149</v>
      </c>
      <c r="P949" s="46">
        <f>HEX2DEC(RIGHT(Table13232127[[#This Row],[h1]],8))</f>
        <v>0</v>
      </c>
      <c r="Q949" s="46" t="s">
        <v>149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149</v>
      </c>
      <c r="P950" s="46">
        <f>HEX2DEC(RIGHT(Table13232127[[#This Row],[h1]],8))</f>
        <v>0</v>
      </c>
      <c r="Q950" s="46" t="s">
        <v>149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149</v>
      </c>
      <c r="P951" s="46">
        <f>HEX2DEC(RIGHT(Table13232127[[#This Row],[h1]],8))</f>
        <v>0</v>
      </c>
      <c r="Q951" s="46" t="s">
        <v>149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149</v>
      </c>
      <c r="P952" s="46">
        <f>HEX2DEC(RIGHT(Table13232127[[#This Row],[h1]],8))</f>
        <v>0</v>
      </c>
      <c r="Q952" s="46" t="s">
        <v>149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149</v>
      </c>
      <c r="P953" s="46">
        <f>HEX2DEC(RIGHT(Table13232127[[#This Row],[h1]],8))</f>
        <v>0</v>
      </c>
      <c r="Q953" s="46" t="s">
        <v>149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149</v>
      </c>
      <c r="P954" s="46">
        <f>HEX2DEC(RIGHT(Table13232127[[#This Row],[h1]],8))</f>
        <v>0</v>
      </c>
      <c r="Q954" s="46" t="s">
        <v>149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149</v>
      </c>
      <c r="P955" s="46">
        <f>HEX2DEC(RIGHT(Table13232127[[#This Row],[h1]],8))</f>
        <v>0</v>
      </c>
      <c r="Q955" s="46" t="s">
        <v>149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149</v>
      </c>
      <c r="P956" s="46">
        <f>HEX2DEC(RIGHT(Table13232127[[#This Row],[h1]],8))</f>
        <v>0</v>
      </c>
      <c r="Q956" s="46" t="s">
        <v>149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149</v>
      </c>
      <c r="P957" s="46">
        <f>HEX2DEC(RIGHT(Table13232127[[#This Row],[h1]],8))</f>
        <v>0</v>
      </c>
      <c r="Q957" s="46" t="s">
        <v>149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149</v>
      </c>
      <c r="P958" s="46">
        <f>HEX2DEC(RIGHT(Table13232127[[#This Row],[h1]],8))</f>
        <v>0</v>
      </c>
      <c r="Q958" s="46" t="s">
        <v>149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149</v>
      </c>
      <c r="P959" s="46">
        <f>HEX2DEC(RIGHT(Table13232127[[#This Row],[h1]],8))</f>
        <v>0</v>
      </c>
      <c r="Q959" s="46" t="s">
        <v>149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149</v>
      </c>
      <c r="P960" s="46">
        <f>HEX2DEC(RIGHT(Table13232127[[#This Row],[h1]],8))</f>
        <v>0</v>
      </c>
      <c r="Q960" s="46" t="s">
        <v>149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149</v>
      </c>
      <c r="P961" s="46">
        <f>HEX2DEC(RIGHT(Table13232127[[#This Row],[h1]],8))</f>
        <v>0</v>
      </c>
      <c r="Q961" s="46" t="s">
        <v>149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149</v>
      </c>
      <c r="P962" s="46">
        <f>HEX2DEC(RIGHT(Table13232127[[#This Row],[h1]],8))</f>
        <v>0</v>
      </c>
      <c r="Q962" s="46" t="s">
        <v>149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149</v>
      </c>
      <c r="P963" s="46">
        <f>HEX2DEC(RIGHT(Table13232127[[#This Row],[h1]],8))</f>
        <v>0</v>
      </c>
      <c r="Q963" s="46" t="s">
        <v>149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149</v>
      </c>
      <c r="P964" s="46">
        <f>HEX2DEC(RIGHT(Table13232127[[#This Row],[h1]],8))</f>
        <v>0</v>
      </c>
      <c r="Q964" s="46" t="s">
        <v>149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149</v>
      </c>
      <c r="P965" s="46">
        <f>HEX2DEC(RIGHT(Table13232127[[#This Row],[h1]],8))</f>
        <v>0</v>
      </c>
      <c r="Q965" s="46" t="s">
        <v>149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149</v>
      </c>
      <c r="P966" s="46">
        <f>HEX2DEC(RIGHT(Table13232127[[#This Row],[h1]],8))</f>
        <v>0</v>
      </c>
      <c r="Q966" s="46" t="s">
        <v>149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149</v>
      </c>
      <c r="P967" s="46">
        <f>HEX2DEC(RIGHT(Table13232127[[#This Row],[h1]],8))</f>
        <v>0</v>
      </c>
      <c r="Q967" s="46" t="s">
        <v>149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149</v>
      </c>
      <c r="P968" s="46">
        <f>HEX2DEC(RIGHT(Table13232127[[#This Row],[h1]],8))</f>
        <v>0</v>
      </c>
      <c r="Q968" s="46" t="s">
        <v>149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149</v>
      </c>
      <c r="P969" s="46">
        <f>HEX2DEC(RIGHT(Table13232127[[#This Row],[h1]],8))</f>
        <v>0</v>
      </c>
      <c r="Q969" s="46" t="s">
        <v>149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149</v>
      </c>
      <c r="P970" s="46">
        <f>HEX2DEC(RIGHT(Table13232127[[#This Row],[h1]],8))</f>
        <v>0</v>
      </c>
      <c r="Q970" s="46" t="s">
        <v>149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149</v>
      </c>
      <c r="P971" s="46">
        <f>HEX2DEC(RIGHT(Table13232127[[#This Row],[h1]],8))</f>
        <v>0</v>
      </c>
      <c r="Q971" s="46" t="s">
        <v>149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149</v>
      </c>
      <c r="P972" s="46">
        <f>HEX2DEC(RIGHT(Table13232127[[#This Row],[h1]],8))</f>
        <v>0</v>
      </c>
      <c r="Q972" s="46" t="s">
        <v>149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149</v>
      </c>
      <c r="P973" s="46">
        <f>HEX2DEC(RIGHT(Table13232127[[#This Row],[h1]],8))</f>
        <v>0</v>
      </c>
      <c r="Q973" s="46" t="s">
        <v>149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149</v>
      </c>
      <c r="P974" s="46">
        <f>HEX2DEC(RIGHT(Table13232127[[#This Row],[h1]],8))</f>
        <v>0</v>
      </c>
      <c r="Q974" s="46" t="s">
        <v>149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149</v>
      </c>
      <c r="P975" s="46">
        <f>HEX2DEC(RIGHT(Table13232127[[#This Row],[h1]],8))</f>
        <v>0</v>
      </c>
      <c r="Q975" s="46" t="s">
        <v>149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149</v>
      </c>
      <c r="P976" s="46">
        <f>HEX2DEC(RIGHT(Table13232127[[#This Row],[h1]],8))</f>
        <v>0</v>
      </c>
      <c r="Q976" s="46" t="s">
        <v>149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149</v>
      </c>
      <c r="P977" s="46">
        <f>HEX2DEC(RIGHT(Table13232127[[#This Row],[h1]],8))</f>
        <v>0</v>
      </c>
      <c r="Q977" s="46" t="s">
        <v>149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149</v>
      </c>
      <c r="P978" s="46">
        <f>HEX2DEC(RIGHT(Table13232127[[#This Row],[h1]],8))</f>
        <v>0</v>
      </c>
      <c r="Q978" s="46" t="s">
        <v>149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149</v>
      </c>
      <c r="P979" s="46">
        <f>HEX2DEC(RIGHT(Table13232127[[#This Row],[h1]],8))</f>
        <v>0</v>
      </c>
      <c r="Q979" s="46" t="s">
        <v>149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149</v>
      </c>
      <c r="P980" s="46">
        <f>HEX2DEC(RIGHT(Table13232127[[#This Row],[h1]],8))</f>
        <v>0</v>
      </c>
      <c r="Q980" s="46" t="s">
        <v>149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149</v>
      </c>
      <c r="P981" s="46">
        <f>HEX2DEC(RIGHT(Table13232127[[#This Row],[h1]],8))</f>
        <v>0</v>
      </c>
      <c r="Q981" s="46" t="s">
        <v>149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149</v>
      </c>
      <c r="P982" s="46">
        <f>HEX2DEC(RIGHT(Table13232127[[#This Row],[h1]],8))</f>
        <v>0</v>
      </c>
      <c r="Q982" s="46" t="s">
        <v>149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149</v>
      </c>
      <c r="P983" s="46">
        <f>HEX2DEC(RIGHT(Table13232127[[#This Row],[h1]],8))</f>
        <v>0</v>
      </c>
      <c r="Q983" s="46" t="s">
        <v>149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149</v>
      </c>
      <c r="P984" s="46">
        <f>HEX2DEC(RIGHT(Table13232127[[#This Row],[h1]],8))</f>
        <v>0</v>
      </c>
      <c r="Q984" s="46" t="s">
        <v>149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149</v>
      </c>
      <c r="P985" s="46">
        <f>HEX2DEC(RIGHT(Table13232127[[#This Row],[h1]],8))</f>
        <v>0</v>
      </c>
      <c r="Q985" s="46" t="s">
        <v>149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149</v>
      </c>
      <c r="P986" s="46">
        <f>HEX2DEC(RIGHT(Table13232127[[#This Row],[h1]],8))</f>
        <v>0</v>
      </c>
      <c r="Q986" s="46" t="s">
        <v>149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149</v>
      </c>
      <c r="P987" s="46">
        <f>HEX2DEC(RIGHT(Table13232127[[#This Row],[h1]],8))</f>
        <v>0</v>
      </c>
      <c r="Q987" s="46" t="s">
        <v>149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149</v>
      </c>
      <c r="P988" s="46">
        <f>HEX2DEC(RIGHT(Table13232127[[#This Row],[h1]],8))</f>
        <v>0</v>
      </c>
      <c r="Q988" s="46" t="s">
        <v>149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149</v>
      </c>
      <c r="P989" s="46">
        <f>HEX2DEC(RIGHT(Table13232127[[#This Row],[h1]],8))</f>
        <v>0</v>
      </c>
      <c r="Q989" s="46" t="s">
        <v>149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149</v>
      </c>
      <c r="P990" s="46">
        <f>HEX2DEC(RIGHT(Table13232127[[#This Row],[h1]],8))</f>
        <v>0</v>
      </c>
      <c r="Q990" s="46" t="s">
        <v>149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149</v>
      </c>
      <c r="P991" s="46">
        <f>HEX2DEC(RIGHT(Table13232127[[#This Row],[h1]],8))</f>
        <v>0</v>
      </c>
      <c r="Q991" s="46" t="s">
        <v>149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149</v>
      </c>
      <c r="P992" s="46">
        <f>HEX2DEC(RIGHT(Table13232127[[#This Row],[h1]],8))</f>
        <v>0</v>
      </c>
      <c r="Q992" s="46" t="s">
        <v>149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149</v>
      </c>
      <c r="P993" s="46">
        <f>HEX2DEC(RIGHT(Table13232127[[#This Row],[h1]],8))</f>
        <v>0</v>
      </c>
      <c r="Q993" s="46" t="s">
        <v>149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149</v>
      </c>
      <c r="P994" s="46">
        <f>HEX2DEC(RIGHT(Table13232127[[#This Row],[h1]],8))</f>
        <v>0</v>
      </c>
      <c r="Q994" s="46" t="s">
        <v>149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149</v>
      </c>
      <c r="P995" s="46">
        <f>HEX2DEC(RIGHT(Table13232127[[#This Row],[h1]],8))</f>
        <v>0</v>
      </c>
      <c r="Q995" s="46" t="s">
        <v>149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149</v>
      </c>
      <c r="P996" s="46">
        <f>HEX2DEC(RIGHT(Table13232127[[#This Row],[h1]],8))</f>
        <v>0</v>
      </c>
      <c r="Q996" s="46" t="s">
        <v>149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149</v>
      </c>
      <c r="P997" s="46">
        <f>HEX2DEC(RIGHT(Table13232127[[#This Row],[h1]],8))</f>
        <v>0</v>
      </c>
      <c r="Q997" s="46" t="s">
        <v>149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149</v>
      </c>
      <c r="P998" s="46">
        <f>HEX2DEC(RIGHT(Table13232127[[#This Row],[h1]],8))</f>
        <v>0</v>
      </c>
      <c r="Q998" s="46" t="s">
        <v>149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149</v>
      </c>
      <c r="P999" s="46">
        <f>HEX2DEC(RIGHT(Table13232127[[#This Row],[h1]],8))</f>
        <v>0</v>
      </c>
      <c r="Q999" s="46" t="s">
        <v>149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149</v>
      </c>
      <c r="P1000" s="46">
        <f>HEX2DEC(RIGHT(Table13232127[[#This Row],[h1]],8))</f>
        <v>0</v>
      </c>
      <c r="Q1000" s="46" t="s">
        <v>149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149</v>
      </c>
      <c r="P1001" s="46">
        <f>HEX2DEC(RIGHT(Table13232127[[#This Row],[h1]],8))</f>
        <v>0</v>
      </c>
      <c r="Q1001" s="46" t="s">
        <v>149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149</v>
      </c>
      <c r="P1002" s="46">
        <f>HEX2DEC(RIGHT(Table13232127[[#This Row],[h1]],8))</f>
        <v>0</v>
      </c>
      <c r="Q1002" s="46" t="s">
        <v>149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149</v>
      </c>
      <c r="P1003" s="46">
        <f>HEX2DEC(RIGHT(Table13232127[[#This Row],[h1]],8))</f>
        <v>0</v>
      </c>
      <c r="Q1003" s="46" t="s">
        <v>149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149</v>
      </c>
      <c r="P1004" s="46">
        <f>HEX2DEC(RIGHT(Table13232127[[#This Row],[h1]],8))</f>
        <v>0</v>
      </c>
      <c r="Q1004" s="46" t="s">
        <v>149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149</v>
      </c>
      <c r="P1005" s="46">
        <f>HEX2DEC(RIGHT(Table13232127[[#This Row],[h1]],8))</f>
        <v>0</v>
      </c>
      <c r="Q1005" s="46" t="s">
        <v>149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149</v>
      </c>
      <c r="P1006" s="46">
        <f>HEX2DEC(RIGHT(Table13232127[[#This Row],[h1]],8))</f>
        <v>0</v>
      </c>
      <c r="Q1006" s="46" t="s">
        <v>149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149</v>
      </c>
      <c r="P1007" s="46">
        <f>HEX2DEC(RIGHT(Table13232127[[#This Row],[h1]],8))</f>
        <v>0</v>
      </c>
      <c r="Q1007" s="46" t="s">
        <v>149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149</v>
      </c>
      <c r="P1008" s="46">
        <f>HEX2DEC(RIGHT(Table13232127[[#This Row],[h1]],8))</f>
        <v>0</v>
      </c>
      <c r="Q1008" s="46" t="s">
        <v>149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149</v>
      </c>
      <c r="P1009" s="46">
        <f>HEX2DEC(RIGHT(Table13232127[[#This Row],[h1]],8))</f>
        <v>0</v>
      </c>
      <c r="Q1009" s="46" t="s">
        <v>149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149</v>
      </c>
      <c r="P1010" s="46">
        <f>HEX2DEC(RIGHT(Table13232127[[#This Row],[h1]],8))</f>
        <v>0</v>
      </c>
      <c r="Q1010" s="46" t="s">
        <v>149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149</v>
      </c>
      <c r="P1011" s="46">
        <f>HEX2DEC(RIGHT(Table13232127[[#This Row],[h1]],8))</f>
        <v>0</v>
      </c>
      <c r="Q1011" s="46" t="s">
        <v>149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149</v>
      </c>
      <c r="P1012" s="46">
        <f>HEX2DEC(RIGHT(Table13232127[[#This Row],[h1]],8))</f>
        <v>0</v>
      </c>
      <c r="Q1012" s="46" t="s">
        <v>149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149</v>
      </c>
      <c r="P1013" s="46">
        <f>HEX2DEC(RIGHT(Table13232127[[#This Row],[h1]],8))</f>
        <v>0</v>
      </c>
      <c r="Q1013" s="46" t="s">
        <v>149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149</v>
      </c>
      <c r="P1014" s="46">
        <f>HEX2DEC(RIGHT(Table13232127[[#This Row],[h1]],8))</f>
        <v>0</v>
      </c>
      <c r="Q1014" s="46" t="s">
        <v>149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149</v>
      </c>
      <c r="P1015" s="46">
        <f>HEX2DEC(RIGHT(Table13232127[[#This Row],[h1]],8))</f>
        <v>0</v>
      </c>
      <c r="Q1015" s="46" t="s">
        <v>149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149</v>
      </c>
      <c r="P1016" s="46">
        <f>HEX2DEC(RIGHT(Table13232127[[#This Row],[h1]],8))</f>
        <v>0</v>
      </c>
      <c r="Q1016" s="46" t="s">
        <v>149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149</v>
      </c>
      <c r="P1017" s="46">
        <f>HEX2DEC(RIGHT(Table13232127[[#This Row],[h1]],8))</f>
        <v>0</v>
      </c>
      <c r="Q1017" s="46" t="s">
        <v>149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149</v>
      </c>
      <c r="P1018" s="46">
        <f>HEX2DEC(RIGHT(Table13232127[[#This Row],[h1]],8))</f>
        <v>0</v>
      </c>
      <c r="Q1018" s="46" t="s">
        <v>149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149</v>
      </c>
      <c r="P1019" s="46">
        <f>HEX2DEC(RIGHT(Table13232127[[#This Row],[h1]],8))</f>
        <v>0</v>
      </c>
      <c r="Q1019" s="46" t="s">
        <v>149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149</v>
      </c>
      <c r="P1020" s="46">
        <f>HEX2DEC(RIGHT(Table13232127[[#This Row],[h1]],8))</f>
        <v>0</v>
      </c>
      <c r="Q1020" s="46" t="s">
        <v>149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149</v>
      </c>
      <c r="P1021" s="46">
        <f>HEX2DEC(RIGHT(Table13232127[[#This Row],[h1]],8))</f>
        <v>0</v>
      </c>
      <c r="Q1021" s="46" t="s">
        <v>149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149</v>
      </c>
      <c r="P1022" s="46">
        <f>HEX2DEC(RIGHT(Table13232127[[#This Row],[h1]],8))</f>
        <v>0</v>
      </c>
      <c r="Q1022" s="46" t="s">
        <v>149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149</v>
      </c>
      <c r="P1023" s="46">
        <f>HEX2DEC(RIGHT(Table13232127[[#This Row],[h1]],8))</f>
        <v>0</v>
      </c>
      <c r="Q1023" s="46" t="s">
        <v>149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149</v>
      </c>
      <c r="P1024" s="46">
        <f>HEX2DEC(RIGHT(Table13232127[[#This Row],[h1]],8))</f>
        <v>0</v>
      </c>
      <c r="Q1024" s="46" t="s">
        <v>149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149</v>
      </c>
      <c r="P1025" s="46">
        <f>HEX2DEC(RIGHT(Table13232127[[#This Row],[h1]],8))</f>
        <v>0</v>
      </c>
      <c r="Q1025" s="46" t="s">
        <v>149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149</v>
      </c>
      <c r="P1026" s="46">
        <f>HEX2DEC(RIGHT(Table13232127[[#This Row],[h1]],8))</f>
        <v>0</v>
      </c>
      <c r="Q1026" s="46" t="s">
        <v>149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149</v>
      </c>
      <c r="P1027" s="46">
        <f>HEX2DEC(RIGHT(Table13232127[[#This Row],[h1]],8))</f>
        <v>0</v>
      </c>
      <c r="Q1027" s="46" t="s">
        <v>149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149</v>
      </c>
      <c r="P1028" s="46">
        <f>HEX2DEC(RIGHT(Table13232127[[#This Row],[h1]],8))</f>
        <v>0</v>
      </c>
      <c r="Q1028" s="46" t="s">
        <v>149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149</v>
      </c>
      <c r="P1029" s="46">
        <f>HEX2DEC(RIGHT(Table13232127[[#This Row],[h1]],8))</f>
        <v>0</v>
      </c>
      <c r="Q1029" s="46" t="s">
        <v>149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149</v>
      </c>
      <c r="P1030" s="46">
        <f>HEX2DEC(RIGHT(Table13232127[[#This Row],[h1]],8))</f>
        <v>0</v>
      </c>
      <c r="Q1030" s="46" t="s">
        <v>149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149</v>
      </c>
      <c r="P1031" s="46">
        <f>HEX2DEC(RIGHT(Table13232127[[#This Row],[h1]],8))</f>
        <v>0</v>
      </c>
      <c r="Q1031" s="46" t="s">
        <v>149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149</v>
      </c>
      <c r="P1032" s="46">
        <f>HEX2DEC(RIGHT(Table13232127[[#This Row],[h1]],8))</f>
        <v>0</v>
      </c>
      <c r="Q1032" s="46" t="s">
        <v>149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149</v>
      </c>
      <c r="P1033" s="46">
        <f>HEX2DEC(RIGHT(Table13232127[[#This Row],[h1]],8))</f>
        <v>0</v>
      </c>
      <c r="Q1033" s="46" t="s">
        <v>149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149</v>
      </c>
      <c r="P1034" s="46">
        <f>HEX2DEC(RIGHT(Table13232127[[#This Row],[h1]],8))</f>
        <v>0</v>
      </c>
      <c r="Q1034" s="46" t="s">
        <v>149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149</v>
      </c>
      <c r="P1035" s="46">
        <f>HEX2DEC(RIGHT(Table13232127[[#This Row],[h1]],8))</f>
        <v>0</v>
      </c>
      <c r="Q1035" s="46" t="s">
        <v>149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149</v>
      </c>
      <c r="P1036" s="46">
        <f>HEX2DEC(RIGHT(Table13232127[[#This Row],[h1]],8))</f>
        <v>0</v>
      </c>
      <c r="Q1036" s="46" t="s">
        <v>149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149</v>
      </c>
      <c r="P1037" s="46">
        <f>HEX2DEC(RIGHT(Table13232127[[#This Row],[h1]],8))</f>
        <v>0</v>
      </c>
      <c r="Q1037" s="46" t="s">
        <v>149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149</v>
      </c>
      <c r="P1038" s="46">
        <f>HEX2DEC(RIGHT(Table13232127[[#This Row],[h1]],8))</f>
        <v>0</v>
      </c>
      <c r="Q1038" s="46" t="s">
        <v>149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149</v>
      </c>
      <c r="P1039" s="46">
        <f>HEX2DEC(RIGHT(Table13232127[[#This Row],[h1]],8))</f>
        <v>0</v>
      </c>
      <c r="Q1039" s="46" t="s">
        <v>149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149</v>
      </c>
      <c r="P1040" s="46">
        <f>HEX2DEC(RIGHT(Table13232127[[#This Row],[h1]],8))</f>
        <v>0</v>
      </c>
      <c r="Q1040" s="46" t="s">
        <v>149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149</v>
      </c>
      <c r="P1041" s="46">
        <f>HEX2DEC(RIGHT(Table13232127[[#This Row],[h1]],8))</f>
        <v>0</v>
      </c>
      <c r="Q1041" s="46" t="s">
        <v>149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149</v>
      </c>
      <c r="P1042" s="46">
        <f>HEX2DEC(RIGHT(Table13232127[[#This Row],[h1]],8))</f>
        <v>0</v>
      </c>
      <c r="Q1042" s="46" t="s">
        <v>149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149</v>
      </c>
      <c r="P1043" s="46">
        <f>HEX2DEC(RIGHT(Table13232127[[#This Row],[h1]],8))</f>
        <v>0</v>
      </c>
      <c r="Q1043" s="46" t="s">
        <v>149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149</v>
      </c>
      <c r="P1044" s="46">
        <f>HEX2DEC(RIGHT(Table13232127[[#This Row],[h1]],8))</f>
        <v>0</v>
      </c>
      <c r="Q1044" s="46" t="s">
        <v>149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149</v>
      </c>
      <c r="P1045" s="46">
        <f>HEX2DEC(RIGHT(Table13232127[[#This Row],[h1]],8))</f>
        <v>0</v>
      </c>
      <c r="Q1045" s="46" t="s">
        <v>149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149</v>
      </c>
      <c r="P1046" s="46">
        <f>HEX2DEC(RIGHT(Table13232127[[#This Row],[h1]],8))</f>
        <v>0</v>
      </c>
      <c r="Q1046" s="46" t="s">
        <v>149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149</v>
      </c>
      <c r="P1047" s="46">
        <f>HEX2DEC(RIGHT(Table13232127[[#This Row],[h1]],8))</f>
        <v>0</v>
      </c>
      <c r="Q1047" s="46" t="s">
        <v>149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149</v>
      </c>
      <c r="P1048" s="46">
        <f>HEX2DEC(RIGHT(Table13232127[[#This Row],[h1]],8))</f>
        <v>0</v>
      </c>
      <c r="Q1048" s="46" t="s">
        <v>149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149</v>
      </c>
      <c r="P1049" s="46">
        <f>HEX2DEC(RIGHT(Table13232127[[#This Row],[h1]],8))</f>
        <v>0</v>
      </c>
      <c r="Q1049" s="46" t="s">
        <v>149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149</v>
      </c>
      <c r="P1050" s="46">
        <f>HEX2DEC(RIGHT(Table13232127[[#This Row],[h1]],8))</f>
        <v>0</v>
      </c>
      <c r="Q1050" s="46" t="s">
        <v>149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149</v>
      </c>
      <c r="P1051" s="46">
        <f>HEX2DEC(RIGHT(Table13232127[[#This Row],[h1]],8))</f>
        <v>0</v>
      </c>
      <c r="Q1051" s="46" t="s">
        <v>149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149</v>
      </c>
      <c r="P1052" s="46">
        <f>HEX2DEC(RIGHT(Table13232127[[#This Row],[h1]],8))</f>
        <v>0</v>
      </c>
      <c r="Q1052" s="46" t="s">
        <v>149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149</v>
      </c>
      <c r="P1053" s="46">
        <f>HEX2DEC(RIGHT(Table13232127[[#This Row],[h1]],8))</f>
        <v>0</v>
      </c>
      <c r="Q1053" s="46" t="s">
        <v>149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149</v>
      </c>
      <c r="P1054" s="46">
        <f>HEX2DEC(RIGHT(Table13232127[[#This Row],[h1]],8))</f>
        <v>0</v>
      </c>
      <c r="Q1054" s="46" t="s">
        <v>149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149</v>
      </c>
      <c r="P1055" s="46">
        <f>HEX2DEC(RIGHT(Table13232127[[#This Row],[h1]],8))</f>
        <v>0</v>
      </c>
      <c r="Q1055" s="46" t="s">
        <v>149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149</v>
      </c>
      <c r="P1056" s="46">
        <f>HEX2DEC(RIGHT(Table13232127[[#This Row],[h1]],8))</f>
        <v>0</v>
      </c>
      <c r="Q1056" s="46" t="s">
        <v>149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149</v>
      </c>
      <c r="P1057" s="46">
        <f>HEX2DEC(RIGHT(Table13232127[[#This Row],[h1]],8))</f>
        <v>0</v>
      </c>
      <c r="Q1057" s="46" t="s">
        <v>149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149</v>
      </c>
      <c r="P1058" s="46">
        <f>HEX2DEC(RIGHT(Table13232127[[#This Row],[h1]],8))</f>
        <v>0</v>
      </c>
      <c r="Q1058" s="46" t="s">
        <v>149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149</v>
      </c>
      <c r="P1059" s="46">
        <f>HEX2DEC(RIGHT(Table13232127[[#This Row],[h1]],8))</f>
        <v>0</v>
      </c>
      <c r="Q1059" s="46" t="s">
        <v>149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149</v>
      </c>
      <c r="P1060" s="46">
        <f>HEX2DEC(RIGHT(Table13232127[[#This Row],[h1]],8))</f>
        <v>0</v>
      </c>
      <c r="Q1060" s="46" t="s">
        <v>149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149</v>
      </c>
      <c r="P1061" s="46">
        <f>HEX2DEC(RIGHT(Table13232127[[#This Row],[h1]],8))</f>
        <v>0</v>
      </c>
      <c r="Q1061" s="46" t="s">
        <v>149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149</v>
      </c>
      <c r="P1062" s="46">
        <f>HEX2DEC(RIGHT(Table13232127[[#This Row],[h1]],8))</f>
        <v>0</v>
      </c>
      <c r="Q1062" s="46" t="s">
        <v>149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149</v>
      </c>
      <c r="P1063" s="46">
        <f>HEX2DEC(RIGHT(Table13232127[[#This Row],[h1]],8))</f>
        <v>0</v>
      </c>
      <c r="Q1063" s="46" t="s">
        <v>149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149</v>
      </c>
      <c r="P1064" s="46">
        <f>HEX2DEC(RIGHT(Table13232127[[#This Row],[h1]],8))</f>
        <v>0</v>
      </c>
      <c r="Q1064" s="46" t="s">
        <v>149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149</v>
      </c>
      <c r="P1065" s="46">
        <f>HEX2DEC(RIGHT(Table13232127[[#This Row],[h1]],8))</f>
        <v>0</v>
      </c>
      <c r="Q1065" s="46" t="s">
        <v>149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149</v>
      </c>
      <c r="P1066" s="46">
        <f>HEX2DEC(RIGHT(Table13232127[[#This Row],[h1]],8))</f>
        <v>0</v>
      </c>
      <c r="Q1066" s="46" t="s">
        <v>149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149</v>
      </c>
      <c r="P1067" s="46">
        <f>HEX2DEC(RIGHT(Table13232127[[#This Row],[h1]],8))</f>
        <v>0</v>
      </c>
      <c r="Q1067" s="46" t="s">
        <v>149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149</v>
      </c>
      <c r="P1068" s="46">
        <f>HEX2DEC(RIGHT(Table13232127[[#This Row],[h1]],8))</f>
        <v>0</v>
      </c>
      <c r="Q1068" s="46" t="s">
        <v>149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149</v>
      </c>
      <c r="P1069" s="46">
        <f>HEX2DEC(RIGHT(Table13232127[[#This Row],[h1]],8))</f>
        <v>0</v>
      </c>
      <c r="Q1069" s="46" t="s">
        <v>149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149</v>
      </c>
      <c r="P1070" s="46">
        <f>HEX2DEC(RIGHT(Table13232127[[#This Row],[h1]],8))</f>
        <v>0</v>
      </c>
      <c r="Q1070" s="46" t="s">
        <v>149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149</v>
      </c>
      <c r="P1071" s="46">
        <f>HEX2DEC(RIGHT(Table13232127[[#This Row],[h1]],8))</f>
        <v>0</v>
      </c>
      <c r="Q1071" s="46" t="s">
        <v>149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149</v>
      </c>
      <c r="P1072" s="46">
        <f>HEX2DEC(RIGHT(Table13232127[[#This Row],[h1]],8))</f>
        <v>0</v>
      </c>
      <c r="Q1072" s="46" t="s">
        <v>149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149</v>
      </c>
      <c r="P1073" s="46">
        <f>HEX2DEC(RIGHT(Table13232127[[#This Row],[h1]],8))</f>
        <v>0</v>
      </c>
      <c r="Q1073" s="46" t="s">
        <v>149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149</v>
      </c>
      <c r="P1074" s="46">
        <f>HEX2DEC(RIGHT(Table13232127[[#This Row],[h1]],8))</f>
        <v>0</v>
      </c>
      <c r="Q1074" s="46" t="s">
        <v>149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149</v>
      </c>
      <c r="P1075" s="46">
        <f>HEX2DEC(RIGHT(Table13232127[[#This Row],[h1]],8))</f>
        <v>0</v>
      </c>
      <c r="Q1075" s="46" t="s">
        <v>149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149</v>
      </c>
      <c r="P1076" s="46">
        <f>HEX2DEC(RIGHT(Table13232127[[#This Row],[h1]],8))</f>
        <v>0</v>
      </c>
      <c r="Q1076" s="46" t="s">
        <v>149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149</v>
      </c>
      <c r="P1077" s="46">
        <f>HEX2DEC(RIGHT(Table13232127[[#This Row],[h1]],8))</f>
        <v>0</v>
      </c>
      <c r="Q1077" s="46" t="s">
        <v>149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149</v>
      </c>
      <c r="P1078" s="46">
        <f>HEX2DEC(RIGHT(Table13232127[[#This Row],[h1]],8))</f>
        <v>0</v>
      </c>
      <c r="Q1078" s="46" t="s">
        <v>149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149</v>
      </c>
      <c r="P1079" s="46">
        <f>HEX2DEC(RIGHT(Table13232127[[#This Row],[h1]],8))</f>
        <v>0</v>
      </c>
      <c r="Q1079" s="46" t="s">
        <v>149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149</v>
      </c>
      <c r="P1080" s="46">
        <f>HEX2DEC(RIGHT(Table13232127[[#This Row],[h1]],8))</f>
        <v>0</v>
      </c>
      <c r="Q1080" s="46" t="s">
        <v>149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149</v>
      </c>
      <c r="P1081" s="46">
        <f>HEX2DEC(RIGHT(Table13232127[[#This Row],[h1]],8))</f>
        <v>0</v>
      </c>
      <c r="Q1081" s="46" t="s">
        <v>149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149</v>
      </c>
      <c r="P1082" s="46">
        <f>HEX2DEC(RIGHT(Table13232127[[#This Row],[h1]],8))</f>
        <v>0</v>
      </c>
      <c r="Q1082" s="46" t="s">
        <v>149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149</v>
      </c>
      <c r="P1083" s="46">
        <f>HEX2DEC(RIGHT(Table13232127[[#This Row],[h1]],8))</f>
        <v>0</v>
      </c>
      <c r="Q1083" s="46" t="s">
        <v>149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149</v>
      </c>
      <c r="P1084" s="46">
        <f>HEX2DEC(RIGHT(Table13232127[[#This Row],[h1]],8))</f>
        <v>0</v>
      </c>
      <c r="Q1084" s="46" t="s">
        <v>149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149</v>
      </c>
      <c r="P1085" s="46">
        <f>HEX2DEC(RIGHT(Table13232127[[#This Row],[h1]],8))</f>
        <v>0</v>
      </c>
      <c r="Q1085" s="46" t="s">
        <v>149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149</v>
      </c>
      <c r="P1086" s="46">
        <f>HEX2DEC(RIGHT(Table13232127[[#This Row],[h1]],8))</f>
        <v>0</v>
      </c>
      <c r="Q1086" s="46" t="s">
        <v>149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149</v>
      </c>
      <c r="P1087" s="46">
        <f>HEX2DEC(RIGHT(Table13232127[[#This Row],[h1]],8))</f>
        <v>0</v>
      </c>
      <c r="Q1087" s="46" t="s">
        <v>149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149</v>
      </c>
      <c r="P1088" s="46">
        <f>HEX2DEC(RIGHT(Table13232127[[#This Row],[h1]],8))</f>
        <v>0</v>
      </c>
      <c r="Q1088" s="46" t="s">
        <v>149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149</v>
      </c>
      <c r="P1089" s="46">
        <f>HEX2DEC(RIGHT(Table13232127[[#This Row],[h1]],8))</f>
        <v>0</v>
      </c>
      <c r="Q1089" s="46" t="s">
        <v>149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149</v>
      </c>
      <c r="P1090" s="46">
        <f>HEX2DEC(RIGHT(Table13232127[[#This Row],[h1]],8))</f>
        <v>0</v>
      </c>
      <c r="Q1090" s="46" t="s">
        <v>149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149</v>
      </c>
      <c r="P1091" s="46">
        <f>HEX2DEC(RIGHT(Table13232127[[#This Row],[h1]],8))</f>
        <v>0</v>
      </c>
      <c r="Q1091" s="46" t="s">
        <v>149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149</v>
      </c>
      <c r="P1092" s="46">
        <f>HEX2DEC(RIGHT(Table13232127[[#This Row],[h1]],8))</f>
        <v>0</v>
      </c>
      <c r="Q1092" s="46" t="s">
        <v>149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149</v>
      </c>
      <c r="P1093" s="46">
        <f>HEX2DEC(RIGHT(Table13232127[[#This Row],[h1]],8))</f>
        <v>0</v>
      </c>
      <c r="Q1093" s="46" t="s">
        <v>149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149</v>
      </c>
      <c r="P1094" s="46">
        <f>HEX2DEC(RIGHT(Table13232127[[#This Row],[h1]],8))</f>
        <v>0</v>
      </c>
      <c r="Q1094" s="46" t="s">
        <v>149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149</v>
      </c>
      <c r="P1095" s="46">
        <f>HEX2DEC(RIGHT(Table13232127[[#This Row],[h1]],8))</f>
        <v>0</v>
      </c>
      <c r="Q1095" s="46" t="s">
        <v>149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149</v>
      </c>
      <c r="P1096" s="46">
        <f>HEX2DEC(RIGHT(Table13232127[[#This Row],[h1]],8))</f>
        <v>0</v>
      </c>
      <c r="Q1096" s="46" t="s">
        <v>149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149</v>
      </c>
      <c r="P1097" s="46">
        <f>HEX2DEC(RIGHT(Table13232127[[#This Row],[h1]],8))</f>
        <v>0</v>
      </c>
      <c r="Q1097" s="46" t="s">
        <v>149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149</v>
      </c>
      <c r="P1098" s="46">
        <f>HEX2DEC(RIGHT(Table13232127[[#This Row],[h1]],8))</f>
        <v>0</v>
      </c>
      <c r="Q1098" s="46" t="s">
        <v>149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149</v>
      </c>
      <c r="P1099" s="46">
        <f>HEX2DEC(RIGHT(Table13232127[[#This Row],[h1]],8))</f>
        <v>0</v>
      </c>
      <c r="Q1099" s="46" t="s">
        <v>149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149</v>
      </c>
      <c r="P1100" s="46">
        <f>HEX2DEC(RIGHT(Table13232127[[#This Row],[h1]],8))</f>
        <v>0</v>
      </c>
      <c r="Q1100" s="46" t="s">
        <v>149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149</v>
      </c>
      <c r="P1101" s="46">
        <f>HEX2DEC(RIGHT(Table13232127[[#This Row],[h1]],8))</f>
        <v>0</v>
      </c>
      <c r="Q1101" s="46" t="s">
        <v>149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149</v>
      </c>
      <c r="P1102" s="46">
        <f>HEX2DEC(RIGHT(Table13232127[[#This Row],[h1]],8))</f>
        <v>0</v>
      </c>
      <c r="Q1102" s="46" t="s">
        <v>149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149</v>
      </c>
      <c r="P1103" s="46">
        <f>HEX2DEC(RIGHT(Table13232127[[#This Row],[h1]],8))</f>
        <v>0</v>
      </c>
      <c r="Q1103" s="46" t="s">
        <v>149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149</v>
      </c>
      <c r="P1104" s="46">
        <f>HEX2DEC(RIGHT(Table13232127[[#This Row],[h1]],8))</f>
        <v>0</v>
      </c>
      <c r="Q1104" s="46" t="s">
        <v>149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149</v>
      </c>
      <c r="P1105" s="46">
        <f>HEX2DEC(RIGHT(Table13232127[[#This Row],[h1]],8))</f>
        <v>0</v>
      </c>
      <c r="Q1105" s="46" t="s">
        <v>149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149</v>
      </c>
      <c r="P1106" s="46">
        <f>HEX2DEC(RIGHT(Table13232127[[#This Row],[h1]],8))</f>
        <v>0</v>
      </c>
      <c r="Q1106" s="46" t="s">
        <v>149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149</v>
      </c>
      <c r="P1107" s="46">
        <f>HEX2DEC(RIGHT(Table13232127[[#This Row],[h1]],8))</f>
        <v>0</v>
      </c>
      <c r="Q1107" s="46" t="s">
        <v>149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149</v>
      </c>
      <c r="P1108" s="46">
        <f>HEX2DEC(RIGHT(Table13232127[[#This Row],[h1]],8))</f>
        <v>0</v>
      </c>
      <c r="Q1108" s="46" t="s">
        <v>149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149</v>
      </c>
      <c r="P1109" s="46">
        <f>HEX2DEC(RIGHT(Table13232127[[#This Row],[h1]],8))</f>
        <v>0</v>
      </c>
      <c r="Q1109" s="46" t="s">
        <v>149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149</v>
      </c>
      <c r="P1110" s="46">
        <f>HEX2DEC(RIGHT(Table13232127[[#This Row],[h1]],8))</f>
        <v>0</v>
      </c>
      <c r="Q1110" s="46" t="s">
        <v>149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149</v>
      </c>
      <c r="P1111" s="46">
        <f>HEX2DEC(RIGHT(Table13232127[[#This Row],[h1]],8))</f>
        <v>0</v>
      </c>
      <c r="Q1111" s="46" t="s">
        <v>149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149</v>
      </c>
      <c r="P1112" s="46">
        <f>HEX2DEC(RIGHT(Table13232127[[#This Row],[h1]],8))</f>
        <v>0</v>
      </c>
      <c r="Q1112" s="46" t="s">
        <v>149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149</v>
      </c>
      <c r="P1113" s="46">
        <f>HEX2DEC(RIGHT(Table13232127[[#This Row],[h1]],8))</f>
        <v>0</v>
      </c>
      <c r="Q1113" s="46" t="s">
        <v>149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149</v>
      </c>
      <c r="P1114" s="46">
        <f>HEX2DEC(RIGHT(Table13232127[[#This Row],[h1]],8))</f>
        <v>0</v>
      </c>
      <c r="Q1114" s="46" t="s">
        <v>149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149</v>
      </c>
      <c r="P1115" s="46">
        <f>HEX2DEC(RIGHT(Table13232127[[#This Row],[h1]],8))</f>
        <v>0</v>
      </c>
      <c r="Q1115" s="46" t="s">
        <v>149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149</v>
      </c>
      <c r="P1116" s="46">
        <f>HEX2DEC(RIGHT(Table13232127[[#This Row],[h1]],8))</f>
        <v>0</v>
      </c>
      <c r="Q1116" s="46" t="s">
        <v>149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149</v>
      </c>
      <c r="P1117" s="46">
        <f>HEX2DEC(RIGHT(Table13232127[[#This Row],[h1]],8))</f>
        <v>0</v>
      </c>
      <c r="Q1117" s="46" t="s">
        <v>149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149</v>
      </c>
      <c r="P1118" s="46">
        <f>HEX2DEC(RIGHT(Table13232127[[#This Row],[h1]],8))</f>
        <v>0</v>
      </c>
      <c r="Q1118" s="46" t="s">
        <v>149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149</v>
      </c>
      <c r="P1119" s="46">
        <f>HEX2DEC(RIGHT(Table13232127[[#This Row],[h1]],8))</f>
        <v>0</v>
      </c>
      <c r="Q1119" s="46" t="s">
        <v>149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149</v>
      </c>
      <c r="P1120" s="46">
        <f>HEX2DEC(RIGHT(Table13232127[[#This Row],[h1]],8))</f>
        <v>0</v>
      </c>
      <c r="Q1120" s="46" t="s">
        <v>149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149</v>
      </c>
      <c r="P1121" s="46">
        <f>HEX2DEC(RIGHT(Table13232127[[#This Row],[h1]],8))</f>
        <v>0</v>
      </c>
      <c r="Q1121" s="46" t="s">
        <v>149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149</v>
      </c>
      <c r="P1122" s="46">
        <f>HEX2DEC(RIGHT(Table13232127[[#This Row],[h1]],8))</f>
        <v>0</v>
      </c>
      <c r="Q1122" s="46" t="s">
        <v>149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149</v>
      </c>
      <c r="P1123" s="46">
        <f>HEX2DEC(RIGHT(Table13232127[[#This Row],[h1]],8))</f>
        <v>0</v>
      </c>
      <c r="Q1123" s="46" t="s">
        <v>149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149</v>
      </c>
      <c r="P1124" s="46">
        <f>HEX2DEC(RIGHT(Table13232127[[#This Row],[h1]],8))</f>
        <v>0</v>
      </c>
      <c r="Q1124" s="46" t="s">
        <v>149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149</v>
      </c>
      <c r="P1125" s="46">
        <f>HEX2DEC(RIGHT(Table13232127[[#This Row],[h1]],8))</f>
        <v>0</v>
      </c>
      <c r="Q1125" s="46" t="s">
        <v>149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149</v>
      </c>
      <c r="P1126" s="46">
        <f>HEX2DEC(RIGHT(Table13232127[[#This Row],[h1]],8))</f>
        <v>0</v>
      </c>
      <c r="Q1126" s="46" t="s">
        <v>149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149</v>
      </c>
      <c r="P1127" s="46">
        <f>HEX2DEC(RIGHT(Table13232127[[#This Row],[h1]],8))</f>
        <v>0</v>
      </c>
      <c r="Q1127" s="46" t="s">
        <v>149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149</v>
      </c>
      <c r="P1128" s="46">
        <f>HEX2DEC(RIGHT(Table13232127[[#This Row],[h1]],8))</f>
        <v>0</v>
      </c>
      <c r="Q1128" s="46" t="s">
        <v>149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149</v>
      </c>
      <c r="P1129" s="46">
        <f>HEX2DEC(RIGHT(Table13232127[[#This Row],[h1]],8))</f>
        <v>0</v>
      </c>
      <c r="Q1129" s="46" t="s">
        <v>149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149</v>
      </c>
      <c r="P1130" s="46">
        <f>HEX2DEC(RIGHT(Table13232127[[#This Row],[h1]],8))</f>
        <v>0</v>
      </c>
      <c r="Q1130" s="46" t="s">
        <v>149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149</v>
      </c>
      <c r="P1131" s="46">
        <f>HEX2DEC(RIGHT(Table13232127[[#This Row],[h1]],8))</f>
        <v>0</v>
      </c>
      <c r="Q1131" s="46" t="s">
        <v>149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149</v>
      </c>
      <c r="P1132" s="46">
        <f>HEX2DEC(RIGHT(Table13232127[[#This Row],[h1]],8))</f>
        <v>0</v>
      </c>
      <c r="Q1132" s="46" t="s">
        <v>149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149</v>
      </c>
      <c r="P1133" s="46">
        <f>HEX2DEC(RIGHT(Table13232127[[#This Row],[h1]],8))</f>
        <v>0</v>
      </c>
      <c r="Q1133" s="46" t="s">
        <v>149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149</v>
      </c>
      <c r="P1134" s="46">
        <f>HEX2DEC(RIGHT(Table13232127[[#This Row],[h1]],8))</f>
        <v>0</v>
      </c>
      <c r="Q1134" s="46" t="s">
        <v>149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149</v>
      </c>
      <c r="P1135" s="46">
        <f>HEX2DEC(RIGHT(Table13232127[[#This Row],[h1]],8))</f>
        <v>0</v>
      </c>
      <c r="Q1135" s="46" t="s">
        <v>149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149</v>
      </c>
      <c r="P1136" s="46">
        <f>HEX2DEC(RIGHT(Table13232127[[#This Row],[h1]],8))</f>
        <v>0</v>
      </c>
      <c r="Q1136" s="46" t="s">
        <v>149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149</v>
      </c>
      <c r="P1137" s="46">
        <f>HEX2DEC(RIGHT(Table13232127[[#This Row],[h1]],8))</f>
        <v>0</v>
      </c>
      <c r="Q1137" s="46" t="s">
        <v>149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149</v>
      </c>
      <c r="P1138" s="46">
        <f>HEX2DEC(RIGHT(Table13232127[[#This Row],[h1]],8))</f>
        <v>0</v>
      </c>
      <c r="Q1138" s="46" t="s">
        <v>149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149</v>
      </c>
      <c r="P1139" s="46">
        <f>HEX2DEC(RIGHT(Table13232127[[#This Row],[h1]],8))</f>
        <v>0</v>
      </c>
      <c r="Q1139" s="46" t="s">
        <v>149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149</v>
      </c>
      <c r="P1140" s="46">
        <f>HEX2DEC(RIGHT(Table13232127[[#This Row],[h1]],8))</f>
        <v>0</v>
      </c>
      <c r="Q1140" s="46" t="s">
        <v>149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149</v>
      </c>
      <c r="P1141" s="46">
        <f>HEX2DEC(RIGHT(Table13232127[[#This Row],[h1]],8))</f>
        <v>0</v>
      </c>
      <c r="Q1141" s="46" t="s">
        <v>149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149</v>
      </c>
      <c r="P1142" s="46">
        <f>HEX2DEC(RIGHT(Table13232127[[#This Row],[h1]],8))</f>
        <v>0</v>
      </c>
      <c r="Q1142" s="46" t="s">
        <v>149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149</v>
      </c>
      <c r="P1143" s="46">
        <f>HEX2DEC(RIGHT(Table13232127[[#This Row],[h1]],8))</f>
        <v>0</v>
      </c>
      <c r="Q1143" s="46" t="s">
        <v>149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149</v>
      </c>
      <c r="P1144" s="46">
        <f>HEX2DEC(RIGHT(Table13232127[[#This Row],[h1]],8))</f>
        <v>0</v>
      </c>
      <c r="Q1144" s="46" t="s">
        <v>149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149</v>
      </c>
      <c r="P1145" s="46">
        <f>HEX2DEC(RIGHT(Table13232127[[#This Row],[h1]],8))</f>
        <v>0</v>
      </c>
      <c r="Q1145" s="46" t="s">
        <v>149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149</v>
      </c>
      <c r="P1146" s="46">
        <f>HEX2DEC(RIGHT(Table13232127[[#This Row],[h1]],8))</f>
        <v>0</v>
      </c>
      <c r="Q1146" s="46" t="s">
        <v>149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149</v>
      </c>
      <c r="P1147" s="46">
        <f>HEX2DEC(RIGHT(Table13232127[[#This Row],[h1]],8))</f>
        <v>0</v>
      </c>
      <c r="Q1147" s="46" t="s">
        <v>149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149</v>
      </c>
      <c r="P1148" s="46">
        <f>HEX2DEC(RIGHT(Table13232127[[#This Row],[h1]],8))</f>
        <v>0</v>
      </c>
      <c r="Q1148" s="46" t="s">
        <v>149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149</v>
      </c>
      <c r="P1149" s="46">
        <f>HEX2DEC(RIGHT(Table13232127[[#This Row],[h1]],8))</f>
        <v>0</v>
      </c>
      <c r="Q1149" s="46" t="s">
        <v>149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149</v>
      </c>
      <c r="P1150" s="46">
        <f>HEX2DEC(RIGHT(Table13232127[[#This Row],[h1]],8))</f>
        <v>0</v>
      </c>
      <c r="Q1150" s="46" t="s">
        <v>149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149</v>
      </c>
      <c r="P1151" s="46">
        <f>HEX2DEC(RIGHT(Table13232127[[#This Row],[h1]],8))</f>
        <v>0</v>
      </c>
      <c r="Q1151" s="46" t="s">
        <v>149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149</v>
      </c>
      <c r="P1152" s="46">
        <f>HEX2DEC(RIGHT(Table13232127[[#This Row],[h1]],8))</f>
        <v>0</v>
      </c>
      <c r="Q1152" s="46" t="s">
        <v>149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149</v>
      </c>
      <c r="P1153" s="46">
        <f>HEX2DEC(RIGHT(Table13232127[[#This Row],[h1]],8))</f>
        <v>0</v>
      </c>
      <c r="Q1153" s="46" t="s">
        <v>149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149</v>
      </c>
      <c r="P1154" s="46">
        <f>HEX2DEC(RIGHT(Table13232127[[#This Row],[h1]],8))</f>
        <v>0</v>
      </c>
      <c r="Q1154" s="46" t="s">
        <v>149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149</v>
      </c>
      <c r="P1155" s="46">
        <f>HEX2DEC(RIGHT(Table13232127[[#This Row],[h1]],8))</f>
        <v>0</v>
      </c>
      <c r="Q1155" s="46" t="s">
        <v>149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149</v>
      </c>
      <c r="P1156" s="46">
        <f>HEX2DEC(RIGHT(Table13232127[[#This Row],[h1]],8))</f>
        <v>0</v>
      </c>
      <c r="Q1156" s="46" t="s">
        <v>149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149</v>
      </c>
      <c r="P1157" s="46">
        <f>HEX2DEC(RIGHT(Table13232127[[#This Row],[h1]],8))</f>
        <v>0</v>
      </c>
      <c r="Q1157" s="46" t="s">
        <v>149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149</v>
      </c>
      <c r="P1158" s="46">
        <f>HEX2DEC(RIGHT(Table13232127[[#This Row],[h1]],8))</f>
        <v>0</v>
      </c>
      <c r="Q1158" s="46" t="s">
        <v>149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149</v>
      </c>
      <c r="P1159" s="46">
        <f>HEX2DEC(RIGHT(Table13232127[[#This Row],[h1]],8))</f>
        <v>0</v>
      </c>
      <c r="Q1159" s="46" t="s">
        <v>149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149</v>
      </c>
      <c r="P1160" s="46">
        <f>HEX2DEC(RIGHT(Table13232127[[#This Row],[h1]],8))</f>
        <v>0</v>
      </c>
      <c r="Q1160" s="46" t="s">
        <v>149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149</v>
      </c>
      <c r="P1161" s="46">
        <f>HEX2DEC(RIGHT(Table13232127[[#This Row],[h1]],8))</f>
        <v>0</v>
      </c>
      <c r="Q1161" s="46" t="s">
        <v>149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149</v>
      </c>
      <c r="P1162" s="46">
        <f>HEX2DEC(RIGHT(Table13232127[[#This Row],[h1]],8))</f>
        <v>0</v>
      </c>
      <c r="Q1162" s="46" t="s">
        <v>149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149</v>
      </c>
      <c r="P1163" s="46">
        <f>HEX2DEC(RIGHT(Table13232127[[#This Row],[h1]],8))</f>
        <v>0</v>
      </c>
      <c r="Q1163" s="46" t="s">
        <v>149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149</v>
      </c>
      <c r="P1164" s="46">
        <f>HEX2DEC(RIGHT(Table13232127[[#This Row],[h1]],8))</f>
        <v>0</v>
      </c>
      <c r="Q1164" s="46" t="s">
        <v>149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149</v>
      </c>
      <c r="P1165" s="46">
        <f>HEX2DEC(RIGHT(Table13232127[[#This Row],[h1]],8))</f>
        <v>0</v>
      </c>
      <c r="Q1165" s="46" t="s">
        <v>149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149</v>
      </c>
      <c r="P1166" s="46">
        <f>HEX2DEC(RIGHT(Table13232127[[#This Row],[h1]],8))</f>
        <v>0</v>
      </c>
      <c r="Q1166" s="46" t="s">
        <v>149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149</v>
      </c>
      <c r="P1167" s="46">
        <f>HEX2DEC(RIGHT(Table13232127[[#This Row],[h1]],8))</f>
        <v>0</v>
      </c>
      <c r="Q1167" s="46" t="s">
        <v>149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149</v>
      </c>
      <c r="P1168" s="46">
        <f>HEX2DEC(RIGHT(Table13232127[[#This Row],[h1]],8))</f>
        <v>0</v>
      </c>
      <c r="Q1168" s="46" t="s">
        <v>149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149</v>
      </c>
      <c r="P1169" s="46">
        <f>HEX2DEC(RIGHT(Table13232127[[#This Row],[h1]],8))</f>
        <v>0</v>
      </c>
      <c r="Q1169" s="46" t="s">
        <v>149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149</v>
      </c>
      <c r="P1170" s="46">
        <f>HEX2DEC(RIGHT(Table13232127[[#This Row],[h1]],8))</f>
        <v>0</v>
      </c>
      <c r="Q1170" s="46" t="s">
        <v>149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149</v>
      </c>
      <c r="P1171" s="46">
        <f>HEX2DEC(RIGHT(Table13232127[[#This Row],[h1]],8))</f>
        <v>0</v>
      </c>
      <c r="Q1171" s="46" t="s">
        <v>149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149</v>
      </c>
      <c r="P1172" s="46">
        <f>HEX2DEC(RIGHT(Table13232127[[#This Row],[h1]],8))</f>
        <v>0</v>
      </c>
      <c r="Q1172" s="46" t="s">
        <v>149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149</v>
      </c>
      <c r="P1173" s="46">
        <f>HEX2DEC(RIGHT(Table13232127[[#This Row],[h1]],8))</f>
        <v>0</v>
      </c>
      <c r="Q1173" s="46" t="s">
        <v>149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149</v>
      </c>
      <c r="P1174" s="46">
        <f>HEX2DEC(RIGHT(Table13232127[[#This Row],[h1]],8))</f>
        <v>0</v>
      </c>
      <c r="Q1174" s="46" t="s">
        <v>149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149</v>
      </c>
      <c r="P1175" s="46">
        <f>HEX2DEC(RIGHT(Table13232127[[#This Row],[h1]],8))</f>
        <v>0</v>
      </c>
      <c r="Q1175" s="46" t="s">
        <v>149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149</v>
      </c>
      <c r="P1176" s="46">
        <f>HEX2DEC(RIGHT(Table13232127[[#This Row],[h1]],8))</f>
        <v>0</v>
      </c>
      <c r="Q1176" s="46" t="s">
        <v>149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149</v>
      </c>
      <c r="P1177" s="46">
        <f>HEX2DEC(RIGHT(Table13232127[[#This Row],[h1]],8))</f>
        <v>0</v>
      </c>
      <c r="Q1177" s="46" t="s">
        <v>149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149</v>
      </c>
      <c r="P1178" s="46">
        <f>HEX2DEC(RIGHT(Table13232127[[#This Row],[h1]],8))</f>
        <v>0</v>
      </c>
      <c r="Q1178" s="46" t="s">
        <v>149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149</v>
      </c>
      <c r="P1179" s="46">
        <f>HEX2DEC(RIGHT(Table13232127[[#This Row],[h1]],8))</f>
        <v>0</v>
      </c>
      <c r="Q1179" s="46" t="s">
        <v>149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149</v>
      </c>
      <c r="P1180" s="46">
        <f>HEX2DEC(RIGHT(Table13232127[[#This Row],[h1]],8))</f>
        <v>0</v>
      </c>
      <c r="Q1180" s="46" t="s">
        <v>149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149</v>
      </c>
      <c r="P1181" s="46">
        <f>HEX2DEC(RIGHT(Table13232127[[#This Row],[h1]],8))</f>
        <v>0</v>
      </c>
      <c r="Q1181" s="46" t="s">
        <v>149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149</v>
      </c>
      <c r="P1182" s="46">
        <f>HEX2DEC(RIGHT(Table13232127[[#This Row],[h1]],8))</f>
        <v>0</v>
      </c>
      <c r="Q1182" s="46" t="s">
        <v>149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149</v>
      </c>
      <c r="P1183" s="46">
        <f>HEX2DEC(RIGHT(Table13232127[[#This Row],[h1]],8))</f>
        <v>0</v>
      </c>
      <c r="Q1183" s="46" t="s">
        <v>149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149</v>
      </c>
      <c r="P1184" s="46">
        <f>HEX2DEC(RIGHT(Table13232127[[#This Row],[h1]],8))</f>
        <v>0</v>
      </c>
      <c r="Q1184" s="46" t="s">
        <v>149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149</v>
      </c>
      <c r="P1185" s="46">
        <f>HEX2DEC(RIGHT(Table13232127[[#This Row],[h1]],8))</f>
        <v>0</v>
      </c>
      <c r="Q1185" s="46" t="s">
        <v>149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149</v>
      </c>
      <c r="P1186" s="46">
        <f>HEX2DEC(RIGHT(Table13232127[[#This Row],[h1]],8))</f>
        <v>0</v>
      </c>
      <c r="Q1186" s="46" t="s">
        <v>149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149</v>
      </c>
      <c r="P1187" s="46">
        <f>HEX2DEC(RIGHT(Table13232127[[#This Row],[h1]],8))</f>
        <v>0</v>
      </c>
      <c r="Q1187" s="46" t="s">
        <v>149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149</v>
      </c>
      <c r="P1188" s="46">
        <f>HEX2DEC(RIGHT(Table13232127[[#This Row],[h1]],8))</f>
        <v>0</v>
      </c>
      <c r="Q1188" s="46" t="s">
        <v>149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149</v>
      </c>
      <c r="P1189" s="46">
        <f>HEX2DEC(RIGHT(Table13232127[[#This Row],[h1]],8))</f>
        <v>0</v>
      </c>
      <c r="Q1189" s="46" t="s">
        <v>149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149</v>
      </c>
      <c r="P1190" s="46">
        <f>HEX2DEC(RIGHT(Table13232127[[#This Row],[h1]],8))</f>
        <v>0</v>
      </c>
      <c r="Q1190" s="46" t="s">
        <v>149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149</v>
      </c>
      <c r="P1191" s="46">
        <f>HEX2DEC(RIGHT(Table13232127[[#This Row],[h1]],8))</f>
        <v>0</v>
      </c>
      <c r="Q1191" s="46" t="s">
        <v>149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149</v>
      </c>
      <c r="P1192" s="46">
        <f>HEX2DEC(RIGHT(Table13232127[[#This Row],[h1]],8))</f>
        <v>0</v>
      </c>
      <c r="Q1192" s="46" t="s">
        <v>149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149</v>
      </c>
      <c r="P1193" s="46">
        <f>HEX2DEC(RIGHT(Table13232127[[#This Row],[h1]],8))</f>
        <v>0</v>
      </c>
      <c r="Q1193" s="46" t="s">
        <v>149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149</v>
      </c>
      <c r="P1194" s="46">
        <f>HEX2DEC(RIGHT(Table13232127[[#This Row],[h1]],8))</f>
        <v>0</v>
      </c>
      <c r="Q1194" s="46" t="s">
        <v>149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149</v>
      </c>
      <c r="P1195" s="46">
        <f>HEX2DEC(RIGHT(Table13232127[[#This Row],[h1]],8))</f>
        <v>0</v>
      </c>
      <c r="Q1195" s="46" t="s">
        <v>149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149</v>
      </c>
      <c r="P1196" s="46">
        <f>HEX2DEC(RIGHT(Table13232127[[#This Row],[h1]],8))</f>
        <v>0</v>
      </c>
      <c r="Q1196" s="46" t="s">
        <v>149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149</v>
      </c>
      <c r="P1197" s="46">
        <f>HEX2DEC(RIGHT(Table13232127[[#This Row],[h1]],8))</f>
        <v>0</v>
      </c>
      <c r="Q1197" s="46" t="s">
        <v>149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149</v>
      </c>
      <c r="P1198" s="46">
        <f>HEX2DEC(RIGHT(Table13232127[[#This Row],[h1]],8))</f>
        <v>0</v>
      </c>
      <c r="Q1198" s="46" t="s">
        <v>149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149</v>
      </c>
      <c r="P1199" s="46">
        <f>HEX2DEC(RIGHT(Table13232127[[#This Row],[h1]],8))</f>
        <v>0</v>
      </c>
      <c r="Q1199" s="46" t="s">
        <v>149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149</v>
      </c>
      <c r="P1200" s="46">
        <f>HEX2DEC(RIGHT(Table13232127[[#This Row],[h1]],8))</f>
        <v>0</v>
      </c>
      <c r="Q1200" s="46" t="s">
        <v>149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149</v>
      </c>
      <c r="P1201" s="46">
        <f>HEX2DEC(RIGHT(Table13232127[[#This Row],[h1]],8))</f>
        <v>0</v>
      </c>
      <c r="Q1201" s="46" t="s">
        <v>149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149</v>
      </c>
      <c r="P1202" s="46">
        <f>HEX2DEC(RIGHT(Table13232127[[#This Row],[h1]],8))</f>
        <v>0</v>
      </c>
      <c r="Q1202" s="46" t="s">
        <v>149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149</v>
      </c>
      <c r="P1203" s="46">
        <f>HEX2DEC(RIGHT(Table13232127[[#This Row],[h1]],8))</f>
        <v>0</v>
      </c>
      <c r="Q1203" s="46" t="s">
        <v>149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149</v>
      </c>
      <c r="P1204" s="46">
        <f>HEX2DEC(RIGHT(Table13232127[[#This Row],[h1]],8))</f>
        <v>0</v>
      </c>
      <c r="Q1204" s="46" t="s">
        <v>149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149</v>
      </c>
      <c r="P1205" s="46">
        <f>HEX2DEC(RIGHT(Table13232127[[#This Row],[h1]],8))</f>
        <v>0</v>
      </c>
      <c r="Q1205" s="46" t="s">
        <v>149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149</v>
      </c>
      <c r="P1206" s="46">
        <f>HEX2DEC(RIGHT(Table13232127[[#This Row],[h1]],8))</f>
        <v>0</v>
      </c>
      <c r="Q1206" s="46" t="s">
        <v>149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149</v>
      </c>
      <c r="P1207" s="46">
        <f>HEX2DEC(RIGHT(Table13232127[[#This Row],[h1]],8))</f>
        <v>0</v>
      </c>
      <c r="Q1207" s="46" t="s">
        <v>149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149</v>
      </c>
      <c r="P1208" s="46">
        <f>HEX2DEC(RIGHT(Table13232127[[#This Row],[h1]],8))</f>
        <v>0</v>
      </c>
      <c r="Q1208" s="46" t="s">
        <v>149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149</v>
      </c>
      <c r="P1209" s="46">
        <f>HEX2DEC(RIGHT(Table13232127[[#This Row],[h1]],8))</f>
        <v>0</v>
      </c>
      <c r="Q1209" s="46" t="s">
        <v>149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149</v>
      </c>
      <c r="P1210" s="46">
        <f>HEX2DEC(RIGHT(Table13232127[[#This Row],[h1]],8))</f>
        <v>0</v>
      </c>
      <c r="Q1210" s="46" t="s">
        <v>149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149</v>
      </c>
      <c r="P1211" s="46">
        <f>HEX2DEC(RIGHT(Table13232127[[#This Row],[h1]],8))</f>
        <v>0</v>
      </c>
      <c r="Q1211" s="46" t="s">
        <v>149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149</v>
      </c>
      <c r="P1212" s="46">
        <f>HEX2DEC(RIGHT(Table13232127[[#This Row],[h1]],8))</f>
        <v>0</v>
      </c>
      <c r="Q1212" s="46" t="s">
        <v>149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149</v>
      </c>
      <c r="P1213" s="46">
        <f>HEX2DEC(RIGHT(Table13232127[[#This Row],[h1]],8))</f>
        <v>0</v>
      </c>
      <c r="Q1213" s="46" t="s">
        <v>149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149</v>
      </c>
      <c r="P1214" s="46">
        <f>HEX2DEC(RIGHT(Table13232127[[#This Row],[h1]],8))</f>
        <v>0</v>
      </c>
      <c r="Q1214" s="46" t="s">
        <v>149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149</v>
      </c>
      <c r="P1215" s="46">
        <f>HEX2DEC(RIGHT(Table13232127[[#This Row],[h1]],8))</f>
        <v>0</v>
      </c>
      <c r="Q1215" s="46" t="s">
        <v>149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149</v>
      </c>
      <c r="P1216" s="46">
        <f>HEX2DEC(RIGHT(Table13232127[[#This Row],[h1]],8))</f>
        <v>0</v>
      </c>
      <c r="Q1216" s="46" t="s">
        <v>149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149</v>
      </c>
      <c r="P1217" s="46">
        <f>HEX2DEC(RIGHT(Table13232127[[#This Row],[h1]],8))</f>
        <v>0</v>
      </c>
      <c r="Q1217" s="46" t="s">
        <v>149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149</v>
      </c>
      <c r="P1218" s="46">
        <f>HEX2DEC(RIGHT(Table13232127[[#This Row],[h1]],8))</f>
        <v>0</v>
      </c>
      <c r="Q1218" s="46" t="s">
        <v>149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149</v>
      </c>
      <c r="P1219" s="46">
        <f>HEX2DEC(RIGHT(Table13232127[[#This Row],[h1]],8))</f>
        <v>0</v>
      </c>
      <c r="Q1219" s="46" t="s">
        <v>149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149</v>
      </c>
      <c r="P1220" s="46">
        <f>HEX2DEC(RIGHT(Table13232127[[#This Row],[h1]],8))</f>
        <v>0</v>
      </c>
      <c r="Q1220" s="46" t="s">
        <v>149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149</v>
      </c>
      <c r="P1221" s="46">
        <f>HEX2DEC(RIGHT(Table13232127[[#This Row],[h1]],8))</f>
        <v>0</v>
      </c>
      <c r="Q1221" s="46" t="s">
        <v>149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149</v>
      </c>
      <c r="P1222" s="46">
        <f>HEX2DEC(RIGHT(Table13232127[[#This Row],[h1]],8))</f>
        <v>0</v>
      </c>
      <c r="Q1222" s="46" t="s">
        <v>149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149</v>
      </c>
      <c r="P1223" s="46">
        <f>HEX2DEC(RIGHT(Table13232127[[#This Row],[h1]],8))</f>
        <v>0</v>
      </c>
      <c r="Q1223" s="46" t="s">
        <v>149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149</v>
      </c>
      <c r="P1224" s="46">
        <f>HEX2DEC(RIGHT(Table13232127[[#This Row],[h1]],8))</f>
        <v>0</v>
      </c>
      <c r="Q1224" s="46" t="s">
        <v>149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149</v>
      </c>
      <c r="P1225" s="46">
        <f>HEX2DEC(RIGHT(Table13232127[[#This Row],[h1]],8))</f>
        <v>0</v>
      </c>
      <c r="Q1225" s="46" t="s">
        <v>149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149</v>
      </c>
      <c r="P1226" s="46">
        <f>HEX2DEC(RIGHT(Table13232127[[#This Row],[h1]],8))</f>
        <v>0</v>
      </c>
      <c r="Q1226" s="46" t="s">
        <v>149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149</v>
      </c>
      <c r="P1227" s="46">
        <f>HEX2DEC(RIGHT(Table13232127[[#This Row],[h1]],8))</f>
        <v>0</v>
      </c>
      <c r="Q1227" s="46" t="s">
        <v>149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149</v>
      </c>
      <c r="P1228" s="46">
        <f>HEX2DEC(RIGHT(Table13232127[[#This Row],[h1]],8))</f>
        <v>0</v>
      </c>
      <c r="Q1228" s="46" t="s">
        <v>149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149</v>
      </c>
      <c r="P1229" s="46">
        <f>HEX2DEC(RIGHT(Table13232127[[#This Row],[h1]],8))</f>
        <v>0</v>
      </c>
      <c r="Q1229" s="46" t="s">
        <v>149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149</v>
      </c>
      <c r="P1230" s="46">
        <f>HEX2DEC(RIGHT(Table13232127[[#This Row],[h1]],8))</f>
        <v>0</v>
      </c>
      <c r="Q1230" s="46" t="s">
        <v>149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149</v>
      </c>
      <c r="P1231" s="46">
        <f>HEX2DEC(RIGHT(Table13232127[[#This Row],[h1]],8))</f>
        <v>0</v>
      </c>
      <c r="Q1231" s="46" t="s">
        <v>149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149</v>
      </c>
      <c r="P1232" s="46">
        <f>HEX2DEC(RIGHT(Table13232127[[#This Row],[h1]],8))</f>
        <v>0</v>
      </c>
      <c r="Q1232" s="46" t="s">
        <v>149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149</v>
      </c>
      <c r="P1233" s="46">
        <f>HEX2DEC(RIGHT(Table13232127[[#This Row],[h1]],8))</f>
        <v>0</v>
      </c>
      <c r="Q1233" s="46" t="s">
        <v>149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149</v>
      </c>
      <c r="P1234" s="46">
        <f>HEX2DEC(RIGHT(Table13232127[[#This Row],[h1]],8))</f>
        <v>0</v>
      </c>
      <c r="Q1234" s="46" t="s">
        <v>149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149</v>
      </c>
      <c r="P1235" s="46">
        <f>HEX2DEC(RIGHT(Table13232127[[#This Row],[h1]],8))</f>
        <v>0</v>
      </c>
      <c r="Q1235" s="46" t="s">
        <v>149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149</v>
      </c>
      <c r="P1236" s="46">
        <f>HEX2DEC(RIGHT(Table13232127[[#This Row],[h1]],8))</f>
        <v>0</v>
      </c>
      <c r="Q1236" s="46" t="s">
        <v>149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149</v>
      </c>
      <c r="P1237" s="46">
        <f>HEX2DEC(RIGHT(Table13232127[[#This Row],[h1]],8))</f>
        <v>0</v>
      </c>
      <c r="Q1237" s="46" t="s">
        <v>149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149</v>
      </c>
      <c r="P1238" s="46">
        <f>HEX2DEC(RIGHT(Table13232127[[#This Row],[h1]],8))</f>
        <v>0</v>
      </c>
      <c r="Q1238" s="46" t="s">
        <v>149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149</v>
      </c>
      <c r="P1239" s="46">
        <f>HEX2DEC(RIGHT(Table13232127[[#This Row],[h1]],8))</f>
        <v>0</v>
      </c>
      <c r="Q1239" s="46" t="s">
        <v>149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149</v>
      </c>
      <c r="P1240" s="46">
        <f>HEX2DEC(RIGHT(Table13232127[[#This Row],[h1]],8))</f>
        <v>0</v>
      </c>
      <c r="Q1240" s="46" t="s">
        <v>149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149</v>
      </c>
      <c r="P1241" s="46">
        <f>HEX2DEC(RIGHT(Table13232127[[#This Row],[h1]],8))</f>
        <v>0</v>
      </c>
      <c r="Q1241" s="46" t="s">
        <v>149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149</v>
      </c>
      <c r="P1242" s="46">
        <f>HEX2DEC(RIGHT(Table13232127[[#This Row],[h1]],8))</f>
        <v>0</v>
      </c>
      <c r="Q1242" s="46" t="s">
        <v>149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149</v>
      </c>
      <c r="P1243" s="46">
        <f>HEX2DEC(RIGHT(Table13232127[[#This Row],[h1]],8))</f>
        <v>0</v>
      </c>
      <c r="Q1243" s="46" t="s">
        <v>149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149</v>
      </c>
      <c r="P1244" s="46">
        <f>HEX2DEC(RIGHT(Table13232127[[#This Row],[h1]],8))</f>
        <v>0</v>
      </c>
      <c r="Q1244" s="46" t="s">
        <v>149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149</v>
      </c>
      <c r="P1245" s="46">
        <f>HEX2DEC(RIGHT(Table13232127[[#This Row],[h1]],8))</f>
        <v>0</v>
      </c>
      <c r="Q1245" s="46" t="s">
        <v>149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149</v>
      </c>
      <c r="P1246" s="46">
        <f>HEX2DEC(RIGHT(Table13232127[[#This Row],[h1]],8))</f>
        <v>0</v>
      </c>
      <c r="Q1246" s="46" t="s">
        <v>149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149</v>
      </c>
      <c r="P1247" s="46">
        <f>HEX2DEC(RIGHT(Table13232127[[#This Row],[h1]],8))</f>
        <v>0</v>
      </c>
      <c r="Q1247" s="46" t="s">
        <v>149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149</v>
      </c>
      <c r="P1248" s="46">
        <f>HEX2DEC(RIGHT(Table13232127[[#This Row],[h1]],8))</f>
        <v>0</v>
      </c>
      <c r="Q1248" s="46" t="s">
        <v>149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149</v>
      </c>
      <c r="P1249" s="46">
        <f>HEX2DEC(RIGHT(Table13232127[[#This Row],[h1]],8))</f>
        <v>0</v>
      </c>
      <c r="Q1249" s="46" t="s">
        <v>149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149</v>
      </c>
      <c r="P1250" s="46">
        <f>HEX2DEC(RIGHT(Table13232127[[#This Row],[h1]],8))</f>
        <v>0</v>
      </c>
      <c r="Q1250" s="46" t="s">
        <v>149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149</v>
      </c>
      <c r="P1251" s="46">
        <f>HEX2DEC(RIGHT(Table13232127[[#This Row],[h1]],8))</f>
        <v>0</v>
      </c>
      <c r="Q1251" s="46" t="s">
        <v>149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149</v>
      </c>
      <c r="P1252" s="46">
        <f>HEX2DEC(RIGHT(Table13232127[[#This Row],[h1]],8))</f>
        <v>0</v>
      </c>
      <c r="Q1252" s="46" t="s">
        <v>149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149</v>
      </c>
      <c r="P1253" s="46">
        <f>HEX2DEC(RIGHT(Table13232127[[#This Row],[h1]],8))</f>
        <v>0</v>
      </c>
      <c r="Q1253" s="46" t="s">
        <v>149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149</v>
      </c>
      <c r="P1254" s="46">
        <f>HEX2DEC(RIGHT(Table13232127[[#This Row],[h1]],8))</f>
        <v>0</v>
      </c>
      <c r="Q1254" s="46" t="s">
        <v>149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149</v>
      </c>
      <c r="P1255" s="46">
        <f>HEX2DEC(RIGHT(Table13232127[[#This Row],[h1]],8))</f>
        <v>0</v>
      </c>
      <c r="Q1255" s="46" t="s">
        <v>149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149</v>
      </c>
      <c r="P1256" s="46">
        <f>HEX2DEC(RIGHT(Table13232127[[#This Row],[h1]],8))</f>
        <v>0</v>
      </c>
      <c r="Q1256" s="46" t="s">
        <v>149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149</v>
      </c>
      <c r="P1257" s="46">
        <f>HEX2DEC(RIGHT(Table13232127[[#This Row],[h1]],8))</f>
        <v>0</v>
      </c>
      <c r="Q1257" s="46" t="s">
        <v>149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149</v>
      </c>
      <c r="P1258" s="46">
        <f>HEX2DEC(RIGHT(Table13232127[[#This Row],[h1]],8))</f>
        <v>0</v>
      </c>
      <c r="Q1258" s="46" t="s">
        <v>149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149</v>
      </c>
      <c r="P1259" s="46">
        <f>HEX2DEC(RIGHT(Table13232127[[#This Row],[h1]],8))</f>
        <v>0</v>
      </c>
      <c r="Q1259" s="46" t="s">
        <v>149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149</v>
      </c>
      <c r="P1260" s="46">
        <f>HEX2DEC(RIGHT(Table13232127[[#This Row],[h1]],8))</f>
        <v>0</v>
      </c>
      <c r="Q1260" s="46" t="s">
        <v>149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149</v>
      </c>
      <c r="P1261" s="46">
        <f>HEX2DEC(RIGHT(Table13232127[[#This Row],[h1]],8))</f>
        <v>0</v>
      </c>
      <c r="Q1261" s="46" t="s">
        <v>149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149</v>
      </c>
      <c r="P1262" s="46">
        <f>HEX2DEC(RIGHT(Table13232127[[#This Row],[h1]],8))</f>
        <v>0</v>
      </c>
      <c r="Q1262" s="46" t="s">
        <v>149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149</v>
      </c>
      <c r="P1263" s="46">
        <f>HEX2DEC(RIGHT(Table13232127[[#This Row],[h1]],8))</f>
        <v>0</v>
      </c>
      <c r="Q1263" s="46" t="s">
        <v>149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149</v>
      </c>
      <c r="P1264" s="46">
        <f>HEX2DEC(RIGHT(Table13232127[[#This Row],[h1]],8))</f>
        <v>0</v>
      </c>
      <c r="Q1264" s="46" t="s">
        <v>149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149</v>
      </c>
      <c r="P1265" s="46">
        <f>HEX2DEC(RIGHT(Table13232127[[#This Row],[h1]],8))</f>
        <v>0</v>
      </c>
      <c r="Q1265" s="46" t="s">
        <v>149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149</v>
      </c>
      <c r="P1266" s="46">
        <f>HEX2DEC(RIGHT(Table13232127[[#This Row],[h1]],8))</f>
        <v>0</v>
      </c>
      <c r="Q1266" s="46" t="s">
        <v>149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149</v>
      </c>
      <c r="P1267" s="46">
        <f>HEX2DEC(RIGHT(Table13232127[[#This Row],[h1]],8))</f>
        <v>0</v>
      </c>
      <c r="Q1267" s="46" t="s">
        <v>149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149</v>
      </c>
      <c r="P1268" s="46">
        <f>HEX2DEC(RIGHT(Table13232127[[#This Row],[h1]],8))</f>
        <v>0</v>
      </c>
      <c r="Q1268" s="46" t="s">
        <v>149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149</v>
      </c>
      <c r="P1269" s="46">
        <f>HEX2DEC(RIGHT(Table13232127[[#This Row],[h1]],8))</f>
        <v>0</v>
      </c>
      <c r="Q1269" s="46" t="s">
        <v>149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149</v>
      </c>
      <c r="P1270" s="46">
        <f>HEX2DEC(RIGHT(Table13232127[[#This Row],[h1]],8))</f>
        <v>0</v>
      </c>
      <c r="Q1270" s="46" t="s">
        <v>149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149</v>
      </c>
      <c r="P1271" s="46">
        <f>HEX2DEC(RIGHT(Table13232127[[#This Row],[h1]],8))</f>
        <v>0</v>
      </c>
      <c r="Q1271" s="46" t="s">
        <v>149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149</v>
      </c>
      <c r="P1272" s="46">
        <f>HEX2DEC(RIGHT(Table13232127[[#This Row],[h1]],8))</f>
        <v>0</v>
      </c>
      <c r="Q1272" s="46" t="s">
        <v>149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149</v>
      </c>
      <c r="P1273" s="46">
        <f>HEX2DEC(RIGHT(Table13232127[[#This Row],[h1]],8))</f>
        <v>0</v>
      </c>
      <c r="Q1273" s="46" t="s">
        <v>149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149</v>
      </c>
      <c r="P1274" s="46">
        <f>HEX2DEC(RIGHT(Table13232127[[#This Row],[h1]],8))</f>
        <v>0</v>
      </c>
      <c r="Q1274" s="46" t="s">
        <v>149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149</v>
      </c>
      <c r="P1275" s="46">
        <f>HEX2DEC(RIGHT(Table13232127[[#This Row],[h1]],8))</f>
        <v>0</v>
      </c>
      <c r="Q1275" s="46" t="s">
        <v>149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149</v>
      </c>
      <c r="P1276" s="46">
        <f>HEX2DEC(RIGHT(Table13232127[[#This Row],[h1]],8))</f>
        <v>0</v>
      </c>
      <c r="Q1276" s="46" t="s">
        <v>149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149</v>
      </c>
      <c r="P1277" s="46">
        <f>HEX2DEC(RIGHT(Table13232127[[#This Row],[h1]],8))</f>
        <v>0</v>
      </c>
      <c r="Q1277" s="46" t="s">
        <v>149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149</v>
      </c>
      <c r="P1278" s="46">
        <f>HEX2DEC(RIGHT(Table13232127[[#This Row],[h1]],8))</f>
        <v>0</v>
      </c>
      <c r="Q1278" s="46" t="s">
        <v>149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149</v>
      </c>
      <c r="P1279" s="46">
        <f>HEX2DEC(RIGHT(Table13232127[[#This Row],[h1]],8))</f>
        <v>0</v>
      </c>
      <c r="Q1279" s="46" t="s">
        <v>149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149</v>
      </c>
      <c r="P1280" s="46">
        <f>HEX2DEC(RIGHT(Table13232127[[#This Row],[h1]],8))</f>
        <v>0</v>
      </c>
      <c r="Q1280" s="46" t="s">
        <v>149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149</v>
      </c>
      <c r="P1281" s="46">
        <f>HEX2DEC(RIGHT(Table13232127[[#This Row],[h1]],8))</f>
        <v>0</v>
      </c>
      <c r="Q1281" s="46" t="s">
        <v>149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149</v>
      </c>
      <c r="P1282" s="46">
        <f>HEX2DEC(RIGHT(Table13232127[[#This Row],[h1]],8))</f>
        <v>0</v>
      </c>
      <c r="Q1282" s="46" t="s">
        <v>149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149</v>
      </c>
      <c r="P1283" s="46">
        <f>HEX2DEC(RIGHT(Table13232127[[#This Row],[h1]],8))</f>
        <v>0</v>
      </c>
      <c r="Q1283" s="46" t="s">
        <v>149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149</v>
      </c>
      <c r="P1284" s="46">
        <f>HEX2DEC(RIGHT(Table13232127[[#This Row],[h1]],8))</f>
        <v>0</v>
      </c>
      <c r="Q1284" s="46" t="s">
        <v>149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149</v>
      </c>
      <c r="P1285" s="46">
        <f>HEX2DEC(RIGHT(Table13232127[[#This Row],[h1]],8))</f>
        <v>0</v>
      </c>
      <c r="Q1285" s="46" t="s">
        <v>149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149</v>
      </c>
      <c r="P1286" s="46">
        <f>HEX2DEC(RIGHT(Table13232127[[#This Row],[h1]],8))</f>
        <v>0</v>
      </c>
      <c r="Q1286" s="46" t="s">
        <v>149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149</v>
      </c>
      <c r="P1287" s="46">
        <f>HEX2DEC(RIGHT(Table13232127[[#This Row],[h1]],8))</f>
        <v>0</v>
      </c>
      <c r="Q1287" s="46" t="s">
        <v>149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149</v>
      </c>
      <c r="P1288" s="46">
        <f>HEX2DEC(RIGHT(Table13232127[[#This Row],[h1]],8))</f>
        <v>0</v>
      </c>
      <c r="Q1288" s="46" t="s">
        <v>149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149</v>
      </c>
      <c r="P1289" s="46">
        <f>HEX2DEC(RIGHT(Table13232127[[#This Row],[h1]],8))</f>
        <v>0</v>
      </c>
      <c r="Q1289" s="46" t="s">
        <v>149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149</v>
      </c>
      <c r="P1290" s="46">
        <f>HEX2DEC(RIGHT(Table13232127[[#This Row],[h1]],8))</f>
        <v>0</v>
      </c>
      <c r="Q1290" s="46" t="s">
        <v>149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149</v>
      </c>
      <c r="P1291" s="46">
        <f>HEX2DEC(RIGHT(Table13232127[[#This Row],[h1]],8))</f>
        <v>0</v>
      </c>
      <c r="Q1291" s="46" t="s">
        <v>149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149</v>
      </c>
      <c r="P1292" s="46">
        <f>HEX2DEC(RIGHT(Table13232127[[#This Row],[h1]],8))</f>
        <v>0</v>
      </c>
      <c r="Q1292" s="46" t="s">
        <v>149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149</v>
      </c>
      <c r="P1293" s="46">
        <f>HEX2DEC(RIGHT(Table13232127[[#This Row],[h1]],8))</f>
        <v>0</v>
      </c>
      <c r="Q1293" s="46" t="s">
        <v>149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149</v>
      </c>
      <c r="P1294" s="46">
        <f>HEX2DEC(RIGHT(Table13232127[[#This Row],[h1]],8))</f>
        <v>0</v>
      </c>
      <c r="Q1294" s="46" t="s">
        <v>149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149</v>
      </c>
      <c r="P1295" s="46">
        <f>HEX2DEC(RIGHT(Table13232127[[#This Row],[h1]],8))</f>
        <v>0</v>
      </c>
      <c r="Q1295" s="46" t="s">
        <v>149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149</v>
      </c>
      <c r="P1296" s="46">
        <f>HEX2DEC(RIGHT(Table13232127[[#This Row],[h1]],8))</f>
        <v>0</v>
      </c>
      <c r="Q1296" s="46" t="s">
        <v>149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149</v>
      </c>
      <c r="P1297" s="46">
        <f>HEX2DEC(RIGHT(Table13232127[[#This Row],[h1]],8))</f>
        <v>0</v>
      </c>
      <c r="Q1297" s="46" t="s">
        <v>149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149</v>
      </c>
      <c r="P1298" s="46">
        <f>HEX2DEC(RIGHT(Table13232127[[#This Row],[h1]],8))</f>
        <v>0</v>
      </c>
      <c r="Q1298" s="46" t="s">
        <v>149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149</v>
      </c>
      <c r="P1299" s="46">
        <f>HEX2DEC(RIGHT(Table13232127[[#This Row],[h1]],8))</f>
        <v>0</v>
      </c>
      <c r="Q1299" s="46" t="s">
        <v>149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149</v>
      </c>
      <c r="P1300" s="46">
        <f>HEX2DEC(RIGHT(Table13232127[[#This Row],[h1]],8))</f>
        <v>0</v>
      </c>
      <c r="Q1300" s="46" t="s">
        <v>149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149</v>
      </c>
      <c r="P1301" s="46">
        <f>HEX2DEC(RIGHT(Table13232127[[#This Row],[h1]],8))</f>
        <v>0</v>
      </c>
      <c r="Q1301" s="46" t="s">
        <v>149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149</v>
      </c>
      <c r="P1302" s="46">
        <f>HEX2DEC(RIGHT(Table13232127[[#This Row],[h1]],8))</f>
        <v>0</v>
      </c>
      <c r="Q1302" s="46" t="s">
        <v>149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149</v>
      </c>
      <c r="P1303" s="46">
        <f>HEX2DEC(RIGHT(Table13232127[[#This Row],[h1]],8))</f>
        <v>0</v>
      </c>
      <c r="Q1303" s="46" t="s">
        <v>149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149</v>
      </c>
      <c r="P1304" s="46">
        <f>HEX2DEC(RIGHT(Table13232127[[#This Row],[h1]],8))</f>
        <v>0</v>
      </c>
      <c r="Q1304" s="46" t="s">
        <v>149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149</v>
      </c>
      <c r="P1305" s="46">
        <f>HEX2DEC(RIGHT(Table13232127[[#This Row],[h1]],8))</f>
        <v>0</v>
      </c>
      <c r="Q1305" s="46" t="s">
        <v>149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149</v>
      </c>
      <c r="P1306" s="46">
        <f>HEX2DEC(RIGHT(Table13232127[[#This Row],[h1]],8))</f>
        <v>0</v>
      </c>
      <c r="Q1306" s="46" t="s">
        <v>149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149</v>
      </c>
      <c r="P1307" s="46">
        <f>HEX2DEC(RIGHT(Table13232127[[#This Row],[h1]],8))</f>
        <v>0</v>
      </c>
      <c r="Q1307" s="46" t="s">
        <v>149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149</v>
      </c>
      <c r="P1308" s="46">
        <f>HEX2DEC(RIGHT(Table13232127[[#This Row],[h1]],8))</f>
        <v>0</v>
      </c>
      <c r="Q1308" s="46" t="s">
        <v>149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149</v>
      </c>
      <c r="P1309" s="46">
        <f>HEX2DEC(RIGHT(Table13232127[[#This Row],[h1]],8))</f>
        <v>0</v>
      </c>
      <c r="Q1309" s="46" t="s">
        <v>149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149</v>
      </c>
      <c r="P1310" s="46">
        <f>HEX2DEC(RIGHT(Table13232127[[#This Row],[h1]],8))</f>
        <v>0</v>
      </c>
      <c r="Q1310" s="46" t="s">
        <v>149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149</v>
      </c>
      <c r="P1311" s="46">
        <f>HEX2DEC(RIGHT(Table13232127[[#This Row],[h1]],8))</f>
        <v>0</v>
      </c>
      <c r="Q1311" s="46" t="s">
        <v>149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149</v>
      </c>
      <c r="P1312" s="46">
        <f>HEX2DEC(RIGHT(Table13232127[[#This Row],[h1]],8))</f>
        <v>0</v>
      </c>
      <c r="Q1312" s="46" t="s">
        <v>149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149</v>
      </c>
      <c r="P1313" s="46">
        <f>HEX2DEC(RIGHT(Table13232127[[#This Row],[h1]],8))</f>
        <v>0</v>
      </c>
      <c r="Q1313" s="46" t="s">
        <v>149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149</v>
      </c>
      <c r="P1314" s="46">
        <f>HEX2DEC(RIGHT(Table13232127[[#This Row],[h1]],8))</f>
        <v>0</v>
      </c>
      <c r="Q1314" s="46" t="s">
        <v>149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149</v>
      </c>
      <c r="P1315" s="46">
        <f>HEX2DEC(RIGHT(Table13232127[[#This Row],[h1]],8))</f>
        <v>0</v>
      </c>
      <c r="Q1315" s="46" t="s">
        <v>149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149</v>
      </c>
      <c r="P1316" s="46">
        <f>HEX2DEC(RIGHT(Table13232127[[#This Row],[h1]],8))</f>
        <v>0</v>
      </c>
      <c r="Q1316" s="46" t="s">
        <v>149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149</v>
      </c>
      <c r="P1317" s="46">
        <f>HEX2DEC(RIGHT(Table13232127[[#This Row],[h1]],8))</f>
        <v>0</v>
      </c>
      <c r="Q1317" s="46" t="s">
        <v>149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149</v>
      </c>
      <c r="P1318" s="46">
        <f>HEX2DEC(RIGHT(Table13232127[[#This Row],[h1]],8))</f>
        <v>0</v>
      </c>
      <c r="Q1318" s="46" t="s">
        <v>149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149</v>
      </c>
      <c r="P1319" s="46">
        <f>HEX2DEC(RIGHT(Table13232127[[#This Row],[h1]],8))</f>
        <v>0</v>
      </c>
      <c r="Q1319" s="46" t="s">
        <v>149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149</v>
      </c>
      <c r="P1320" s="46">
        <f>HEX2DEC(RIGHT(Table13232127[[#This Row],[h1]],8))</f>
        <v>0</v>
      </c>
      <c r="Q1320" s="46" t="s">
        <v>149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149</v>
      </c>
      <c r="P1321" s="46">
        <f>HEX2DEC(RIGHT(Table13232127[[#This Row],[h1]],8))</f>
        <v>0</v>
      </c>
      <c r="Q1321" s="46" t="s">
        <v>149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149</v>
      </c>
      <c r="P1322" s="46">
        <f>HEX2DEC(RIGHT(Table13232127[[#This Row],[h1]],8))</f>
        <v>0</v>
      </c>
      <c r="Q1322" s="46" t="s">
        <v>149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149</v>
      </c>
      <c r="P1323" s="46">
        <f>HEX2DEC(RIGHT(Table13232127[[#This Row],[h1]],8))</f>
        <v>0</v>
      </c>
      <c r="Q1323" s="46" t="s">
        <v>149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149</v>
      </c>
      <c r="P1324" s="46">
        <f>HEX2DEC(RIGHT(Table13232127[[#This Row],[h1]],8))</f>
        <v>0</v>
      </c>
      <c r="Q1324" s="46" t="s">
        <v>149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149</v>
      </c>
      <c r="P1325" s="46">
        <f>HEX2DEC(RIGHT(Table13232127[[#This Row],[h1]],8))</f>
        <v>0</v>
      </c>
      <c r="Q1325" s="46" t="s">
        <v>149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149</v>
      </c>
      <c r="P1326" s="46">
        <f>HEX2DEC(RIGHT(Table13232127[[#This Row],[h1]],8))</f>
        <v>0</v>
      </c>
      <c r="Q1326" s="46" t="s">
        <v>149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149</v>
      </c>
      <c r="P1327" s="46">
        <f>HEX2DEC(RIGHT(Table13232127[[#This Row],[h1]],8))</f>
        <v>0</v>
      </c>
      <c r="Q1327" s="46" t="s">
        <v>149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149</v>
      </c>
      <c r="P1328" s="46">
        <f>HEX2DEC(RIGHT(Table13232127[[#This Row],[h1]],8))</f>
        <v>0</v>
      </c>
      <c r="Q1328" s="46" t="s">
        <v>149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149</v>
      </c>
      <c r="P1329" s="46">
        <f>HEX2DEC(RIGHT(Table13232127[[#This Row],[h1]],8))</f>
        <v>0</v>
      </c>
      <c r="Q1329" s="46" t="s">
        <v>149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149</v>
      </c>
      <c r="P1330" s="46">
        <f>HEX2DEC(RIGHT(Table13232127[[#This Row],[h1]],8))</f>
        <v>0</v>
      </c>
      <c r="Q1330" s="46" t="s">
        <v>149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149</v>
      </c>
      <c r="P1331" s="46">
        <f>HEX2DEC(RIGHT(Table13232127[[#This Row],[h1]],8))</f>
        <v>0</v>
      </c>
      <c r="Q1331" s="46" t="s">
        <v>149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149</v>
      </c>
      <c r="P1332" s="46">
        <f>HEX2DEC(RIGHT(Table13232127[[#This Row],[h1]],8))</f>
        <v>0</v>
      </c>
      <c r="Q1332" s="46" t="s">
        <v>149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149</v>
      </c>
      <c r="P1333" s="46">
        <f>HEX2DEC(RIGHT(Table13232127[[#This Row],[h1]],8))</f>
        <v>0</v>
      </c>
      <c r="Q1333" s="46" t="s">
        <v>149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149</v>
      </c>
      <c r="P1334" s="46">
        <f>HEX2DEC(RIGHT(Table13232127[[#This Row],[h1]],8))</f>
        <v>0</v>
      </c>
      <c r="Q1334" s="46" t="s">
        <v>149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149</v>
      </c>
      <c r="P1335" s="46">
        <f>HEX2DEC(RIGHT(Table13232127[[#This Row],[h1]],8))</f>
        <v>0</v>
      </c>
      <c r="Q1335" s="46" t="s">
        <v>149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149</v>
      </c>
      <c r="P1336" s="46">
        <f>HEX2DEC(RIGHT(Table13232127[[#This Row],[h1]],8))</f>
        <v>0</v>
      </c>
      <c r="Q1336" s="46" t="s">
        <v>149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149</v>
      </c>
      <c r="P1337" s="46">
        <f>HEX2DEC(RIGHT(Table13232127[[#This Row],[h1]],8))</f>
        <v>0</v>
      </c>
      <c r="Q1337" s="46" t="s">
        <v>149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149</v>
      </c>
      <c r="P1338" s="46">
        <f>HEX2DEC(RIGHT(Table13232127[[#This Row],[h1]],8))</f>
        <v>0</v>
      </c>
      <c r="Q1338" s="46" t="s">
        <v>149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149</v>
      </c>
      <c r="P1339" s="46">
        <f>HEX2DEC(RIGHT(Table13232127[[#This Row],[h1]],8))</f>
        <v>0</v>
      </c>
      <c r="Q1339" s="46" t="s">
        <v>149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149</v>
      </c>
      <c r="P1340" s="46">
        <f>HEX2DEC(RIGHT(Table13232127[[#This Row],[h1]],8))</f>
        <v>0</v>
      </c>
      <c r="Q1340" s="46" t="s">
        <v>149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149</v>
      </c>
      <c r="P1341" s="46">
        <f>HEX2DEC(RIGHT(Table13232127[[#This Row],[h1]],8))</f>
        <v>0</v>
      </c>
      <c r="Q1341" s="46" t="s">
        <v>149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149</v>
      </c>
      <c r="P1342" s="46">
        <f>HEX2DEC(RIGHT(Table13232127[[#This Row],[h1]],8))</f>
        <v>0</v>
      </c>
      <c r="Q1342" s="46" t="s">
        <v>149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149</v>
      </c>
      <c r="P1343" s="46">
        <f>HEX2DEC(RIGHT(Table13232127[[#This Row],[h1]],8))</f>
        <v>0</v>
      </c>
      <c r="Q1343" s="46" t="s">
        <v>149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149</v>
      </c>
      <c r="P1344" s="46">
        <f>HEX2DEC(RIGHT(Table13232127[[#This Row],[h1]],8))</f>
        <v>0</v>
      </c>
      <c r="Q1344" s="46" t="s">
        <v>149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149</v>
      </c>
      <c r="P1345" s="46">
        <f>HEX2DEC(RIGHT(Table13232127[[#This Row],[h1]],8))</f>
        <v>0</v>
      </c>
      <c r="Q1345" s="46" t="s">
        <v>149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149</v>
      </c>
      <c r="P1346" s="46">
        <f>HEX2DEC(RIGHT(Table13232127[[#This Row],[h1]],8))</f>
        <v>0</v>
      </c>
      <c r="Q1346" s="46" t="s">
        <v>149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149</v>
      </c>
      <c r="P1347" s="46">
        <f>HEX2DEC(RIGHT(Table13232127[[#This Row],[h1]],8))</f>
        <v>0</v>
      </c>
      <c r="Q1347" s="46" t="s">
        <v>149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149</v>
      </c>
      <c r="P1348" s="46">
        <f>HEX2DEC(RIGHT(Table13232127[[#This Row],[h1]],8))</f>
        <v>0</v>
      </c>
      <c r="Q1348" s="46" t="s">
        <v>149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149</v>
      </c>
      <c r="P1349" s="46">
        <f>HEX2DEC(RIGHT(Table13232127[[#This Row],[h1]],8))</f>
        <v>0</v>
      </c>
      <c r="Q1349" s="46" t="s">
        <v>149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149</v>
      </c>
      <c r="P1350" s="46">
        <f>HEX2DEC(RIGHT(Table13232127[[#This Row],[h1]],8))</f>
        <v>0</v>
      </c>
      <c r="Q1350" s="46" t="s">
        <v>149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149</v>
      </c>
      <c r="P1351" s="46">
        <f>HEX2DEC(RIGHT(Table13232127[[#This Row],[h1]],8))</f>
        <v>0</v>
      </c>
      <c r="Q1351" s="46" t="s">
        <v>149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149</v>
      </c>
      <c r="P1352" s="46">
        <f>HEX2DEC(RIGHT(Table13232127[[#This Row],[h1]],8))</f>
        <v>0</v>
      </c>
      <c r="Q1352" s="46" t="s">
        <v>149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149</v>
      </c>
      <c r="P1353" s="46">
        <f>HEX2DEC(RIGHT(Table13232127[[#This Row],[h1]],8))</f>
        <v>0</v>
      </c>
      <c r="Q1353" s="46" t="s">
        <v>149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149</v>
      </c>
      <c r="P1354" s="46">
        <f>HEX2DEC(RIGHT(Table13232127[[#This Row],[h1]],8))</f>
        <v>0</v>
      </c>
      <c r="Q1354" s="46" t="s">
        <v>149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149</v>
      </c>
      <c r="P1355" s="46">
        <f>HEX2DEC(RIGHT(Table13232127[[#This Row],[h1]],8))</f>
        <v>0</v>
      </c>
      <c r="Q1355" s="46" t="s">
        <v>149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149</v>
      </c>
      <c r="P1356" s="46">
        <f>HEX2DEC(RIGHT(Table13232127[[#This Row],[h1]],8))</f>
        <v>0</v>
      </c>
      <c r="Q1356" s="46" t="s">
        <v>149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149</v>
      </c>
      <c r="P1357" s="46">
        <f>HEX2DEC(RIGHT(Table13232127[[#This Row],[h1]],8))</f>
        <v>0</v>
      </c>
      <c r="Q1357" s="46" t="s">
        <v>149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149</v>
      </c>
      <c r="P1358" s="46">
        <f>HEX2DEC(RIGHT(Table13232127[[#This Row],[h1]],8))</f>
        <v>0</v>
      </c>
      <c r="Q1358" s="46" t="s">
        <v>149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149</v>
      </c>
      <c r="P1359" s="46">
        <f>HEX2DEC(RIGHT(Table13232127[[#This Row],[h1]],8))</f>
        <v>0</v>
      </c>
      <c r="Q1359" s="46" t="s">
        <v>149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149</v>
      </c>
      <c r="P1360" s="46">
        <f>HEX2DEC(RIGHT(Table13232127[[#This Row],[h1]],8))</f>
        <v>0</v>
      </c>
      <c r="Q1360" s="46" t="s">
        <v>149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149</v>
      </c>
      <c r="P1361" s="46">
        <f>HEX2DEC(RIGHT(Table13232127[[#This Row],[h1]],8))</f>
        <v>0</v>
      </c>
      <c r="Q1361" s="46" t="s">
        <v>149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149</v>
      </c>
      <c r="P1362" s="46">
        <f>HEX2DEC(RIGHT(Table13232127[[#This Row],[h1]],8))</f>
        <v>0</v>
      </c>
      <c r="Q1362" s="46" t="s">
        <v>149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149</v>
      </c>
      <c r="P1363" s="46">
        <f>HEX2DEC(RIGHT(Table13232127[[#This Row],[h1]],8))</f>
        <v>0</v>
      </c>
      <c r="Q1363" s="46" t="s">
        <v>149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149</v>
      </c>
      <c r="P1364" s="46">
        <f>HEX2DEC(RIGHT(Table13232127[[#This Row],[h1]],8))</f>
        <v>0</v>
      </c>
      <c r="Q1364" s="46" t="s">
        <v>149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149</v>
      </c>
      <c r="P1365" s="46">
        <f>HEX2DEC(RIGHT(Table13232127[[#This Row],[h1]],8))</f>
        <v>0</v>
      </c>
      <c r="Q1365" s="46" t="s">
        <v>149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149</v>
      </c>
      <c r="P1366" s="46">
        <f>HEX2DEC(RIGHT(Table13232127[[#This Row],[h1]],8))</f>
        <v>0</v>
      </c>
      <c r="Q1366" s="46" t="s">
        <v>149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149</v>
      </c>
      <c r="P1367" s="46">
        <f>HEX2DEC(RIGHT(Table13232127[[#This Row],[h1]],8))</f>
        <v>0</v>
      </c>
      <c r="Q1367" s="46" t="s">
        <v>149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149</v>
      </c>
      <c r="P1368" s="46">
        <f>HEX2DEC(RIGHT(Table13232127[[#This Row],[h1]],8))</f>
        <v>0</v>
      </c>
      <c r="Q1368" s="46" t="s">
        <v>149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149</v>
      </c>
      <c r="P1369" s="46">
        <f>HEX2DEC(RIGHT(Table13232127[[#This Row],[h1]],8))</f>
        <v>0</v>
      </c>
      <c r="Q1369" s="46" t="s">
        <v>149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149</v>
      </c>
      <c r="P1370" s="46">
        <f>HEX2DEC(RIGHT(Table13232127[[#This Row],[h1]],8))</f>
        <v>0</v>
      </c>
      <c r="Q1370" s="46" t="s">
        <v>149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149</v>
      </c>
      <c r="P1371" s="46">
        <f>HEX2DEC(RIGHT(Table13232127[[#This Row],[h1]],8))</f>
        <v>0</v>
      </c>
      <c r="Q1371" s="46" t="s">
        <v>149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149</v>
      </c>
      <c r="P1372" s="46">
        <f>HEX2DEC(RIGHT(Table13232127[[#This Row],[h1]],8))</f>
        <v>0</v>
      </c>
      <c r="Q1372" s="46" t="s">
        <v>149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149</v>
      </c>
      <c r="P1373" s="46">
        <f>HEX2DEC(RIGHT(Table13232127[[#This Row],[h1]],8))</f>
        <v>0</v>
      </c>
      <c r="Q1373" s="46" t="s">
        <v>149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149</v>
      </c>
      <c r="P1374" s="46">
        <f>HEX2DEC(RIGHT(Table13232127[[#This Row],[h1]],8))</f>
        <v>0</v>
      </c>
      <c r="Q1374" s="46" t="s">
        <v>149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149</v>
      </c>
      <c r="P1375" s="46">
        <f>HEX2DEC(RIGHT(Table13232127[[#This Row],[h1]],8))</f>
        <v>0</v>
      </c>
      <c r="Q1375" s="46" t="s">
        <v>149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149</v>
      </c>
      <c r="P1376" s="46">
        <f>HEX2DEC(RIGHT(Table13232127[[#This Row],[h1]],8))</f>
        <v>0</v>
      </c>
      <c r="Q1376" s="46" t="s">
        <v>149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149</v>
      </c>
      <c r="P1377" s="46">
        <f>HEX2DEC(RIGHT(Table13232127[[#This Row],[h1]],8))</f>
        <v>0</v>
      </c>
      <c r="Q1377" s="46" t="s">
        <v>149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149</v>
      </c>
      <c r="P1378" s="46">
        <f>HEX2DEC(RIGHT(Table13232127[[#This Row],[h1]],8))</f>
        <v>0</v>
      </c>
      <c r="Q1378" s="46" t="s">
        <v>149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149</v>
      </c>
      <c r="P1379" s="46">
        <f>HEX2DEC(RIGHT(Table13232127[[#This Row],[h1]],8))</f>
        <v>0</v>
      </c>
      <c r="Q1379" s="46" t="s">
        <v>149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149</v>
      </c>
      <c r="P1380" s="46">
        <f>HEX2DEC(RIGHT(Table13232127[[#This Row],[h1]],8))</f>
        <v>0</v>
      </c>
      <c r="Q1380" s="46" t="s">
        <v>149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149</v>
      </c>
      <c r="P1381" s="46">
        <f>HEX2DEC(RIGHT(Table13232127[[#This Row],[h1]],8))</f>
        <v>0</v>
      </c>
      <c r="Q1381" s="46" t="s">
        <v>149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149</v>
      </c>
      <c r="P1382" s="46">
        <f>HEX2DEC(RIGHT(Table13232127[[#This Row],[h1]],8))</f>
        <v>0</v>
      </c>
      <c r="Q1382" s="46" t="s">
        <v>149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149</v>
      </c>
      <c r="P1383" s="46">
        <f>HEX2DEC(RIGHT(Table13232127[[#This Row],[h1]],8))</f>
        <v>0</v>
      </c>
      <c r="Q1383" s="46" t="s">
        <v>149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149</v>
      </c>
      <c r="P1384" s="46">
        <f>HEX2DEC(RIGHT(Table13232127[[#This Row],[h1]],8))</f>
        <v>0</v>
      </c>
      <c r="Q1384" s="46" t="s">
        <v>149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149</v>
      </c>
      <c r="P1385" s="46">
        <f>HEX2DEC(RIGHT(Table13232127[[#This Row],[h1]],8))</f>
        <v>0</v>
      </c>
      <c r="Q1385" s="46" t="s">
        <v>149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149</v>
      </c>
      <c r="P1386" s="46">
        <f>HEX2DEC(RIGHT(Table13232127[[#This Row],[h1]],8))</f>
        <v>0</v>
      </c>
      <c r="Q1386" s="46" t="s">
        <v>149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149</v>
      </c>
      <c r="P1387" s="46">
        <f>HEX2DEC(RIGHT(Table13232127[[#This Row],[h1]],8))</f>
        <v>0</v>
      </c>
      <c r="Q1387" s="46" t="s">
        <v>149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149</v>
      </c>
      <c r="P1388" s="46">
        <f>HEX2DEC(RIGHT(Table13232127[[#This Row],[h1]],8))</f>
        <v>0</v>
      </c>
      <c r="Q1388" s="46" t="s">
        <v>149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149</v>
      </c>
      <c r="P1389" s="46">
        <f>HEX2DEC(RIGHT(Table13232127[[#This Row],[h1]],8))</f>
        <v>0</v>
      </c>
      <c r="Q1389" s="46" t="s">
        <v>149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149</v>
      </c>
      <c r="P1390" s="46">
        <f>HEX2DEC(RIGHT(Table13232127[[#This Row],[h1]],8))</f>
        <v>0</v>
      </c>
      <c r="Q1390" s="46" t="s">
        <v>149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149</v>
      </c>
      <c r="P1391" s="46">
        <f>HEX2DEC(RIGHT(Table13232127[[#This Row],[h1]],8))</f>
        <v>0</v>
      </c>
      <c r="Q1391" s="46" t="s">
        <v>149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149</v>
      </c>
      <c r="P1392" s="46">
        <f>HEX2DEC(RIGHT(Table13232127[[#This Row],[h1]],8))</f>
        <v>0</v>
      </c>
      <c r="Q1392" s="46" t="s">
        <v>149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149</v>
      </c>
      <c r="P1393" s="46">
        <f>HEX2DEC(RIGHT(Table13232127[[#This Row],[h1]],8))</f>
        <v>0</v>
      </c>
      <c r="Q1393" s="46" t="s">
        <v>149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149</v>
      </c>
      <c r="P1394" s="46">
        <f>HEX2DEC(RIGHT(Table13232127[[#This Row],[h1]],8))</f>
        <v>0</v>
      </c>
      <c r="Q1394" s="46" t="s">
        <v>149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149</v>
      </c>
      <c r="P1395" s="46">
        <f>HEX2DEC(RIGHT(Table13232127[[#This Row],[h1]],8))</f>
        <v>0</v>
      </c>
      <c r="Q1395" s="46" t="s">
        <v>149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149</v>
      </c>
      <c r="P1396" s="46">
        <f>HEX2DEC(RIGHT(Table13232127[[#This Row],[h1]],8))</f>
        <v>0</v>
      </c>
      <c r="Q1396" s="46" t="s">
        <v>149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149</v>
      </c>
      <c r="P1397" s="46">
        <f>HEX2DEC(RIGHT(Table13232127[[#This Row],[h1]],8))</f>
        <v>0</v>
      </c>
      <c r="Q1397" s="46" t="s">
        <v>149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149</v>
      </c>
      <c r="P1398" s="46">
        <f>HEX2DEC(RIGHT(Table13232127[[#This Row],[h1]],8))</f>
        <v>0</v>
      </c>
      <c r="Q1398" s="46" t="s">
        <v>149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149</v>
      </c>
      <c r="P1399" s="46">
        <f>HEX2DEC(RIGHT(Table13232127[[#This Row],[h1]],8))</f>
        <v>0</v>
      </c>
      <c r="Q1399" s="46" t="s">
        <v>149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149</v>
      </c>
      <c r="P1400" s="46">
        <f>HEX2DEC(RIGHT(Table13232127[[#This Row],[h1]],8))</f>
        <v>0</v>
      </c>
      <c r="Q1400" s="46" t="s">
        <v>149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149</v>
      </c>
      <c r="P1401" s="46">
        <f>HEX2DEC(RIGHT(Table13232127[[#This Row],[h1]],8))</f>
        <v>0</v>
      </c>
      <c r="Q1401" s="46" t="s">
        <v>149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149</v>
      </c>
      <c r="P1402" s="46">
        <f>HEX2DEC(RIGHT(Table13232127[[#This Row],[h1]],8))</f>
        <v>0</v>
      </c>
      <c r="Q1402" s="46" t="s">
        <v>149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149</v>
      </c>
      <c r="P1403" s="46">
        <f>HEX2DEC(RIGHT(Table13232127[[#This Row],[h1]],8))</f>
        <v>0</v>
      </c>
      <c r="Q1403" s="46" t="s">
        <v>149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149</v>
      </c>
      <c r="P1404" s="46">
        <f>HEX2DEC(RIGHT(Table13232127[[#This Row],[h1]],8))</f>
        <v>0</v>
      </c>
      <c r="Q1404" s="46" t="s">
        <v>149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149</v>
      </c>
      <c r="P1405" s="46">
        <f>HEX2DEC(RIGHT(Table13232127[[#This Row],[h1]],8))</f>
        <v>0</v>
      </c>
      <c r="Q1405" s="46" t="s">
        <v>149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149</v>
      </c>
      <c r="P1406" s="46">
        <f>HEX2DEC(RIGHT(Table13232127[[#This Row],[h1]],8))</f>
        <v>0</v>
      </c>
      <c r="Q1406" s="46" t="s">
        <v>149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149</v>
      </c>
      <c r="P1407" s="46">
        <f>HEX2DEC(RIGHT(Table13232127[[#This Row],[h1]],8))</f>
        <v>0</v>
      </c>
      <c r="Q1407" s="46" t="s">
        <v>149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149</v>
      </c>
      <c r="P1408" s="46">
        <f>HEX2DEC(RIGHT(Table13232127[[#This Row],[h1]],8))</f>
        <v>0</v>
      </c>
      <c r="Q1408" s="46" t="s">
        <v>149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149</v>
      </c>
      <c r="P1409" s="46">
        <f>HEX2DEC(RIGHT(Table13232127[[#This Row],[h1]],8))</f>
        <v>0</v>
      </c>
      <c r="Q1409" s="46" t="s">
        <v>149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149</v>
      </c>
      <c r="P1410" s="46">
        <f>HEX2DEC(RIGHT(Table13232127[[#This Row],[h1]],8))</f>
        <v>0</v>
      </c>
      <c r="Q1410" s="46" t="s">
        <v>149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48</v>
      </c>
      <c r="F1411" s="22"/>
      <c r="G1411" s="22"/>
      <c r="J1411" s="24">
        <v>50000</v>
      </c>
      <c r="M1411" s="24">
        <v>50000</v>
      </c>
      <c r="O1411" s="46" t="s">
        <v>149</v>
      </c>
      <c r="P1411" s="46">
        <f>HEX2DEC(RIGHT(Table13232127[[#This Row],[h1]],8))</f>
        <v>0</v>
      </c>
      <c r="Q1411" s="46" t="s">
        <v>149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149</v>
      </c>
      <c r="P1412" s="46">
        <f>HEX2DEC(RIGHT(Table13232127[[#This Row],[h1]],8))</f>
        <v>0</v>
      </c>
      <c r="Q1412" s="46" t="s">
        <v>149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149</v>
      </c>
      <c r="P1413" s="46">
        <f>HEX2DEC(RIGHT(Table13232127[[#This Row],[h1]],8))</f>
        <v>0</v>
      </c>
      <c r="Q1413" s="46" t="s">
        <v>149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149</v>
      </c>
      <c r="P1414" s="46">
        <f>HEX2DEC(RIGHT(Table13232127[[#This Row],[h1]],8))</f>
        <v>0</v>
      </c>
      <c r="Q1414" s="46" t="s">
        <v>149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149</v>
      </c>
      <c r="P1415" s="46">
        <f>HEX2DEC(RIGHT(Table13232127[[#This Row],[h1]],8))</f>
        <v>0</v>
      </c>
      <c r="Q1415" s="46" t="s">
        <v>149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149</v>
      </c>
      <c r="P1416" s="46">
        <f>HEX2DEC(RIGHT(Table13232127[[#This Row],[h1]],8))</f>
        <v>0</v>
      </c>
      <c r="Q1416" s="46" t="s">
        <v>149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149</v>
      </c>
      <c r="P1417" s="46">
        <f>HEX2DEC(RIGHT(Table13232127[[#This Row],[h1]],8))</f>
        <v>0</v>
      </c>
      <c r="Q1417" s="46" t="s">
        <v>149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149</v>
      </c>
      <c r="P1418" s="46">
        <f>HEX2DEC(RIGHT(Table13232127[[#This Row],[h1]],8))</f>
        <v>0</v>
      </c>
      <c r="Q1418" s="46" t="s">
        <v>149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149</v>
      </c>
      <c r="P1419" s="46">
        <f>HEX2DEC(RIGHT(Table13232127[[#This Row],[h1]],8))</f>
        <v>0</v>
      </c>
      <c r="Q1419" s="46" t="s">
        <v>149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149</v>
      </c>
      <c r="P1420" s="46">
        <f>HEX2DEC(RIGHT(Table13232127[[#This Row],[h1]],8))</f>
        <v>0</v>
      </c>
      <c r="Q1420" s="46" t="s">
        <v>149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149</v>
      </c>
      <c r="P1421" s="46">
        <f>HEX2DEC(RIGHT(Table13232127[[#This Row],[h1]],8))</f>
        <v>0</v>
      </c>
      <c r="Q1421" s="46" t="s">
        <v>149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149</v>
      </c>
      <c r="P1422" s="46">
        <f>HEX2DEC(RIGHT(Table13232127[[#This Row],[h1]],8))</f>
        <v>0</v>
      </c>
      <c r="Q1422" s="46" t="s">
        <v>149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149</v>
      </c>
      <c r="P1423" s="46">
        <f>HEX2DEC(RIGHT(Table13232127[[#This Row],[h1]],8))</f>
        <v>0</v>
      </c>
      <c r="Q1423" s="46" t="s">
        <v>149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149</v>
      </c>
      <c r="P1424" s="46">
        <f>HEX2DEC(RIGHT(Table13232127[[#This Row],[h1]],8))</f>
        <v>0</v>
      </c>
      <c r="Q1424" s="46" t="s">
        <v>149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149</v>
      </c>
      <c r="P1425" s="46">
        <f>HEX2DEC(RIGHT(Table13232127[[#This Row],[h1]],8))</f>
        <v>0</v>
      </c>
      <c r="Q1425" s="46" t="s">
        <v>149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149</v>
      </c>
      <c r="P1426" s="46">
        <f>HEX2DEC(RIGHT(Table13232127[[#This Row],[h1]],8))</f>
        <v>0</v>
      </c>
      <c r="Q1426" s="46" t="s">
        <v>149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149</v>
      </c>
      <c r="P1427" s="46">
        <f>HEX2DEC(RIGHT(Table13232127[[#This Row],[h1]],8))</f>
        <v>0</v>
      </c>
      <c r="Q1427" s="46" t="s">
        <v>149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149</v>
      </c>
      <c r="P1428" s="46">
        <f>HEX2DEC(RIGHT(Table13232127[[#This Row],[h1]],8))</f>
        <v>0</v>
      </c>
      <c r="Q1428" s="46" t="s">
        <v>149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149</v>
      </c>
      <c r="P1429" s="46">
        <f>HEX2DEC(RIGHT(Table13232127[[#This Row],[h1]],8))</f>
        <v>0</v>
      </c>
      <c r="Q1429" s="46" t="s">
        <v>149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149</v>
      </c>
      <c r="P1430" s="46">
        <f>HEX2DEC(RIGHT(Table13232127[[#This Row],[h1]],8))</f>
        <v>0</v>
      </c>
      <c r="Q1430" s="46" t="s">
        <v>149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149</v>
      </c>
      <c r="P1431" s="46">
        <f>HEX2DEC(RIGHT(Table13232127[[#This Row],[h1]],8))</f>
        <v>0</v>
      </c>
      <c r="Q1431" s="46" t="s">
        <v>149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149</v>
      </c>
      <c r="P1432" s="46">
        <f>HEX2DEC(RIGHT(Table13232127[[#This Row],[h1]],8))</f>
        <v>0</v>
      </c>
      <c r="Q1432" s="46" t="s">
        <v>149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149</v>
      </c>
      <c r="P1433" s="46">
        <f>HEX2DEC(RIGHT(Table13232127[[#This Row],[h1]],8))</f>
        <v>0</v>
      </c>
      <c r="Q1433" s="46" t="s">
        <v>149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149</v>
      </c>
      <c r="P1434" s="46">
        <f>HEX2DEC(RIGHT(Table13232127[[#This Row],[h1]],8))</f>
        <v>0</v>
      </c>
      <c r="Q1434" s="46" t="s">
        <v>149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149</v>
      </c>
      <c r="P1435" s="46">
        <f>HEX2DEC(RIGHT(Table13232127[[#This Row],[h1]],8))</f>
        <v>0</v>
      </c>
      <c r="Q1435" s="46" t="s">
        <v>149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149</v>
      </c>
      <c r="P1436" s="46">
        <f>HEX2DEC(RIGHT(Table13232127[[#This Row],[h1]],8))</f>
        <v>0</v>
      </c>
      <c r="Q1436" s="46" t="s">
        <v>149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149</v>
      </c>
      <c r="P1437" s="46">
        <f>HEX2DEC(RIGHT(Table13232127[[#This Row],[h1]],8))</f>
        <v>0</v>
      </c>
      <c r="Q1437" s="46" t="s">
        <v>149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149</v>
      </c>
      <c r="P1438" s="46">
        <f>HEX2DEC(RIGHT(Table13232127[[#This Row],[h1]],8))</f>
        <v>0</v>
      </c>
      <c r="Q1438" s="46" t="s">
        <v>149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149</v>
      </c>
      <c r="P1439" s="46">
        <f>HEX2DEC(RIGHT(Table13232127[[#This Row],[h1]],8))</f>
        <v>0</v>
      </c>
      <c r="Q1439" s="46" t="s">
        <v>149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149</v>
      </c>
      <c r="P1440" s="46">
        <f>HEX2DEC(RIGHT(Table13232127[[#This Row],[h1]],8))</f>
        <v>0</v>
      </c>
      <c r="Q1440" s="46" t="s">
        <v>149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149</v>
      </c>
      <c r="P1441" s="46">
        <f>HEX2DEC(RIGHT(Table13232127[[#This Row],[h1]],8))</f>
        <v>0</v>
      </c>
      <c r="Q1441" s="46" t="s">
        <v>149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149</v>
      </c>
      <c r="P1442" s="46">
        <f>HEX2DEC(RIGHT(Table13232127[[#This Row],[h1]],8))</f>
        <v>0</v>
      </c>
      <c r="Q1442" s="46" t="s">
        <v>149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149</v>
      </c>
      <c r="P1443" s="46">
        <f>HEX2DEC(RIGHT(Table13232127[[#This Row],[h1]],8))</f>
        <v>0</v>
      </c>
      <c r="Q1443" s="46" t="s">
        <v>149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149</v>
      </c>
      <c r="P1444" s="46">
        <f>HEX2DEC(RIGHT(Table13232127[[#This Row],[h1]],8))</f>
        <v>0</v>
      </c>
      <c r="Q1444" s="46" t="s">
        <v>149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149</v>
      </c>
      <c r="P1445" s="46">
        <f>HEX2DEC(RIGHT(Table13232127[[#This Row],[h1]],8))</f>
        <v>0</v>
      </c>
      <c r="Q1445" s="46" t="s">
        <v>149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149</v>
      </c>
      <c r="P1446" s="46">
        <f>HEX2DEC(RIGHT(Table13232127[[#This Row],[h1]],8))</f>
        <v>0</v>
      </c>
      <c r="Q1446" s="46" t="s">
        <v>149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149</v>
      </c>
      <c r="P1447" s="46">
        <f>HEX2DEC(RIGHT(Table13232127[[#This Row],[h1]],8))</f>
        <v>0</v>
      </c>
      <c r="Q1447" s="46" t="s">
        <v>149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149</v>
      </c>
      <c r="P1448" s="46">
        <f>HEX2DEC(RIGHT(Table13232127[[#This Row],[h1]],8))</f>
        <v>0</v>
      </c>
      <c r="Q1448" s="46" t="s">
        <v>149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149</v>
      </c>
      <c r="P1449" s="46">
        <f>HEX2DEC(RIGHT(Table13232127[[#This Row],[h1]],8))</f>
        <v>0</v>
      </c>
      <c r="Q1449" s="46" t="s">
        <v>149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149</v>
      </c>
      <c r="P1450" s="46">
        <f>HEX2DEC(RIGHT(Table13232127[[#This Row],[h1]],8))</f>
        <v>0</v>
      </c>
      <c r="Q1450" s="46" t="s">
        <v>149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6" t="s">
        <v>149</v>
      </c>
      <c r="P1451" s="46">
        <f>HEX2DEC(RIGHT(Table13232127[[#This Row],[h1]],8))</f>
        <v>0</v>
      </c>
      <c r="Q1451" s="46" t="s">
        <v>149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149</v>
      </c>
      <c r="P1452" s="46">
        <f>HEX2DEC(RIGHT(Table13232127[[#This Row],[h1]],8))</f>
        <v>0</v>
      </c>
      <c r="Q1452" s="46" t="s">
        <v>149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149</v>
      </c>
      <c r="P1453" s="46">
        <f>HEX2DEC(RIGHT(Table13232127[[#This Row],[h1]],8))</f>
        <v>0</v>
      </c>
      <c r="Q1453" s="46" t="s">
        <v>149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149</v>
      </c>
      <c r="P1454" s="46">
        <f>HEX2DEC(RIGHT(Table13232127[[#This Row],[h1]],8))</f>
        <v>0</v>
      </c>
      <c r="Q1454" s="46" t="s">
        <v>149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149</v>
      </c>
      <c r="P1455" s="46">
        <f>HEX2DEC(RIGHT(Table13232127[[#This Row],[h1]],8))</f>
        <v>0</v>
      </c>
      <c r="Q1455" s="46" t="s">
        <v>149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149</v>
      </c>
      <c r="P1456" s="46">
        <f>HEX2DEC(RIGHT(Table13232127[[#This Row],[h1]],8))</f>
        <v>0</v>
      </c>
      <c r="Q1456" s="46" t="s">
        <v>149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149</v>
      </c>
      <c r="P1457" s="46">
        <f>HEX2DEC(RIGHT(Table13232127[[#This Row],[h1]],8))</f>
        <v>0</v>
      </c>
      <c r="Q1457" s="46" t="s">
        <v>149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149</v>
      </c>
      <c r="P1458" s="46">
        <f>HEX2DEC(RIGHT(Table13232127[[#This Row],[h1]],8))</f>
        <v>0</v>
      </c>
      <c r="Q1458" s="46" t="s">
        <v>149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149</v>
      </c>
      <c r="P1459" s="46">
        <f>HEX2DEC(RIGHT(Table13232127[[#This Row],[h1]],8))</f>
        <v>0</v>
      </c>
      <c r="Q1459" s="46" t="s">
        <v>149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149</v>
      </c>
      <c r="P1460" s="46">
        <f>HEX2DEC(RIGHT(Table13232127[[#This Row],[h1]],8))</f>
        <v>0</v>
      </c>
      <c r="Q1460" s="46" t="s">
        <v>149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149</v>
      </c>
      <c r="P1461" s="46">
        <f>HEX2DEC(RIGHT(Table13232127[[#This Row],[h1]],8))</f>
        <v>0</v>
      </c>
      <c r="Q1461" s="46" t="s">
        <v>149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149</v>
      </c>
      <c r="P1462" s="46">
        <f>HEX2DEC(RIGHT(Table13232127[[#This Row],[h1]],8))</f>
        <v>0</v>
      </c>
      <c r="Q1462" s="46" t="s">
        <v>149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149</v>
      </c>
      <c r="P1463" s="46">
        <f>HEX2DEC(RIGHT(Table13232127[[#This Row],[h1]],8))</f>
        <v>0</v>
      </c>
      <c r="Q1463" s="46" t="s">
        <v>149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149</v>
      </c>
      <c r="P1464" s="46">
        <f>HEX2DEC(RIGHT(Table13232127[[#This Row],[h1]],8))</f>
        <v>0</v>
      </c>
      <c r="Q1464" s="46" t="s">
        <v>149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149</v>
      </c>
      <c r="P1465" s="46">
        <f>HEX2DEC(RIGHT(Table13232127[[#This Row],[h1]],8))</f>
        <v>0</v>
      </c>
      <c r="Q1465" s="46" t="s">
        <v>149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149</v>
      </c>
      <c r="P1466" s="46">
        <f>HEX2DEC(RIGHT(Table13232127[[#This Row],[h1]],8))</f>
        <v>0</v>
      </c>
      <c r="Q1466" s="46" t="s">
        <v>149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149</v>
      </c>
      <c r="P1467" s="46">
        <f>HEX2DEC(RIGHT(Table13232127[[#This Row],[h1]],8))</f>
        <v>0</v>
      </c>
      <c r="Q1467" s="46" t="s">
        <v>149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149</v>
      </c>
      <c r="P1468" s="46">
        <f>HEX2DEC(RIGHT(Table13232127[[#This Row],[h1]],8))</f>
        <v>0</v>
      </c>
      <c r="Q1468" s="46" t="s">
        <v>149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149</v>
      </c>
      <c r="P1469" s="46">
        <f>HEX2DEC(RIGHT(Table13232127[[#This Row],[h1]],8))</f>
        <v>0</v>
      </c>
      <c r="Q1469" s="46" t="s">
        <v>149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149</v>
      </c>
      <c r="P1470" s="46">
        <f>HEX2DEC(RIGHT(Table13232127[[#This Row],[h1]],8))</f>
        <v>0</v>
      </c>
      <c r="Q1470" s="46" t="s">
        <v>149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149</v>
      </c>
      <c r="P1471" s="46">
        <f>HEX2DEC(RIGHT(Table13232127[[#This Row],[h1]],8))</f>
        <v>0</v>
      </c>
      <c r="Q1471" s="46" t="s">
        <v>149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149</v>
      </c>
      <c r="P1472" s="46">
        <f>HEX2DEC(RIGHT(Table13232127[[#This Row],[h1]],8))</f>
        <v>0</v>
      </c>
      <c r="Q1472" s="46" t="s">
        <v>149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149</v>
      </c>
      <c r="P1473" s="46">
        <f>HEX2DEC(RIGHT(Table13232127[[#This Row],[h1]],8))</f>
        <v>0</v>
      </c>
      <c r="Q1473" s="46" t="s">
        <v>149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149</v>
      </c>
      <c r="P1474" s="46">
        <f>HEX2DEC(RIGHT(Table13232127[[#This Row],[h1]],8))</f>
        <v>0</v>
      </c>
      <c r="Q1474" s="46" t="s">
        <v>149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149</v>
      </c>
      <c r="P1475" s="46">
        <f>HEX2DEC(RIGHT(Table13232127[[#This Row],[h1]],8))</f>
        <v>0</v>
      </c>
      <c r="Q1475" s="46" t="s">
        <v>149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149</v>
      </c>
      <c r="P1476" s="46">
        <f>HEX2DEC(RIGHT(Table13232127[[#This Row],[h1]],8))</f>
        <v>0</v>
      </c>
      <c r="Q1476" s="46" t="s">
        <v>149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149</v>
      </c>
      <c r="P1477" s="46">
        <f>HEX2DEC(RIGHT(Table13232127[[#This Row],[h1]],8))</f>
        <v>0</v>
      </c>
      <c r="Q1477" s="46" t="s">
        <v>149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149</v>
      </c>
      <c r="P1478" s="46">
        <f>HEX2DEC(RIGHT(Table13232127[[#This Row],[h1]],8))</f>
        <v>0</v>
      </c>
      <c r="Q1478" s="46" t="s">
        <v>149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149</v>
      </c>
      <c r="P1479" s="46">
        <f>HEX2DEC(RIGHT(Table13232127[[#This Row],[h1]],8))</f>
        <v>0</v>
      </c>
      <c r="Q1479" s="46" t="s">
        <v>149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149</v>
      </c>
      <c r="P1480" s="46">
        <f>HEX2DEC(RIGHT(Table13232127[[#This Row],[h1]],8))</f>
        <v>0</v>
      </c>
      <c r="Q1480" s="46" t="s">
        <v>149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149</v>
      </c>
      <c r="P1481" s="46">
        <f>HEX2DEC(RIGHT(Table13232127[[#This Row],[h1]],8))</f>
        <v>0</v>
      </c>
      <c r="Q1481" s="46" t="s">
        <v>149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149</v>
      </c>
      <c r="P1482" s="46">
        <f>HEX2DEC(RIGHT(Table13232127[[#This Row],[h1]],8))</f>
        <v>0</v>
      </c>
      <c r="Q1482" s="46" t="s">
        <v>149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149</v>
      </c>
      <c r="P1483" s="46">
        <f>HEX2DEC(RIGHT(Table13232127[[#This Row],[h1]],8))</f>
        <v>0</v>
      </c>
      <c r="Q1483" s="46" t="s">
        <v>149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149</v>
      </c>
      <c r="P1484" s="46">
        <f>HEX2DEC(RIGHT(Table13232127[[#This Row],[h1]],8))</f>
        <v>0</v>
      </c>
      <c r="Q1484" s="46" t="s">
        <v>149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149</v>
      </c>
      <c r="P1485" s="46">
        <f>HEX2DEC(RIGHT(Table13232127[[#This Row],[h1]],8))</f>
        <v>0</v>
      </c>
      <c r="Q1485" s="46" t="s">
        <v>149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149</v>
      </c>
      <c r="P1486" s="46">
        <f>HEX2DEC(RIGHT(Table13232127[[#This Row],[h1]],8))</f>
        <v>0</v>
      </c>
      <c r="Q1486" s="46" t="s">
        <v>149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149</v>
      </c>
      <c r="P1487" s="46">
        <f>HEX2DEC(RIGHT(Table13232127[[#This Row],[h1]],8))</f>
        <v>0</v>
      </c>
      <c r="Q1487" s="46" t="s">
        <v>149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149</v>
      </c>
      <c r="P1488" s="46">
        <f>HEX2DEC(RIGHT(Table13232127[[#This Row],[h1]],8))</f>
        <v>0</v>
      </c>
      <c r="Q1488" s="46" t="s">
        <v>149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149</v>
      </c>
      <c r="P1489" s="46">
        <f>HEX2DEC(RIGHT(Table13232127[[#This Row],[h1]],8))</f>
        <v>0</v>
      </c>
      <c r="Q1489" s="46" t="s">
        <v>149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149</v>
      </c>
      <c r="P1490" s="46">
        <f>HEX2DEC(RIGHT(Table13232127[[#This Row],[h1]],8))</f>
        <v>0</v>
      </c>
      <c r="Q1490" s="46" t="s">
        <v>149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149</v>
      </c>
      <c r="P1491" s="46">
        <f>HEX2DEC(RIGHT(Table13232127[[#This Row],[h1]],8))</f>
        <v>0</v>
      </c>
      <c r="Q1491" s="46" t="s">
        <v>149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149</v>
      </c>
      <c r="P1492" s="46">
        <f>HEX2DEC(RIGHT(Table13232127[[#This Row],[h1]],8))</f>
        <v>0</v>
      </c>
      <c r="Q1492" s="46" t="s">
        <v>149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149</v>
      </c>
      <c r="P1493" s="46">
        <f>HEX2DEC(RIGHT(Table13232127[[#This Row],[h1]],8))</f>
        <v>0</v>
      </c>
      <c r="Q1493" s="46" t="s">
        <v>149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149</v>
      </c>
      <c r="P1494" s="46">
        <f>HEX2DEC(RIGHT(Table13232127[[#This Row],[h1]],8))</f>
        <v>0</v>
      </c>
      <c r="Q1494" s="46" t="s">
        <v>149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149</v>
      </c>
      <c r="P1495" s="46">
        <f>HEX2DEC(RIGHT(Table13232127[[#This Row],[h1]],8))</f>
        <v>0</v>
      </c>
      <c r="Q1495" s="46" t="s">
        <v>149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149</v>
      </c>
      <c r="P1496" s="46">
        <f>HEX2DEC(RIGHT(Table13232127[[#This Row],[h1]],8))</f>
        <v>0</v>
      </c>
      <c r="Q1496" s="46" t="s">
        <v>149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149</v>
      </c>
      <c r="P1497" s="46">
        <f>HEX2DEC(RIGHT(Table13232127[[#This Row],[h1]],8))</f>
        <v>0</v>
      </c>
      <c r="Q1497" s="46" t="s">
        <v>149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149</v>
      </c>
      <c r="P1498" s="46">
        <f>HEX2DEC(RIGHT(Table13232127[[#This Row],[h1]],8))</f>
        <v>0</v>
      </c>
      <c r="Q1498" s="46" t="s">
        <v>149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149</v>
      </c>
      <c r="P1499" s="46">
        <f>HEX2DEC(RIGHT(Table13232127[[#This Row],[h1]],8))</f>
        <v>0</v>
      </c>
      <c r="Q1499" s="46" t="s">
        <v>149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149</v>
      </c>
      <c r="P1500" s="46">
        <f>HEX2DEC(RIGHT(Table13232127[[#This Row],[h1]],8))</f>
        <v>0</v>
      </c>
      <c r="Q1500" s="46" t="s">
        <v>149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149</v>
      </c>
      <c r="P1501" s="46">
        <f>HEX2DEC(RIGHT(Table13232127[[#This Row],[h1]],8))</f>
        <v>0</v>
      </c>
      <c r="Q1501" s="46" t="s">
        <v>149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149</v>
      </c>
      <c r="P1502" s="46">
        <f>HEX2DEC(RIGHT(Table13232127[[#This Row],[h1]],8))</f>
        <v>0</v>
      </c>
      <c r="Q1502" s="46" t="s">
        <v>149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149</v>
      </c>
      <c r="P1503" s="46">
        <f>HEX2DEC(RIGHT(Table13232127[[#This Row],[h1]],8))</f>
        <v>0</v>
      </c>
      <c r="Q1503" s="46" t="s">
        <v>149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149</v>
      </c>
      <c r="P1504" s="46">
        <f>HEX2DEC(RIGHT(Table13232127[[#This Row],[h1]],8))</f>
        <v>0</v>
      </c>
      <c r="Q1504" s="46" t="s">
        <v>149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149</v>
      </c>
      <c r="P1505" s="46">
        <f>HEX2DEC(RIGHT(Table13232127[[#This Row],[h1]],8))</f>
        <v>0</v>
      </c>
      <c r="Q1505" s="46" t="s">
        <v>149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149</v>
      </c>
      <c r="P1506" s="46">
        <f>HEX2DEC(RIGHT(Table13232127[[#This Row],[h1]],8))</f>
        <v>0</v>
      </c>
      <c r="Q1506" s="46" t="s">
        <v>149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149</v>
      </c>
      <c r="P1507" s="46">
        <f>HEX2DEC(RIGHT(Table13232127[[#This Row],[h1]],8))</f>
        <v>0</v>
      </c>
      <c r="Q1507" s="46" t="s">
        <v>149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149</v>
      </c>
      <c r="P1508" s="46">
        <f>HEX2DEC(RIGHT(Table13232127[[#This Row],[h1]],8))</f>
        <v>0</v>
      </c>
      <c r="Q1508" s="46" t="s">
        <v>149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149</v>
      </c>
      <c r="P1509" s="46">
        <f>HEX2DEC(RIGHT(Table13232127[[#This Row],[h1]],8))</f>
        <v>0</v>
      </c>
      <c r="Q1509" s="46" t="s">
        <v>149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149</v>
      </c>
      <c r="P1510" s="46">
        <f>HEX2DEC(RIGHT(Table13232127[[#This Row],[h1]],8))</f>
        <v>0</v>
      </c>
      <c r="Q1510" s="46" t="s">
        <v>149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149</v>
      </c>
      <c r="P1511" s="46">
        <f>HEX2DEC(RIGHT(Table13232127[[#This Row],[h1]],8))</f>
        <v>0</v>
      </c>
      <c r="Q1511" s="46" t="s">
        <v>149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149</v>
      </c>
      <c r="P1512" s="46">
        <f>HEX2DEC(RIGHT(Table13232127[[#This Row],[h1]],8))</f>
        <v>0</v>
      </c>
      <c r="Q1512" s="46" t="s">
        <v>149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149</v>
      </c>
      <c r="P1513" s="46">
        <f>HEX2DEC(RIGHT(Table13232127[[#This Row],[h1]],8))</f>
        <v>0</v>
      </c>
      <c r="Q1513" s="46" t="s">
        <v>149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149</v>
      </c>
      <c r="P1514" s="46">
        <f>HEX2DEC(RIGHT(Table13232127[[#This Row],[h1]],8))</f>
        <v>0</v>
      </c>
      <c r="Q1514" s="46" t="s">
        <v>149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149</v>
      </c>
      <c r="P1515" s="46">
        <f>HEX2DEC(RIGHT(Table13232127[[#This Row],[h1]],8))</f>
        <v>0</v>
      </c>
      <c r="Q1515" s="46" t="s">
        <v>149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149</v>
      </c>
      <c r="P1516" s="46">
        <f>HEX2DEC(RIGHT(Table13232127[[#This Row],[h1]],8))</f>
        <v>0</v>
      </c>
      <c r="Q1516" s="46" t="s">
        <v>149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149</v>
      </c>
      <c r="P1517" s="46">
        <f>HEX2DEC(RIGHT(Table13232127[[#This Row],[h1]],8))</f>
        <v>0</v>
      </c>
      <c r="Q1517" s="46" t="s">
        <v>149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149</v>
      </c>
      <c r="P1518" s="46">
        <f>HEX2DEC(RIGHT(Table13232127[[#This Row],[h1]],8))</f>
        <v>0</v>
      </c>
      <c r="Q1518" s="46" t="s">
        <v>149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149</v>
      </c>
      <c r="P1519" s="46">
        <f>HEX2DEC(RIGHT(Table13232127[[#This Row],[h1]],8))</f>
        <v>0</v>
      </c>
      <c r="Q1519" s="46" t="s">
        <v>149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149</v>
      </c>
      <c r="P1520" s="46">
        <f>HEX2DEC(RIGHT(Table13232127[[#This Row],[h1]],8))</f>
        <v>0</v>
      </c>
      <c r="Q1520" s="46" t="s">
        <v>149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149</v>
      </c>
      <c r="P1521" s="46">
        <f>HEX2DEC(RIGHT(Table13232127[[#This Row],[h1]],8))</f>
        <v>0</v>
      </c>
      <c r="Q1521" s="46" t="s">
        <v>149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149</v>
      </c>
      <c r="P1522" s="46">
        <f>HEX2DEC(RIGHT(Table13232127[[#This Row],[h1]],8))</f>
        <v>0</v>
      </c>
      <c r="Q1522" s="46" t="s">
        <v>149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149</v>
      </c>
      <c r="P1523" s="46">
        <f>HEX2DEC(RIGHT(Table13232127[[#This Row],[h1]],8))</f>
        <v>0</v>
      </c>
      <c r="Q1523" s="46" t="s">
        <v>149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149</v>
      </c>
      <c r="P1524" s="46">
        <f>HEX2DEC(RIGHT(Table13232127[[#This Row],[h1]],8))</f>
        <v>0</v>
      </c>
      <c r="Q1524" s="46" t="s">
        <v>149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149</v>
      </c>
      <c r="P1525" s="46">
        <f>HEX2DEC(RIGHT(Table13232127[[#This Row],[h1]],8))</f>
        <v>0</v>
      </c>
      <c r="Q1525" s="46" t="s">
        <v>149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149</v>
      </c>
      <c r="P1526" s="46">
        <f>HEX2DEC(RIGHT(Table13232127[[#This Row],[h1]],8))</f>
        <v>0</v>
      </c>
      <c r="Q1526" s="46" t="s">
        <v>149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149</v>
      </c>
      <c r="P1527" s="46">
        <f>HEX2DEC(RIGHT(Table13232127[[#This Row],[h1]],8))</f>
        <v>0</v>
      </c>
      <c r="Q1527" s="46" t="s">
        <v>149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149</v>
      </c>
      <c r="P1528" s="46">
        <f>HEX2DEC(RIGHT(Table13232127[[#This Row],[h1]],8))</f>
        <v>0</v>
      </c>
      <c r="Q1528" s="46" t="s">
        <v>149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149</v>
      </c>
      <c r="P1529" s="46">
        <f>HEX2DEC(RIGHT(Table13232127[[#This Row],[h1]],8))</f>
        <v>0</v>
      </c>
      <c r="Q1529" s="46" t="s">
        <v>149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149</v>
      </c>
      <c r="P1530" s="46">
        <f>HEX2DEC(RIGHT(Table13232127[[#This Row],[h1]],8))</f>
        <v>0</v>
      </c>
      <c r="Q1530" s="46" t="s">
        <v>149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149</v>
      </c>
      <c r="P1531" s="46">
        <f>HEX2DEC(RIGHT(Table13232127[[#This Row],[h1]],8))</f>
        <v>0</v>
      </c>
      <c r="Q1531" s="46" t="s">
        <v>149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149</v>
      </c>
      <c r="P1532" s="46">
        <f>HEX2DEC(RIGHT(Table13232127[[#This Row],[h1]],8))</f>
        <v>0</v>
      </c>
      <c r="Q1532" s="46" t="s">
        <v>149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149</v>
      </c>
      <c r="P1533" s="46">
        <f>HEX2DEC(RIGHT(Table13232127[[#This Row],[h1]],8))</f>
        <v>0</v>
      </c>
      <c r="Q1533" s="46" t="s">
        <v>149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149</v>
      </c>
      <c r="P1534" s="46">
        <f>HEX2DEC(RIGHT(Table13232127[[#This Row],[h1]],8))</f>
        <v>0</v>
      </c>
      <c r="Q1534" s="46" t="s">
        <v>149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149</v>
      </c>
      <c r="P1535" s="46">
        <f>HEX2DEC(RIGHT(Table13232127[[#This Row],[h1]],8))</f>
        <v>0</v>
      </c>
      <c r="Q1535" s="46" t="s">
        <v>149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149</v>
      </c>
      <c r="P1536" s="46">
        <f>HEX2DEC(RIGHT(Table13232127[[#This Row],[h1]],8))</f>
        <v>0</v>
      </c>
      <c r="Q1536" s="46" t="s">
        <v>149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149</v>
      </c>
      <c r="P1537" s="46">
        <f>HEX2DEC(RIGHT(Table13232127[[#This Row],[h1]],8))</f>
        <v>0</v>
      </c>
      <c r="Q1537" s="46" t="s">
        <v>149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149</v>
      </c>
      <c r="P1538" s="46">
        <f>HEX2DEC(RIGHT(Table13232127[[#This Row],[h1]],8))</f>
        <v>0</v>
      </c>
      <c r="Q1538" s="46" t="s">
        <v>149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149</v>
      </c>
      <c r="P1539" s="46">
        <f>HEX2DEC(RIGHT(Table13232127[[#This Row],[h1]],8))</f>
        <v>0</v>
      </c>
      <c r="Q1539" s="46" t="s">
        <v>149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149</v>
      </c>
      <c r="P1540" s="46">
        <f>HEX2DEC(RIGHT(Table13232127[[#This Row],[h1]],8))</f>
        <v>0</v>
      </c>
      <c r="Q1540" s="46" t="s">
        <v>149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149</v>
      </c>
      <c r="P1541" s="46">
        <f>HEX2DEC(RIGHT(Table13232127[[#This Row],[h1]],8))</f>
        <v>0</v>
      </c>
      <c r="Q1541" s="46" t="s">
        <v>149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149</v>
      </c>
      <c r="P1542" s="46">
        <f>HEX2DEC(RIGHT(Table13232127[[#This Row],[h1]],8))</f>
        <v>0</v>
      </c>
      <c r="Q1542" s="46" t="s">
        <v>149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149</v>
      </c>
      <c r="P1543" s="46">
        <f>HEX2DEC(RIGHT(Table13232127[[#This Row],[h1]],8))</f>
        <v>0</v>
      </c>
      <c r="Q1543" s="46" t="s">
        <v>149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149</v>
      </c>
      <c r="P1544" s="46">
        <f>HEX2DEC(RIGHT(Table13232127[[#This Row],[h1]],8))</f>
        <v>0</v>
      </c>
      <c r="Q1544" s="46" t="s">
        <v>149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149</v>
      </c>
      <c r="P1545" s="46">
        <f>HEX2DEC(RIGHT(Table13232127[[#This Row],[h1]],8))</f>
        <v>0</v>
      </c>
      <c r="Q1545" s="46" t="s">
        <v>149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149</v>
      </c>
      <c r="P1546" s="46">
        <f>HEX2DEC(RIGHT(Table13232127[[#This Row],[h1]],8))</f>
        <v>0</v>
      </c>
      <c r="Q1546" s="46" t="s">
        <v>149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149</v>
      </c>
      <c r="P1547" s="46">
        <f>HEX2DEC(RIGHT(Table13232127[[#This Row],[h1]],8))</f>
        <v>0</v>
      </c>
      <c r="Q1547" s="46" t="s">
        <v>149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149</v>
      </c>
      <c r="P1548" s="46">
        <f>HEX2DEC(RIGHT(Table13232127[[#This Row],[h1]],8))</f>
        <v>0</v>
      </c>
      <c r="Q1548" s="46" t="s">
        <v>149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149</v>
      </c>
      <c r="P1549" s="46">
        <f>HEX2DEC(RIGHT(Table13232127[[#This Row],[h1]],8))</f>
        <v>0</v>
      </c>
      <c r="Q1549" s="46" t="s">
        <v>149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149</v>
      </c>
      <c r="P1550" s="46">
        <f>HEX2DEC(RIGHT(Table13232127[[#This Row],[h1]],8))</f>
        <v>0</v>
      </c>
      <c r="Q1550" s="46" t="s">
        <v>149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149</v>
      </c>
      <c r="P1551" s="46">
        <f>HEX2DEC(RIGHT(Table13232127[[#This Row],[h1]],8))</f>
        <v>0</v>
      </c>
      <c r="Q1551" s="46" t="s">
        <v>149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149</v>
      </c>
      <c r="P1552" s="46">
        <f>HEX2DEC(RIGHT(Table13232127[[#This Row],[h1]],8))</f>
        <v>0</v>
      </c>
      <c r="Q1552" s="46" t="s">
        <v>149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149</v>
      </c>
      <c r="P1553" s="46">
        <f>HEX2DEC(RIGHT(Table13232127[[#This Row],[h1]],8))</f>
        <v>0</v>
      </c>
      <c r="Q1553" s="46" t="s">
        <v>149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149</v>
      </c>
      <c r="P1554" s="46">
        <f>HEX2DEC(RIGHT(Table13232127[[#This Row],[h1]],8))</f>
        <v>0</v>
      </c>
      <c r="Q1554" s="46" t="s">
        <v>149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149</v>
      </c>
      <c r="P1555" s="46">
        <f>HEX2DEC(RIGHT(Table13232127[[#This Row],[h1]],8))</f>
        <v>0</v>
      </c>
      <c r="Q1555" s="46" t="s">
        <v>149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149</v>
      </c>
      <c r="P1556" s="46">
        <f>HEX2DEC(RIGHT(Table13232127[[#This Row],[h1]],8))</f>
        <v>0</v>
      </c>
      <c r="Q1556" s="46" t="s">
        <v>149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149</v>
      </c>
      <c r="P1557" s="46">
        <f>HEX2DEC(RIGHT(Table13232127[[#This Row],[h1]],8))</f>
        <v>0</v>
      </c>
      <c r="Q1557" s="46" t="s">
        <v>149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149</v>
      </c>
      <c r="P1558" s="46">
        <f>HEX2DEC(RIGHT(Table13232127[[#This Row],[h1]],8))</f>
        <v>0</v>
      </c>
      <c r="Q1558" s="46" t="s">
        <v>149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149</v>
      </c>
      <c r="P1559" s="46">
        <f>HEX2DEC(RIGHT(Table13232127[[#This Row],[h1]],8))</f>
        <v>0</v>
      </c>
      <c r="Q1559" s="46" t="s">
        <v>149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149</v>
      </c>
      <c r="P1560" s="46">
        <f>HEX2DEC(RIGHT(Table13232127[[#This Row],[h1]],8))</f>
        <v>0</v>
      </c>
      <c r="Q1560" s="46" t="s">
        <v>149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149</v>
      </c>
      <c r="P1561" s="46">
        <f>HEX2DEC(RIGHT(Table13232127[[#This Row],[h1]],8))</f>
        <v>0</v>
      </c>
      <c r="Q1561" s="46" t="s">
        <v>149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149</v>
      </c>
      <c r="P1562" s="46">
        <f>HEX2DEC(RIGHT(Table13232127[[#This Row],[h1]],8))</f>
        <v>0</v>
      </c>
      <c r="Q1562" s="46" t="s">
        <v>149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149</v>
      </c>
      <c r="P1563" s="46">
        <f>HEX2DEC(RIGHT(Table13232127[[#This Row],[h1]],8))</f>
        <v>0</v>
      </c>
      <c r="Q1563" s="46" t="s">
        <v>149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149</v>
      </c>
      <c r="P1564" s="46">
        <f>HEX2DEC(RIGHT(Table13232127[[#This Row],[h1]],8))</f>
        <v>0</v>
      </c>
      <c r="Q1564" s="46" t="s">
        <v>149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149</v>
      </c>
      <c r="P1565" s="46">
        <f>HEX2DEC(RIGHT(Table13232127[[#This Row],[h1]],8))</f>
        <v>0</v>
      </c>
      <c r="Q1565" s="46" t="s">
        <v>149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149</v>
      </c>
      <c r="P1566" s="46">
        <f>HEX2DEC(RIGHT(Table13232127[[#This Row],[h1]],8))</f>
        <v>0</v>
      </c>
      <c r="Q1566" s="46" t="s">
        <v>149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149</v>
      </c>
      <c r="P1567" s="46">
        <f>HEX2DEC(RIGHT(Table13232127[[#This Row],[h1]],8))</f>
        <v>0</v>
      </c>
      <c r="Q1567" s="46" t="s">
        <v>149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149</v>
      </c>
      <c r="P1568" s="46">
        <f>HEX2DEC(RIGHT(Table13232127[[#This Row],[h1]],8))</f>
        <v>0</v>
      </c>
      <c r="Q1568" s="46" t="s">
        <v>149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149</v>
      </c>
      <c r="P1569" s="46">
        <f>HEX2DEC(RIGHT(Table13232127[[#This Row],[h1]],8))</f>
        <v>0</v>
      </c>
      <c r="Q1569" s="46" t="s">
        <v>149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149</v>
      </c>
      <c r="P1570" s="46">
        <f>HEX2DEC(RIGHT(Table13232127[[#This Row],[h1]],8))</f>
        <v>0</v>
      </c>
      <c r="Q1570" s="46" t="s">
        <v>149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149</v>
      </c>
      <c r="P1571" s="46">
        <f>HEX2DEC(RIGHT(Table13232127[[#This Row],[h1]],8))</f>
        <v>0</v>
      </c>
      <c r="Q1571" s="46" t="s">
        <v>149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149</v>
      </c>
      <c r="P1572" s="46">
        <f>HEX2DEC(RIGHT(Table13232127[[#This Row],[h1]],8))</f>
        <v>0</v>
      </c>
      <c r="Q1572" s="46" t="s">
        <v>149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149</v>
      </c>
      <c r="P1573" s="46">
        <f>HEX2DEC(RIGHT(Table13232127[[#This Row],[h1]],8))</f>
        <v>0</v>
      </c>
      <c r="Q1573" s="46" t="s">
        <v>149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149</v>
      </c>
      <c r="P1574" s="46">
        <f>HEX2DEC(RIGHT(Table13232127[[#This Row],[h1]],8))</f>
        <v>0</v>
      </c>
      <c r="Q1574" s="46" t="s">
        <v>149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149</v>
      </c>
      <c r="P1575" s="46">
        <f>HEX2DEC(RIGHT(Table13232127[[#This Row],[h1]],8))</f>
        <v>0</v>
      </c>
      <c r="Q1575" s="46" t="s">
        <v>149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149</v>
      </c>
      <c r="P1576" s="46">
        <f>HEX2DEC(RIGHT(Table13232127[[#This Row],[h1]],8))</f>
        <v>0</v>
      </c>
      <c r="Q1576" s="46" t="s">
        <v>149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149</v>
      </c>
      <c r="P1577" s="46">
        <f>HEX2DEC(RIGHT(Table13232127[[#This Row],[h1]],8))</f>
        <v>0</v>
      </c>
      <c r="Q1577" s="46" t="s">
        <v>149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149</v>
      </c>
      <c r="P1578" s="46">
        <f>HEX2DEC(RIGHT(Table13232127[[#This Row],[h1]],8))</f>
        <v>0</v>
      </c>
      <c r="Q1578" s="46" t="s">
        <v>149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149</v>
      </c>
      <c r="P1579" s="46">
        <f>HEX2DEC(RIGHT(Table13232127[[#This Row],[h1]],8))</f>
        <v>0</v>
      </c>
      <c r="Q1579" s="46" t="s">
        <v>149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149</v>
      </c>
      <c r="P1580" s="46">
        <f>HEX2DEC(RIGHT(Table13232127[[#This Row],[h1]],8))</f>
        <v>0</v>
      </c>
      <c r="Q1580" s="46" t="s">
        <v>149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149</v>
      </c>
      <c r="P1581" s="46">
        <f>HEX2DEC(RIGHT(Table13232127[[#This Row],[h1]],8))</f>
        <v>0</v>
      </c>
      <c r="Q1581" s="46" t="s">
        <v>149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149</v>
      </c>
      <c r="P1582" s="46">
        <f>HEX2DEC(RIGHT(Table13232127[[#This Row],[h1]],8))</f>
        <v>0</v>
      </c>
      <c r="Q1582" s="46" t="s">
        <v>149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149</v>
      </c>
      <c r="P1583" s="46">
        <f>HEX2DEC(RIGHT(Table13232127[[#This Row],[h1]],8))</f>
        <v>0</v>
      </c>
      <c r="Q1583" s="46" t="s">
        <v>149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149</v>
      </c>
      <c r="P1584" s="46">
        <f>HEX2DEC(RIGHT(Table13232127[[#This Row],[h1]],8))</f>
        <v>0</v>
      </c>
      <c r="Q1584" s="46" t="s">
        <v>149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149</v>
      </c>
      <c r="P1585" s="46">
        <f>HEX2DEC(RIGHT(Table13232127[[#This Row],[h1]],8))</f>
        <v>0</v>
      </c>
      <c r="Q1585" s="46" t="s">
        <v>149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149</v>
      </c>
      <c r="P1586" s="46">
        <f>HEX2DEC(RIGHT(Table13232127[[#This Row],[h1]],8))</f>
        <v>0</v>
      </c>
      <c r="Q1586" s="46" t="s">
        <v>149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149</v>
      </c>
      <c r="P1587" s="46">
        <f>HEX2DEC(RIGHT(Table13232127[[#This Row],[h1]],8))</f>
        <v>0</v>
      </c>
      <c r="Q1587" s="46" t="s">
        <v>149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149</v>
      </c>
      <c r="P1588" s="46">
        <f>HEX2DEC(RIGHT(Table13232127[[#This Row],[h1]],8))</f>
        <v>0</v>
      </c>
      <c r="Q1588" s="46" t="s">
        <v>149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149</v>
      </c>
      <c r="P1589" s="46">
        <f>HEX2DEC(RIGHT(Table13232127[[#This Row],[h1]],8))</f>
        <v>0</v>
      </c>
      <c r="Q1589" s="46" t="s">
        <v>149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149</v>
      </c>
      <c r="P1590" s="46">
        <f>HEX2DEC(RIGHT(Table13232127[[#This Row],[h1]],8))</f>
        <v>0</v>
      </c>
      <c r="Q1590" s="46" t="s">
        <v>149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149</v>
      </c>
      <c r="P1591" s="46">
        <f>HEX2DEC(RIGHT(Table13232127[[#This Row],[h1]],8))</f>
        <v>0</v>
      </c>
      <c r="Q1591" s="46" t="s">
        <v>149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149</v>
      </c>
      <c r="P1592" s="46">
        <f>HEX2DEC(RIGHT(Table13232127[[#This Row],[h1]],8))</f>
        <v>0</v>
      </c>
      <c r="Q1592" s="46" t="s">
        <v>149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149</v>
      </c>
      <c r="P1593" s="46">
        <f>HEX2DEC(RIGHT(Table13232127[[#This Row],[h1]],8))</f>
        <v>0</v>
      </c>
      <c r="Q1593" s="46" t="s">
        <v>149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149</v>
      </c>
      <c r="P1594" s="46">
        <f>HEX2DEC(RIGHT(Table13232127[[#This Row],[h1]],8))</f>
        <v>0</v>
      </c>
      <c r="Q1594" s="46" t="s">
        <v>149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149</v>
      </c>
      <c r="P1595" s="46">
        <f>HEX2DEC(RIGHT(Table13232127[[#This Row],[h1]],8))</f>
        <v>0</v>
      </c>
      <c r="Q1595" s="46" t="s">
        <v>149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149</v>
      </c>
      <c r="P1596" s="46">
        <f>HEX2DEC(RIGHT(Table13232127[[#This Row],[h1]],8))</f>
        <v>0</v>
      </c>
      <c r="Q1596" s="46" t="s">
        <v>149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149</v>
      </c>
      <c r="P1597" s="46">
        <f>HEX2DEC(RIGHT(Table13232127[[#This Row],[h1]],8))</f>
        <v>0</v>
      </c>
      <c r="Q1597" s="46" t="s">
        <v>149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149</v>
      </c>
      <c r="P1598" s="46">
        <f>HEX2DEC(RIGHT(Table13232127[[#This Row],[h1]],8))</f>
        <v>0</v>
      </c>
      <c r="Q1598" s="46" t="s">
        <v>149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149</v>
      </c>
      <c r="P1599" s="46">
        <f>HEX2DEC(RIGHT(Table13232127[[#This Row],[h1]],8))</f>
        <v>0</v>
      </c>
      <c r="Q1599" s="46" t="s">
        <v>149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149</v>
      </c>
      <c r="P1600" s="46">
        <f>HEX2DEC(RIGHT(Table13232127[[#This Row],[h1]],8))</f>
        <v>0</v>
      </c>
      <c r="Q1600" s="46" t="s">
        <v>149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149</v>
      </c>
      <c r="P1601" s="46">
        <f>HEX2DEC(RIGHT(Table13232127[[#This Row],[h1]],8))</f>
        <v>0</v>
      </c>
      <c r="Q1601" s="46" t="s">
        <v>149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149</v>
      </c>
      <c r="P1602" s="46">
        <f>HEX2DEC(RIGHT(Table13232127[[#This Row],[h1]],8))</f>
        <v>0</v>
      </c>
      <c r="Q1602" s="46" t="s">
        <v>149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149</v>
      </c>
      <c r="P1603" s="46">
        <f>HEX2DEC(RIGHT(Table13232127[[#This Row],[h1]],8))</f>
        <v>0</v>
      </c>
      <c r="Q1603" s="46" t="s">
        <v>149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149</v>
      </c>
      <c r="P1604" s="46">
        <f>HEX2DEC(RIGHT(Table13232127[[#This Row],[h1]],8))</f>
        <v>0</v>
      </c>
      <c r="Q1604" s="46" t="s">
        <v>149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149</v>
      </c>
      <c r="P1605" s="46">
        <f>HEX2DEC(RIGHT(Table13232127[[#This Row],[h1]],8))</f>
        <v>0</v>
      </c>
      <c r="Q1605" s="46" t="s">
        <v>149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149</v>
      </c>
      <c r="P1606" s="46">
        <f>HEX2DEC(RIGHT(Table13232127[[#This Row],[h1]],8))</f>
        <v>0</v>
      </c>
      <c r="Q1606" s="46" t="s">
        <v>149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149</v>
      </c>
      <c r="P1607" s="46">
        <f>HEX2DEC(RIGHT(Table13232127[[#This Row],[h1]],8))</f>
        <v>0</v>
      </c>
      <c r="Q1607" s="46" t="s">
        <v>149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149</v>
      </c>
      <c r="P1608" s="46">
        <f>HEX2DEC(RIGHT(Table13232127[[#This Row],[h1]],8))</f>
        <v>0</v>
      </c>
      <c r="Q1608" s="46" t="s">
        <v>149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149</v>
      </c>
      <c r="P1609" s="46">
        <f>HEX2DEC(RIGHT(Table13232127[[#This Row],[h1]],8))</f>
        <v>0</v>
      </c>
      <c r="Q1609" s="46" t="s">
        <v>149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149</v>
      </c>
      <c r="P1610" s="46">
        <f>HEX2DEC(RIGHT(Table13232127[[#This Row],[h1]],8))</f>
        <v>0</v>
      </c>
      <c r="Q1610" s="46" t="s">
        <v>149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149</v>
      </c>
      <c r="P1611" s="46">
        <f>HEX2DEC(RIGHT(Table13232127[[#This Row],[h1]],8))</f>
        <v>0</v>
      </c>
      <c r="Q1611" s="46" t="s">
        <v>149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149</v>
      </c>
      <c r="P1612" s="46">
        <f>HEX2DEC(RIGHT(Table13232127[[#This Row],[h1]],8))</f>
        <v>0</v>
      </c>
      <c r="Q1612" s="46" t="s">
        <v>149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149</v>
      </c>
      <c r="P1613" s="46">
        <f>HEX2DEC(RIGHT(Table13232127[[#This Row],[h1]],8))</f>
        <v>0</v>
      </c>
      <c r="Q1613" s="46" t="s">
        <v>149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149</v>
      </c>
      <c r="P1614" s="46">
        <f>HEX2DEC(RIGHT(Table13232127[[#This Row],[h1]],8))</f>
        <v>0</v>
      </c>
      <c r="Q1614" s="46" t="s">
        <v>149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149</v>
      </c>
      <c r="P1615" s="46">
        <f>HEX2DEC(RIGHT(Table13232127[[#This Row],[h1]],8))</f>
        <v>0</v>
      </c>
      <c r="Q1615" s="46" t="s">
        <v>149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149</v>
      </c>
      <c r="P1616" s="46">
        <f>HEX2DEC(RIGHT(Table13232127[[#This Row],[h1]],8))</f>
        <v>0</v>
      </c>
      <c r="Q1616" s="46" t="s">
        <v>149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149</v>
      </c>
      <c r="P1617" s="46">
        <f>HEX2DEC(RIGHT(Table13232127[[#This Row],[h1]],8))</f>
        <v>0</v>
      </c>
      <c r="Q1617" s="46" t="s">
        <v>149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149</v>
      </c>
      <c r="P1618" s="46">
        <f>HEX2DEC(RIGHT(Table13232127[[#This Row],[h1]],8))</f>
        <v>0</v>
      </c>
      <c r="Q1618" s="46" t="s">
        <v>149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149</v>
      </c>
      <c r="P1619" s="46">
        <f>HEX2DEC(RIGHT(Table13232127[[#This Row],[h1]],8))</f>
        <v>0</v>
      </c>
      <c r="Q1619" s="46" t="s">
        <v>149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149</v>
      </c>
      <c r="P1620" s="46">
        <f>HEX2DEC(RIGHT(Table13232127[[#This Row],[h1]],8))</f>
        <v>0</v>
      </c>
      <c r="Q1620" s="46" t="s">
        <v>149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149</v>
      </c>
      <c r="P1621" s="46">
        <f>HEX2DEC(RIGHT(Table13232127[[#This Row],[h1]],8))</f>
        <v>0</v>
      </c>
      <c r="Q1621" s="46" t="s">
        <v>149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149</v>
      </c>
      <c r="P1622" s="46">
        <f>HEX2DEC(RIGHT(Table13232127[[#This Row],[h1]],8))</f>
        <v>0</v>
      </c>
      <c r="Q1622" s="46" t="s">
        <v>149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149</v>
      </c>
      <c r="P1623" s="46">
        <f>HEX2DEC(RIGHT(Table13232127[[#This Row],[h1]],8))</f>
        <v>0</v>
      </c>
      <c r="Q1623" s="46" t="s">
        <v>149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149</v>
      </c>
      <c r="P1624" s="46">
        <f>HEX2DEC(RIGHT(Table13232127[[#This Row],[h1]],8))</f>
        <v>0</v>
      </c>
      <c r="Q1624" s="46" t="s">
        <v>149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149</v>
      </c>
      <c r="P1625" s="46">
        <f>HEX2DEC(RIGHT(Table13232127[[#This Row],[h1]],8))</f>
        <v>0</v>
      </c>
      <c r="Q1625" s="46" t="s">
        <v>149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149</v>
      </c>
      <c r="P1626" s="46">
        <f>HEX2DEC(RIGHT(Table13232127[[#This Row],[h1]],8))</f>
        <v>0</v>
      </c>
      <c r="Q1626" s="46" t="s">
        <v>149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149</v>
      </c>
      <c r="P1627" s="46">
        <f>HEX2DEC(RIGHT(Table13232127[[#This Row],[h1]],8))</f>
        <v>0</v>
      </c>
      <c r="Q1627" s="46" t="s">
        <v>149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149</v>
      </c>
      <c r="P1628" s="46">
        <f>HEX2DEC(RIGHT(Table13232127[[#This Row],[h1]],8))</f>
        <v>0</v>
      </c>
      <c r="Q1628" s="46" t="s">
        <v>149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149</v>
      </c>
      <c r="P1629" s="46">
        <f>HEX2DEC(RIGHT(Table13232127[[#This Row],[h1]],8))</f>
        <v>0</v>
      </c>
      <c r="Q1629" s="46" t="s">
        <v>149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149</v>
      </c>
      <c r="P1630" s="46">
        <f>HEX2DEC(RIGHT(Table13232127[[#This Row],[h1]],8))</f>
        <v>0</v>
      </c>
      <c r="Q1630" s="46" t="s">
        <v>149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149</v>
      </c>
      <c r="P1631" s="46">
        <f>HEX2DEC(RIGHT(Table13232127[[#This Row],[h1]],8))</f>
        <v>0</v>
      </c>
      <c r="Q1631" s="46" t="s">
        <v>149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149</v>
      </c>
      <c r="P1632" s="46">
        <f>HEX2DEC(RIGHT(Table13232127[[#This Row],[h1]],8))</f>
        <v>0</v>
      </c>
      <c r="Q1632" s="46" t="s">
        <v>149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149</v>
      </c>
      <c r="P1633" s="46">
        <f>HEX2DEC(RIGHT(Table13232127[[#This Row],[h1]],8))</f>
        <v>0</v>
      </c>
      <c r="Q1633" s="46" t="s">
        <v>149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149</v>
      </c>
      <c r="P1634" s="46">
        <f>HEX2DEC(RIGHT(Table13232127[[#This Row],[h1]],8))</f>
        <v>0</v>
      </c>
      <c r="Q1634" s="46" t="s">
        <v>149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149</v>
      </c>
      <c r="P1635" s="46">
        <f>HEX2DEC(RIGHT(Table13232127[[#This Row],[h1]],8))</f>
        <v>0</v>
      </c>
      <c r="Q1635" s="46" t="s">
        <v>149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149</v>
      </c>
      <c r="P1636" s="46">
        <f>HEX2DEC(RIGHT(Table13232127[[#This Row],[h1]],8))</f>
        <v>0</v>
      </c>
      <c r="Q1636" s="46" t="s">
        <v>149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149</v>
      </c>
      <c r="P1637" s="46">
        <f>HEX2DEC(RIGHT(Table13232127[[#This Row],[h1]],8))</f>
        <v>0</v>
      </c>
      <c r="Q1637" s="46" t="s">
        <v>149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149</v>
      </c>
      <c r="P1638" s="46">
        <f>HEX2DEC(RIGHT(Table13232127[[#This Row],[h1]],8))</f>
        <v>0</v>
      </c>
      <c r="Q1638" s="46" t="s">
        <v>149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149</v>
      </c>
      <c r="P1639" s="46">
        <f>HEX2DEC(RIGHT(Table13232127[[#This Row],[h1]],8))</f>
        <v>0</v>
      </c>
      <c r="Q1639" s="46" t="s">
        <v>149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149</v>
      </c>
      <c r="P1640" s="46">
        <f>HEX2DEC(RIGHT(Table13232127[[#This Row],[h1]],8))</f>
        <v>0</v>
      </c>
      <c r="Q1640" s="46" t="s">
        <v>149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149</v>
      </c>
      <c r="P1641" s="46">
        <f>HEX2DEC(RIGHT(Table13232127[[#This Row],[h1]],8))</f>
        <v>0</v>
      </c>
      <c r="Q1641" s="46" t="s">
        <v>149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149</v>
      </c>
      <c r="P1642" s="46">
        <f>HEX2DEC(RIGHT(Table13232127[[#This Row],[h1]],8))</f>
        <v>0</v>
      </c>
      <c r="Q1642" s="46" t="s">
        <v>149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149</v>
      </c>
      <c r="P1643" s="46">
        <f>HEX2DEC(RIGHT(Table13232127[[#This Row],[h1]],8))</f>
        <v>0</v>
      </c>
      <c r="Q1643" s="46" t="s">
        <v>149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149</v>
      </c>
      <c r="P1644" s="46">
        <f>HEX2DEC(RIGHT(Table13232127[[#This Row],[h1]],8))</f>
        <v>0</v>
      </c>
      <c r="Q1644" s="46" t="s">
        <v>149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149</v>
      </c>
      <c r="P1645" s="46">
        <f>HEX2DEC(RIGHT(Table13232127[[#This Row],[h1]],8))</f>
        <v>0</v>
      </c>
      <c r="Q1645" s="46" t="s">
        <v>149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149</v>
      </c>
      <c r="P1646" s="46">
        <f>HEX2DEC(RIGHT(Table13232127[[#This Row],[h1]],8))</f>
        <v>0</v>
      </c>
      <c r="Q1646" s="46" t="s">
        <v>149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149</v>
      </c>
      <c r="P1647" s="46">
        <f>HEX2DEC(RIGHT(Table13232127[[#This Row],[h1]],8))</f>
        <v>0</v>
      </c>
      <c r="Q1647" s="46" t="s">
        <v>149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149</v>
      </c>
      <c r="P1648" s="46">
        <f>HEX2DEC(RIGHT(Table13232127[[#This Row],[h1]],8))</f>
        <v>0</v>
      </c>
      <c r="Q1648" s="46" t="s">
        <v>149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149</v>
      </c>
      <c r="P1649" s="46">
        <f>HEX2DEC(RIGHT(Table13232127[[#This Row],[h1]],8))</f>
        <v>0</v>
      </c>
      <c r="Q1649" s="46" t="s">
        <v>149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149</v>
      </c>
      <c r="P1650" s="46">
        <f>HEX2DEC(RIGHT(Table13232127[[#This Row],[h1]],8))</f>
        <v>0</v>
      </c>
      <c r="Q1650" s="46" t="s">
        <v>149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149</v>
      </c>
      <c r="P1651" s="46">
        <f>HEX2DEC(RIGHT(Table13232127[[#This Row],[h1]],8))</f>
        <v>0</v>
      </c>
      <c r="Q1651" s="46" t="s">
        <v>149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149</v>
      </c>
      <c r="P1652" s="46">
        <f>HEX2DEC(RIGHT(Table13232127[[#This Row],[h1]],8))</f>
        <v>0</v>
      </c>
      <c r="Q1652" s="46" t="s">
        <v>149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149</v>
      </c>
      <c r="P1653" s="46">
        <f>HEX2DEC(RIGHT(Table13232127[[#This Row],[h1]],8))</f>
        <v>0</v>
      </c>
      <c r="Q1653" s="46" t="s">
        <v>149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149</v>
      </c>
      <c r="P1654" s="46">
        <f>HEX2DEC(RIGHT(Table13232127[[#This Row],[h1]],8))</f>
        <v>0</v>
      </c>
      <c r="Q1654" s="46" t="s">
        <v>149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149</v>
      </c>
      <c r="P1655" s="46">
        <f>HEX2DEC(RIGHT(Table13232127[[#This Row],[h1]],8))</f>
        <v>0</v>
      </c>
      <c r="Q1655" s="46" t="s">
        <v>149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149</v>
      </c>
      <c r="P1656" s="46">
        <f>HEX2DEC(RIGHT(Table13232127[[#This Row],[h1]],8))</f>
        <v>0</v>
      </c>
      <c r="Q1656" s="46" t="s">
        <v>149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149</v>
      </c>
      <c r="P1657" s="46">
        <f>HEX2DEC(RIGHT(Table13232127[[#This Row],[h1]],8))</f>
        <v>0</v>
      </c>
      <c r="Q1657" s="46" t="s">
        <v>149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149</v>
      </c>
      <c r="P1658" s="46">
        <f>HEX2DEC(RIGHT(Table13232127[[#This Row],[h1]],8))</f>
        <v>0</v>
      </c>
      <c r="Q1658" s="46" t="s">
        <v>149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149</v>
      </c>
      <c r="P1659" s="46">
        <f>HEX2DEC(RIGHT(Table13232127[[#This Row],[h1]],8))</f>
        <v>0</v>
      </c>
      <c r="Q1659" s="46" t="s">
        <v>149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149</v>
      </c>
      <c r="P1660" s="46">
        <f>HEX2DEC(RIGHT(Table13232127[[#This Row],[h1]],8))</f>
        <v>0</v>
      </c>
      <c r="Q1660" s="46" t="s">
        <v>149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149</v>
      </c>
      <c r="P1661" s="46">
        <f>HEX2DEC(RIGHT(Table13232127[[#This Row],[h1]],8))</f>
        <v>0</v>
      </c>
      <c r="Q1661" s="46" t="s">
        <v>149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149</v>
      </c>
      <c r="P1662" s="46">
        <f>HEX2DEC(RIGHT(Table13232127[[#This Row],[h1]],8))</f>
        <v>0</v>
      </c>
      <c r="Q1662" s="46" t="s">
        <v>149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149</v>
      </c>
      <c r="P1663" s="46">
        <f>HEX2DEC(RIGHT(Table13232127[[#This Row],[h1]],8))</f>
        <v>0</v>
      </c>
      <c r="Q1663" s="46" t="s">
        <v>149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149</v>
      </c>
      <c r="P1664" s="46">
        <f>HEX2DEC(RIGHT(Table13232127[[#This Row],[h1]],8))</f>
        <v>0</v>
      </c>
      <c r="Q1664" s="46" t="s">
        <v>149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149</v>
      </c>
      <c r="P1665" s="46">
        <f>HEX2DEC(RIGHT(Table13232127[[#This Row],[h1]],8))</f>
        <v>0</v>
      </c>
      <c r="Q1665" s="46" t="s">
        <v>149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149</v>
      </c>
      <c r="P1666" s="46">
        <f>HEX2DEC(RIGHT(Table13232127[[#This Row],[h1]],8))</f>
        <v>0</v>
      </c>
      <c r="Q1666" s="46" t="s">
        <v>149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149</v>
      </c>
      <c r="P1667" s="46">
        <f>HEX2DEC(RIGHT(Table13232127[[#This Row],[h1]],8))</f>
        <v>0</v>
      </c>
      <c r="Q1667" s="46" t="s">
        <v>149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149</v>
      </c>
      <c r="P1668" s="46">
        <f>HEX2DEC(RIGHT(Table13232127[[#This Row],[h1]],8))</f>
        <v>0</v>
      </c>
      <c r="Q1668" s="46" t="s">
        <v>149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149</v>
      </c>
      <c r="P1669" s="46">
        <f>HEX2DEC(RIGHT(Table13232127[[#This Row],[h1]],8))</f>
        <v>0</v>
      </c>
      <c r="Q1669" s="46" t="s">
        <v>149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149</v>
      </c>
      <c r="P1670" s="46">
        <f>HEX2DEC(RIGHT(Table13232127[[#This Row],[h1]],8))</f>
        <v>0</v>
      </c>
      <c r="Q1670" s="46" t="s">
        <v>149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149</v>
      </c>
      <c r="P1671" s="46">
        <f>HEX2DEC(RIGHT(Table13232127[[#This Row],[h1]],8))</f>
        <v>0</v>
      </c>
      <c r="Q1671" s="46" t="s">
        <v>149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149</v>
      </c>
      <c r="P1672" s="46">
        <f>HEX2DEC(RIGHT(Table13232127[[#This Row],[h1]],8))</f>
        <v>0</v>
      </c>
      <c r="Q1672" s="46" t="s">
        <v>149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149</v>
      </c>
      <c r="P1673" s="46">
        <f>HEX2DEC(RIGHT(Table13232127[[#This Row],[h1]],8))</f>
        <v>0</v>
      </c>
      <c r="Q1673" s="46" t="s">
        <v>149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149</v>
      </c>
      <c r="P1674" s="46">
        <f>HEX2DEC(RIGHT(Table13232127[[#This Row],[h1]],8))</f>
        <v>0</v>
      </c>
      <c r="Q1674" s="46" t="s">
        <v>149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149</v>
      </c>
      <c r="P1675" s="46">
        <f>HEX2DEC(RIGHT(Table13232127[[#This Row],[h1]],8))</f>
        <v>0</v>
      </c>
      <c r="Q1675" s="46" t="s">
        <v>149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149</v>
      </c>
      <c r="P1676" s="46">
        <f>HEX2DEC(RIGHT(Table13232127[[#This Row],[h1]],8))</f>
        <v>0</v>
      </c>
      <c r="Q1676" s="46" t="s">
        <v>149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149</v>
      </c>
      <c r="P1677" s="46">
        <f>HEX2DEC(RIGHT(Table13232127[[#This Row],[h1]],8))</f>
        <v>0</v>
      </c>
      <c r="Q1677" s="46" t="s">
        <v>149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149</v>
      </c>
      <c r="P1678" s="46">
        <f>HEX2DEC(RIGHT(Table13232127[[#This Row],[h1]],8))</f>
        <v>0</v>
      </c>
      <c r="Q1678" s="46" t="s">
        <v>149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149</v>
      </c>
      <c r="P1679" s="46">
        <f>HEX2DEC(RIGHT(Table13232127[[#This Row],[h1]],8))</f>
        <v>0</v>
      </c>
      <c r="Q1679" s="46" t="s">
        <v>149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149</v>
      </c>
      <c r="P1680" s="46">
        <f>HEX2DEC(RIGHT(Table13232127[[#This Row],[h1]],8))</f>
        <v>0</v>
      </c>
      <c r="Q1680" s="46" t="s">
        <v>149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149</v>
      </c>
      <c r="P1681" s="46">
        <f>HEX2DEC(RIGHT(Table13232127[[#This Row],[h1]],8))</f>
        <v>0</v>
      </c>
      <c r="Q1681" s="46" t="s">
        <v>149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149</v>
      </c>
      <c r="P1682" s="46">
        <f>HEX2DEC(RIGHT(Table13232127[[#This Row],[h1]],8))</f>
        <v>0</v>
      </c>
      <c r="Q1682" s="46" t="s">
        <v>149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149</v>
      </c>
      <c r="P1683" s="46">
        <f>HEX2DEC(RIGHT(Table13232127[[#This Row],[h1]],8))</f>
        <v>0</v>
      </c>
      <c r="Q1683" s="46" t="s">
        <v>149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149</v>
      </c>
      <c r="P1684" s="46">
        <f>HEX2DEC(RIGHT(Table13232127[[#This Row],[h1]],8))</f>
        <v>0</v>
      </c>
      <c r="Q1684" s="46" t="s">
        <v>149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149</v>
      </c>
      <c r="P1685" s="46">
        <f>HEX2DEC(RIGHT(Table13232127[[#This Row],[h1]],8))</f>
        <v>0</v>
      </c>
      <c r="Q1685" s="46" t="s">
        <v>149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149</v>
      </c>
      <c r="P1686" s="46">
        <f>HEX2DEC(RIGHT(Table13232127[[#This Row],[h1]],8))</f>
        <v>0</v>
      </c>
      <c r="Q1686" s="46" t="s">
        <v>149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149</v>
      </c>
      <c r="P1687" s="46">
        <f>HEX2DEC(RIGHT(Table13232127[[#This Row],[h1]],8))</f>
        <v>0</v>
      </c>
      <c r="Q1687" s="46" t="s">
        <v>149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149</v>
      </c>
      <c r="P1688" s="46">
        <f>HEX2DEC(RIGHT(Table13232127[[#This Row],[h1]],8))</f>
        <v>0</v>
      </c>
      <c r="Q1688" s="46" t="s">
        <v>149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149</v>
      </c>
      <c r="P1689" s="46">
        <f>HEX2DEC(RIGHT(Table13232127[[#This Row],[h1]],8))</f>
        <v>0</v>
      </c>
      <c r="Q1689" s="46" t="s">
        <v>149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149</v>
      </c>
      <c r="P1690" s="46">
        <f>HEX2DEC(RIGHT(Table13232127[[#This Row],[h1]],8))</f>
        <v>0</v>
      </c>
      <c r="Q1690" s="46" t="s">
        <v>149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149</v>
      </c>
      <c r="P1691" s="46">
        <f>HEX2DEC(RIGHT(Table13232127[[#This Row],[h1]],8))</f>
        <v>0</v>
      </c>
      <c r="Q1691" s="46" t="s">
        <v>149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149</v>
      </c>
      <c r="P1692" s="46">
        <f>HEX2DEC(RIGHT(Table13232127[[#This Row],[h1]],8))</f>
        <v>0</v>
      </c>
      <c r="Q1692" s="46" t="s">
        <v>149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149</v>
      </c>
      <c r="P1693" s="46">
        <f>HEX2DEC(RIGHT(Table13232127[[#This Row],[h1]],8))</f>
        <v>0</v>
      </c>
      <c r="Q1693" s="46" t="s">
        <v>149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149</v>
      </c>
      <c r="P1694" s="46">
        <f>HEX2DEC(RIGHT(Table13232127[[#This Row],[h1]],8))</f>
        <v>0</v>
      </c>
      <c r="Q1694" s="46" t="s">
        <v>149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149</v>
      </c>
      <c r="P1695" s="46">
        <f>HEX2DEC(RIGHT(Table13232127[[#This Row],[h1]],8))</f>
        <v>0</v>
      </c>
      <c r="Q1695" s="46" t="s">
        <v>149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149</v>
      </c>
      <c r="P1696" s="46">
        <f>HEX2DEC(RIGHT(Table13232127[[#This Row],[h1]],8))</f>
        <v>0</v>
      </c>
      <c r="Q1696" s="46" t="s">
        <v>149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149</v>
      </c>
      <c r="P1697" s="46">
        <f>HEX2DEC(RIGHT(Table13232127[[#This Row],[h1]],8))</f>
        <v>0</v>
      </c>
      <c r="Q1697" s="46" t="s">
        <v>149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149</v>
      </c>
      <c r="P1698" s="46">
        <f>HEX2DEC(RIGHT(Table13232127[[#This Row],[h1]],8))</f>
        <v>0</v>
      </c>
      <c r="Q1698" s="46" t="s">
        <v>149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149</v>
      </c>
      <c r="P1699" s="46">
        <f>HEX2DEC(RIGHT(Table13232127[[#This Row],[h1]],8))</f>
        <v>0</v>
      </c>
      <c r="Q1699" s="46" t="s">
        <v>149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149</v>
      </c>
      <c r="P1700" s="46">
        <f>HEX2DEC(RIGHT(Table13232127[[#This Row],[h1]],8))</f>
        <v>0</v>
      </c>
      <c r="Q1700" s="46" t="s">
        <v>149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149</v>
      </c>
      <c r="P1701" s="46">
        <f>HEX2DEC(RIGHT(Table13232127[[#This Row],[h1]],8))</f>
        <v>0</v>
      </c>
      <c r="Q1701" s="46" t="s">
        <v>149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149</v>
      </c>
      <c r="P1702" s="46">
        <f>HEX2DEC(RIGHT(Table13232127[[#This Row],[h1]],8))</f>
        <v>0</v>
      </c>
      <c r="Q1702" s="46" t="s">
        <v>149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149</v>
      </c>
      <c r="P1703" s="46">
        <f>HEX2DEC(RIGHT(Table13232127[[#This Row],[h1]],8))</f>
        <v>0</v>
      </c>
      <c r="Q1703" s="46" t="s">
        <v>149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149</v>
      </c>
      <c r="P1704" s="46">
        <f>HEX2DEC(RIGHT(Table13232127[[#This Row],[h1]],8))</f>
        <v>0</v>
      </c>
      <c r="Q1704" s="46" t="s">
        <v>149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149</v>
      </c>
      <c r="P1705" s="46">
        <f>HEX2DEC(RIGHT(Table13232127[[#This Row],[h1]],8))</f>
        <v>0</v>
      </c>
      <c r="Q1705" s="46" t="s">
        <v>149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149</v>
      </c>
      <c r="P1706" s="46">
        <f>HEX2DEC(RIGHT(Table13232127[[#This Row],[h1]],8))</f>
        <v>0</v>
      </c>
      <c r="Q1706" s="46" t="s">
        <v>149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149</v>
      </c>
      <c r="P1707" s="46">
        <f>HEX2DEC(RIGHT(Table13232127[[#This Row],[h1]],8))</f>
        <v>0</v>
      </c>
      <c r="Q1707" s="46" t="s">
        <v>149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149</v>
      </c>
      <c r="P1708" s="46">
        <f>HEX2DEC(RIGHT(Table13232127[[#This Row],[h1]],8))</f>
        <v>0</v>
      </c>
      <c r="Q1708" s="46" t="s">
        <v>149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149</v>
      </c>
      <c r="P1709" s="46">
        <f>HEX2DEC(RIGHT(Table13232127[[#This Row],[h1]],8))</f>
        <v>0</v>
      </c>
      <c r="Q1709" s="46" t="s">
        <v>149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149</v>
      </c>
      <c r="P1710" s="46">
        <f>HEX2DEC(RIGHT(Table13232127[[#This Row],[h1]],8))</f>
        <v>0</v>
      </c>
      <c r="Q1710" s="46" t="s">
        <v>149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149</v>
      </c>
      <c r="P1711" s="46">
        <f>HEX2DEC(RIGHT(Table13232127[[#This Row],[h1]],8))</f>
        <v>0</v>
      </c>
      <c r="Q1711" s="46" t="s">
        <v>149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149</v>
      </c>
      <c r="P1712" s="46">
        <f>HEX2DEC(RIGHT(Table13232127[[#This Row],[h1]],8))</f>
        <v>0</v>
      </c>
      <c r="Q1712" s="46" t="s">
        <v>149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149</v>
      </c>
      <c r="P1713" s="46">
        <f>HEX2DEC(RIGHT(Table13232127[[#This Row],[h1]],8))</f>
        <v>0</v>
      </c>
      <c r="Q1713" s="46" t="s">
        <v>149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149</v>
      </c>
      <c r="P1714" s="46">
        <f>HEX2DEC(RIGHT(Table13232127[[#This Row],[h1]],8))</f>
        <v>0</v>
      </c>
      <c r="Q1714" s="46" t="s">
        <v>149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149</v>
      </c>
      <c r="P1715" s="46">
        <f>HEX2DEC(RIGHT(Table13232127[[#This Row],[h1]],8))</f>
        <v>0</v>
      </c>
      <c r="Q1715" s="46" t="s">
        <v>149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149</v>
      </c>
      <c r="P1716" s="46">
        <f>HEX2DEC(RIGHT(Table13232127[[#This Row],[h1]],8))</f>
        <v>0</v>
      </c>
      <c r="Q1716" s="46" t="s">
        <v>149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149</v>
      </c>
      <c r="P1717" s="46">
        <f>HEX2DEC(RIGHT(Table13232127[[#This Row],[h1]],8))</f>
        <v>0</v>
      </c>
      <c r="Q1717" s="46" t="s">
        <v>149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149</v>
      </c>
      <c r="P1718" s="46">
        <f>HEX2DEC(RIGHT(Table13232127[[#This Row],[h1]],8))</f>
        <v>0</v>
      </c>
      <c r="Q1718" s="46" t="s">
        <v>149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149</v>
      </c>
      <c r="P1719" s="46">
        <f>HEX2DEC(RIGHT(Table13232127[[#This Row],[h1]],8))</f>
        <v>0</v>
      </c>
      <c r="Q1719" s="46" t="s">
        <v>149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149</v>
      </c>
      <c r="P1720" s="46">
        <f>HEX2DEC(RIGHT(Table13232127[[#This Row],[h1]],8))</f>
        <v>0</v>
      </c>
      <c r="Q1720" s="46" t="s">
        <v>149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149</v>
      </c>
      <c r="P1721" s="46">
        <f>HEX2DEC(RIGHT(Table13232127[[#This Row],[h1]],8))</f>
        <v>0</v>
      </c>
      <c r="Q1721" s="46" t="s">
        <v>149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149</v>
      </c>
      <c r="P1722" s="46">
        <f>HEX2DEC(RIGHT(Table13232127[[#This Row],[h1]],8))</f>
        <v>0</v>
      </c>
      <c r="Q1722" s="46" t="s">
        <v>149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149</v>
      </c>
      <c r="P1723" s="46">
        <f>HEX2DEC(RIGHT(Table13232127[[#This Row],[h1]],8))</f>
        <v>0</v>
      </c>
      <c r="Q1723" s="46" t="s">
        <v>149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149</v>
      </c>
      <c r="P1724" s="46">
        <f>HEX2DEC(RIGHT(Table13232127[[#This Row],[h1]],8))</f>
        <v>0</v>
      </c>
      <c r="Q1724" s="46" t="s">
        <v>149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149</v>
      </c>
      <c r="P1725" s="46">
        <f>HEX2DEC(RIGHT(Table13232127[[#This Row],[h1]],8))</f>
        <v>0</v>
      </c>
      <c r="Q1725" s="46" t="s">
        <v>149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149</v>
      </c>
      <c r="P1726" s="46">
        <f>HEX2DEC(RIGHT(Table13232127[[#This Row],[h1]],8))</f>
        <v>0</v>
      </c>
      <c r="Q1726" s="46" t="s">
        <v>149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149</v>
      </c>
      <c r="P1727" s="46">
        <f>HEX2DEC(RIGHT(Table13232127[[#This Row],[h1]],8))</f>
        <v>0</v>
      </c>
      <c r="Q1727" s="46" t="s">
        <v>149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149</v>
      </c>
      <c r="P1728" s="46">
        <f>HEX2DEC(RIGHT(Table13232127[[#This Row],[h1]],8))</f>
        <v>0</v>
      </c>
      <c r="Q1728" s="46" t="s">
        <v>149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149</v>
      </c>
      <c r="P1729" s="46">
        <f>HEX2DEC(RIGHT(Table13232127[[#This Row],[h1]],8))</f>
        <v>0</v>
      </c>
      <c r="Q1729" s="46" t="s">
        <v>149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149</v>
      </c>
      <c r="P1730" s="46">
        <f>HEX2DEC(RIGHT(Table13232127[[#This Row],[h1]],8))</f>
        <v>0</v>
      </c>
      <c r="Q1730" s="46" t="s">
        <v>149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149</v>
      </c>
      <c r="P1731" s="46">
        <f>HEX2DEC(RIGHT(Table13232127[[#This Row],[h1]],8))</f>
        <v>0</v>
      </c>
      <c r="Q1731" s="46" t="s">
        <v>149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149</v>
      </c>
      <c r="P1732" s="46">
        <f>HEX2DEC(RIGHT(Table13232127[[#This Row],[h1]],8))</f>
        <v>0</v>
      </c>
      <c r="Q1732" s="46" t="s">
        <v>149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149</v>
      </c>
      <c r="P1733" s="46">
        <f>HEX2DEC(RIGHT(Table13232127[[#This Row],[h1]],8))</f>
        <v>0</v>
      </c>
      <c r="Q1733" s="46" t="s">
        <v>149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149</v>
      </c>
      <c r="P1734" s="46">
        <f>HEX2DEC(RIGHT(Table13232127[[#This Row],[h1]],8))</f>
        <v>0</v>
      </c>
      <c r="Q1734" s="46" t="s">
        <v>149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149</v>
      </c>
      <c r="P1735" s="46">
        <f>HEX2DEC(RIGHT(Table13232127[[#This Row],[h1]],8))</f>
        <v>0</v>
      </c>
      <c r="Q1735" s="46" t="s">
        <v>149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149</v>
      </c>
      <c r="P1736" s="46">
        <f>HEX2DEC(RIGHT(Table13232127[[#This Row],[h1]],8))</f>
        <v>0</v>
      </c>
      <c r="Q1736" s="46" t="s">
        <v>149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149</v>
      </c>
      <c r="P1737" s="46">
        <f>HEX2DEC(RIGHT(Table13232127[[#This Row],[h1]],8))</f>
        <v>0</v>
      </c>
      <c r="Q1737" s="46" t="s">
        <v>149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149</v>
      </c>
      <c r="P1738" s="46">
        <f>HEX2DEC(RIGHT(Table13232127[[#This Row],[h1]],8))</f>
        <v>0</v>
      </c>
      <c r="Q1738" s="46" t="s">
        <v>149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149</v>
      </c>
      <c r="P1739" s="46">
        <f>HEX2DEC(RIGHT(Table13232127[[#This Row],[h1]],8))</f>
        <v>0</v>
      </c>
      <c r="Q1739" s="46" t="s">
        <v>149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149</v>
      </c>
      <c r="P1740" s="46">
        <f>HEX2DEC(RIGHT(Table13232127[[#This Row],[h1]],8))</f>
        <v>0</v>
      </c>
      <c r="Q1740" s="46" t="s">
        <v>149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149</v>
      </c>
      <c r="P1741" s="46">
        <f>HEX2DEC(RIGHT(Table13232127[[#This Row],[h1]],8))</f>
        <v>0</v>
      </c>
      <c r="Q1741" s="46" t="s">
        <v>149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149</v>
      </c>
      <c r="P1742" s="46">
        <f>HEX2DEC(RIGHT(Table13232127[[#This Row],[h1]],8))</f>
        <v>0</v>
      </c>
      <c r="Q1742" s="46" t="s">
        <v>149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149</v>
      </c>
      <c r="P1743" s="46">
        <f>HEX2DEC(RIGHT(Table13232127[[#This Row],[h1]],8))</f>
        <v>0</v>
      </c>
      <c r="Q1743" s="46" t="s">
        <v>149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149</v>
      </c>
      <c r="P1744" s="46">
        <f>HEX2DEC(RIGHT(Table13232127[[#This Row],[h1]],8))</f>
        <v>0</v>
      </c>
      <c r="Q1744" s="46" t="s">
        <v>149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149</v>
      </c>
      <c r="P1745" s="46">
        <f>HEX2DEC(RIGHT(Table13232127[[#This Row],[h1]],8))</f>
        <v>0</v>
      </c>
      <c r="Q1745" s="46" t="s">
        <v>149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149</v>
      </c>
      <c r="P1746" s="46">
        <f>HEX2DEC(RIGHT(Table13232127[[#This Row],[h1]],8))</f>
        <v>0</v>
      </c>
      <c r="Q1746" s="46" t="s">
        <v>149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149</v>
      </c>
      <c r="P1747" s="46">
        <f>HEX2DEC(RIGHT(Table13232127[[#This Row],[h1]],8))</f>
        <v>0</v>
      </c>
      <c r="Q1747" s="46" t="s">
        <v>149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149</v>
      </c>
      <c r="P1748" s="46">
        <f>HEX2DEC(RIGHT(Table13232127[[#This Row],[h1]],8))</f>
        <v>0</v>
      </c>
      <c r="Q1748" s="46" t="s">
        <v>149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149</v>
      </c>
      <c r="P1749" s="46">
        <f>HEX2DEC(RIGHT(Table13232127[[#This Row],[h1]],8))</f>
        <v>0</v>
      </c>
      <c r="Q1749" s="46" t="s">
        <v>149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149</v>
      </c>
      <c r="P1750" s="46">
        <f>HEX2DEC(RIGHT(Table13232127[[#This Row],[h1]],8))</f>
        <v>0</v>
      </c>
      <c r="Q1750" s="46" t="s">
        <v>149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149</v>
      </c>
      <c r="P1751" s="46">
        <f>HEX2DEC(RIGHT(Table13232127[[#This Row],[h1]],8))</f>
        <v>0</v>
      </c>
      <c r="Q1751" s="46" t="s">
        <v>149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149</v>
      </c>
      <c r="P1752" s="46">
        <f>HEX2DEC(RIGHT(Table13232127[[#This Row],[h1]],8))</f>
        <v>0</v>
      </c>
      <c r="Q1752" s="46" t="s">
        <v>149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149</v>
      </c>
      <c r="P1753" s="46">
        <f>HEX2DEC(RIGHT(Table13232127[[#This Row],[h1]],8))</f>
        <v>0</v>
      </c>
      <c r="Q1753" s="46" t="s">
        <v>149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149</v>
      </c>
      <c r="P1754" s="46">
        <f>HEX2DEC(RIGHT(Table13232127[[#This Row],[h1]],8))</f>
        <v>0</v>
      </c>
      <c r="Q1754" s="46" t="s">
        <v>149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149</v>
      </c>
      <c r="P1755" s="46">
        <f>HEX2DEC(RIGHT(Table13232127[[#This Row],[h1]],8))</f>
        <v>0</v>
      </c>
      <c r="Q1755" s="46" t="s">
        <v>149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149</v>
      </c>
      <c r="P1756" s="46">
        <f>HEX2DEC(RIGHT(Table13232127[[#This Row],[h1]],8))</f>
        <v>0</v>
      </c>
      <c r="Q1756" s="46" t="s">
        <v>149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149</v>
      </c>
      <c r="P1757" s="46">
        <f>HEX2DEC(RIGHT(Table13232127[[#This Row],[h1]],8))</f>
        <v>0</v>
      </c>
      <c r="Q1757" s="46" t="s">
        <v>149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149</v>
      </c>
      <c r="P1758" s="46">
        <f>HEX2DEC(RIGHT(Table13232127[[#This Row],[h1]],8))</f>
        <v>0</v>
      </c>
      <c r="Q1758" s="46" t="s">
        <v>149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149</v>
      </c>
      <c r="P1759" s="46">
        <f>HEX2DEC(RIGHT(Table13232127[[#This Row],[h1]],8))</f>
        <v>0</v>
      </c>
      <c r="Q1759" s="46" t="s">
        <v>149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149</v>
      </c>
      <c r="P1760" s="46">
        <f>HEX2DEC(RIGHT(Table13232127[[#This Row],[h1]],8))</f>
        <v>0</v>
      </c>
      <c r="Q1760" s="46" t="s">
        <v>149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149</v>
      </c>
      <c r="P1761" s="46">
        <f>HEX2DEC(RIGHT(Table13232127[[#This Row],[h1]],8))</f>
        <v>0</v>
      </c>
      <c r="Q1761" s="46" t="s">
        <v>149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149</v>
      </c>
      <c r="P1762" s="46">
        <f>HEX2DEC(RIGHT(Table13232127[[#This Row],[h1]],8))</f>
        <v>0</v>
      </c>
      <c r="Q1762" s="46" t="s">
        <v>149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149</v>
      </c>
      <c r="P1763" s="46">
        <f>HEX2DEC(RIGHT(Table13232127[[#This Row],[h1]],8))</f>
        <v>0</v>
      </c>
      <c r="Q1763" s="46" t="s">
        <v>149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149</v>
      </c>
      <c r="P1764" s="46">
        <f>HEX2DEC(RIGHT(Table13232127[[#This Row],[h1]],8))</f>
        <v>0</v>
      </c>
      <c r="Q1764" s="46" t="s">
        <v>149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149</v>
      </c>
      <c r="P1765" s="46">
        <f>HEX2DEC(RIGHT(Table13232127[[#This Row],[h1]],8))</f>
        <v>0</v>
      </c>
      <c r="Q1765" s="46" t="s">
        <v>149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149</v>
      </c>
      <c r="P1766" s="46">
        <f>HEX2DEC(RIGHT(Table13232127[[#This Row],[h1]],8))</f>
        <v>0</v>
      </c>
      <c r="Q1766" s="46" t="s">
        <v>149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149</v>
      </c>
      <c r="P1767" s="46">
        <f>HEX2DEC(RIGHT(Table13232127[[#This Row],[h1]],8))</f>
        <v>0</v>
      </c>
      <c r="Q1767" s="46" t="s">
        <v>149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149</v>
      </c>
      <c r="P1768" s="46">
        <f>HEX2DEC(RIGHT(Table13232127[[#This Row],[h1]],8))</f>
        <v>0</v>
      </c>
      <c r="Q1768" s="46" t="s">
        <v>149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149</v>
      </c>
      <c r="P1769" s="46">
        <f>HEX2DEC(RIGHT(Table13232127[[#This Row],[h1]],8))</f>
        <v>0</v>
      </c>
      <c r="Q1769" s="46" t="s">
        <v>149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149</v>
      </c>
      <c r="P1770" s="46">
        <f>HEX2DEC(RIGHT(Table13232127[[#This Row],[h1]],8))</f>
        <v>0</v>
      </c>
      <c r="Q1770" s="46" t="s">
        <v>149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149</v>
      </c>
      <c r="P1771" s="46">
        <f>HEX2DEC(RIGHT(Table13232127[[#This Row],[h1]],8))</f>
        <v>0</v>
      </c>
      <c r="Q1771" s="46" t="s">
        <v>149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149</v>
      </c>
      <c r="P1772" s="46">
        <f>HEX2DEC(RIGHT(Table13232127[[#This Row],[h1]],8))</f>
        <v>0</v>
      </c>
      <c r="Q1772" s="46" t="s">
        <v>149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149</v>
      </c>
      <c r="P1773" s="46">
        <f>HEX2DEC(RIGHT(Table13232127[[#This Row],[h1]],8))</f>
        <v>0</v>
      </c>
      <c r="Q1773" s="46" t="s">
        <v>149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149</v>
      </c>
      <c r="P1774" s="46">
        <f>HEX2DEC(RIGHT(Table13232127[[#This Row],[h1]],8))</f>
        <v>0</v>
      </c>
      <c r="Q1774" s="46" t="s">
        <v>149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149</v>
      </c>
      <c r="P1775" s="46">
        <f>HEX2DEC(RIGHT(Table13232127[[#This Row],[h1]],8))</f>
        <v>0</v>
      </c>
      <c r="Q1775" s="46" t="s">
        <v>149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149</v>
      </c>
      <c r="P1776" s="46">
        <f>HEX2DEC(RIGHT(Table13232127[[#This Row],[h1]],8))</f>
        <v>0</v>
      </c>
      <c r="Q1776" s="46" t="s">
        <v>149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149</v>
      </c>
      <c r="P1777" s="46">
        <f>HEX2DEC(RIGHT(Table13232127[[#This Row],[h1]],8))</f>
        <v>0</v>
      </c>
      <c r="Q1777" s="46" t="s">
        <v>149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149</v>
      </c>
      <c r="P1778" s="46">
        <f>HEX2DEC(RIGHT(Table13232127[[#This Row],[h1]],8))</f>
        <v>0</v>
      </c>
      <c r="Q1778" s="46" t="s">
        <v>149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149</v>
      </c>
      <c r="P1779" s="46">
        <f>HEX2DEC(RIGHT(Table13232127[[#This Row],[h1]],8))</f>
        <v>0</v>
      </c>
      <c r="Q1779" s="46" t="s">
        <v>149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149</v>
      </c>
      <c r="P1780" s="46">
        <f>HEX2DEC(RIGHT(Table13232127[[#This Row],[h1]],8))</f>
        <v>0</v>
      </c>
      <c r="Q1780" s="46" t="s">
        <v>149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149</v>
      </c>
      <c r="P1781" s="46">
        <f>HEX2DEC(RIGHT(Table13232127[[#This Row],[h1]],8))</f>
        <v>0</v>
      </c>
      <c r="Q1781" s="46" t="s">
        <v>149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149</v>
      </c>
      <c r="P1782" s="46">
        <f>HEX2DEC(RIGHT(Table13232127[[#This Row],[h1]],8))</f>
        <v>0</v>
      </c>
      <c r="Q1782" s="46" t="s">
        <v>149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149</v>
      </c>
      <c r="P1783" s="46">
        <f>HEX2DEC(RIGHT(Table13232127[[#This Row],[h1]],8))</f>
        <v>0</v>
      </c>
      <c r="Q1783" s="46" t="s">
        <v>149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149</v>
      </c>
      <c r="P1784" s="46">
        <f>HEX2DEC(RIGHT(Table13232127[[#This Row],[h1]],8))</f>
        <v>0</v>
      </c>
      <c r="Q1784" s="46" t="s">
        <v>149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149</v>
      </c>
      <c r="P1785" s="46">
        <f>HEX2DEC(RIGHT(Table13232127[[#This Row],[h1]],8))</f>
        <v>0</v>
      </c>
      <c r="Q1785" s="46" t="s">
        <v>149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149</v>
      </c>
      <c r="P1786" s="46">
        <f>HEX2DEC(RIGHT(Table13232127[[#This Row],[h1]],8))</f>
        <v>0</v>
      </c>
      <c r="Q1786" s="46" t="s">
        <v>149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149</v>
      </c>
      <c r="P1787" s="46">
        <f>HEX2DEC(RIGHT(Table13232127[[#This Row],[h1]],8))</f>
        <v>0</v>
      </c>
      <c r="Q1787" s="46" t="s">
        <v>149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149</v>
      </c>
      <c r="P1788" s="46">
        <f>HEX2DEC(RIGHT(Table13232127[[#This Row],[h1]],8))</f>
        <v>0</v>
      </c>
      <c r="Q1788" s="46" t="s">
        <v>149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149</v>
      </c>
      <c r="P1789" s="46">
        <f>HEX2DEC(RIGHT(Table13232127[[#This Row],[h1]],8))</f>
        <v>0</v>
      </c>
      <c r="Q1789" s="46" t="s">
        <v>149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149</v>
      </c>
      <c r="P1790" s="46">
        <f>HEX2DEC(RIGHT(Table13232127[[#This Row],[h1]],8))</f>
        <v>0</v>
      </c>
      <c r="Q1790" s="46" t="s">
        <v>149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149</v>
      </c>
      <c r="P1791" s="46">
        <f>HEX2DEC(RIGHT(Table13232127[[#This Row],[h1]],8))</f>
        <v>0</v>
      </c>
      <c r="Q1791" s="46" t="s">
        <v>149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149</v>
      </c>
      <c r="P1792" s="46">
        <f>HEX2DEC(RIGHT(Table13232127[[#This Row],[h1]],8))</f>
        <v>0</v>
      </c>
      <c r="Q1792" s="46" t="s">
        <v>149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149</v>
      </c>
      <c r="P1793" s="46">
        <f>HEX2DEC(RIGHT(Table13232127[[#This Row],[h1]],8))</f>
        <v>0</v>
      </c>
      <c r="Q1793" s="46" t="s">
        <v>149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149</v>
      </c>
      <c r="P1794" s="46">
        <f>HEX2DEC(RIGHT(Table13232127[[#This Row],[h1]],8))</f>
        <v>0</v>
      </c>
      <c r="Q1794" s="46" t="s">
        <v>149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149</v>
      </c>
      <c r="P1795" s="46">
        <f>HEX2DEC(RIGHT(Table13232127[[#This Row],[h1]],8))</f>
        <v>0</v>
      </c>
      <c r="Q1795" s="46" t="s">
        <v>149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149</v>
      </c>
      <c r="P1796" s="46">
        <f>HEX2DEC(RIGHT(Table13232127[[#This Row],[h1]],8))</f>
        <v>0</v>
      </c>
      <c r="Q1796" s="46" t="s">
        <v>149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149</v>
      </c>
      <c r="P1797" s="46">
        <f>HEX2DEC(RIGHT(Table13232127[[#This Row],[h1]],8))</f>
        <v>0</v>
      </c>
      <c r="Q1797" s="46" t="s">
        <v>149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149</v>
      </c>
      <c r="P1798" s="46">
        <f>HEX2DEC(RIGHT(Table13232127[[#This Row],[h1]],8))</f>
        <v>0</v>
      </c>
      <c r="Q1798" s="46" t="s">
        <v>149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149</v>
      </c>
      <c r="P1799" s="46">
        <f>HEX2DEC(RIGHT(Table13232127[[#This Row],[h1]],8))</f>
        <v>0</v>
      </c>
      <c r="Q1799" s="46" t="s">
        <v>149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149</v>
      </c>
      <c r="P1800" s="46">
        <f>HEX2DEC(RIGHT(Table13232127[[#This Row],[h1]],8))</f>
        <v>0</v>
      </c>
      <c r="Q1800" s="46" t="s">
        <v>149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149</v>
      </c>
      <c r="P1801" s="46">
        <f>HEX2DEC(RIGHT(Table13232127[[#This Row],[h1]],8))</f>
        <v>0</v>
      </c>
      <c r="Q1801" s="46" t="s">
        <v>149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149</v>
      </c>
      <c r="P1802" s="46">
        <f>HEX2DEC(RIGHT(Table13232127[[#This Row],[h1]],8))</f>
        <v>0</v>
      </c>
      <c r="Q1802" s="46" t="s">
        <v>149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149</v>
      </c>
      <c r="P1803" s="46">
        <f>HEX2DEC(RIGHT(Table13232127[[#This Row],[h1]],8))</f>
        <v>0</v>
      </c>
      <c r="Q1803" s="46" t="s">
        <v>149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149</v>
      </c>
      <c r="P1804" s="46">
        <f>HEX2DEC(RIGHT(Table13232127[[#This Row],[h1]],8))</f>
        <v>0</v>
      </c>
      <c r="Q1804" s="46" t="s">
        <v>149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149</v>
      </c>
      <c r="P1805" s="46">
        <f>HEX2DEC(RIGHT(Table13232127[[#This Row],[h1]],8))</f>
        <v>0</v>
      </c>
      <c r="Q1805" s="46" t="s">
        <v>149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149</v>
      </c>
      <c r="P1806" s="46">
        <f>HEX2DEC(RIGHT(Table13232127[[#This Row],[h1]],8))</f>
        <v>0</v>
      </c>
      <c r="Q1806" s="46" t="s">
        <v>149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149</v>
      </c>
      <c r="P1807" s="46">
        <f>HEX2DEC(RIGHT(Table13232127[[#This Row],[h1]],8))</f>
        <v>0</v>
      </c>
      <c r="Q1807" s="46" t="s">
        <v>149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149</v>
      </c>
      <c r="P1808" s="46">
        <f>HEX2DEC(RIGHT(Table13232127[[#This Row],[h1]],8))</f>
        <v>0</v>
      </c>
      <c r="Q1808" s="46" t="s">
        <v>149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149</v>
      </c>
      <c r="P1809" s="46">
        <f>HEX2DEC(RIGHT(Table13232127[[#This Row],[h1]],8))</f>
        <v>0</v>
      </c>
      <c r="Q1809" s="46" t="s">
        <v>149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149</v>
      </c>
      <c r="P1810" s="46">
        <f>HEX2DEC(RIGHT(Table13232127[[#This Row],[h1]],8))</f>
        <v>0</v>
      </c>
      <c r="Q1810" s="46" t="s">
        <v>149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149</v>
      </c>
      <c r="P1811" s="46">
        <f>HEX2DEC(RIGHT(Table13232127[[#This Row],[h1]],8))</f>
        <v>0</v>
      </c>
      <c r="Q1811" s="46" t="s">
        <v>149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149</v>
      </c>
      <c r="P1812" s="46">
        <f>HEX2DEC(RIGHT(Table13232127[[#This Row],[h1]],8))</f>
        <v>0</v>
      </c>
      <c r="Q1812" s="46" t="s">
        <v>149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149</v>
      </c>
      <c r="P1813" s="46">
        <f>HEX2DEC(RIGHT(Table13232127[[#This Row],[h1]],8))</f>
        <v>0</v>
      </c>
      <c r="Q1813" s="46" t="s">
        <v>149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149</v>
      </c>
      <c r="P1814" s="46">
        <f>HEX2DEC(RIGHT(Table13232127[[#This Row],[h1]],8))</f>
        <v>0</v>
      </c>
      <c r="Q1814" s="46" t="s">
        <v>149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149</v>
      </c>
      <c r="P1815" s="46">
        <f>HEX2DEC(RIGHT(Table13232127[[#This Row],[h1]],8))</f>
        <v>0</v>
      </c>
      <c r="Q1815" s="46" t="s">
        <v>149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149</v>
      </c>
      <c r="P1816" s="46">
        <f>HEX2DEC(RIGHT(Table13232127[[#This Row],[h1]],8))</f>
        <v>0</v>
      </c>
      <c r="Q1816" s="46" t="s">
        <v>149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149</v>
      </c>
      <c r="P1817" s="46">
        <f>HEX2DEC(RIGHT(Table13232127[[#This Row],[h1]],8))</f>
        <v>0</v>
      </c>
      <c r="Q1817" s="46" t="s">
        <v>149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149</v>
      </c>
      <c r="P1818" s="46">
        <f>HEX2DEC(RIGHT(Table13232127[[#This Row],[h1]],8))</f>
        <v>0</v>
      </c>
      <c r="Q1818" s="46" t="s">
        <v>149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149</v>
      </c>
      <c r="P1819" s="46">
        <f>HEX2DEC(RIGHT(Table13232127[[#This Row],[h1]],8))</f>
        <v>0</v>
      </c>
      <c r="Q1819" s="46" t="s">
        <v>149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149</v>
      </c>
      <c r="P1820" s="46">
        <f>HEX2DEC(RIGHT(Table13232127[[#This Row],[h1]],8))</f>
        <v>0</v>
      </c>
      <c r="Q1820" s="46" t="s">
        <v>149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149</v>
      </c>
      <c r="P1821" s="46">
        <f>HEX2DEC(RIGHT(Table13232127[[#This Row],[h1]],8))</f>
        <v>0</v>
      </c>
      <c r="Q1821" s="46" t="s">
        <v>149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149</v>
      </c>
      <c r="P1822" s="46">
        <f>HEX2DEC(RIGHT(Table13232127[[#This Row],[h1]],8))</f>
        <v>0</v>
      </c>
      <c r="Q1822" s="46" t="s">
        <v>149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149</v>
      </c>
      <c r="P1823" s="46">
        <f>HEX2DEC(RIGHT(Table13232127[[#This Row],[h1]],8))</f>
        <v>0</v>
      </c>
      <c r="Q1823" s="46" t="s">
        <v>149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149</v>
      </c>
      <c r="P1824" s="46">
        <f>HEX2DEC(RIGHT(Table13232127[[#This Row],[h1]],8))</f>
        <v>0</v>
      </c>
      <c r="Q1824" s="46" t="s">
        <v>149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149</v>
      </c>
      <c r="P1825" s="46">
        <f>HEX2DEC(RIGHT(Table13232127[[#This Row],[h1]],8))</f>
        <v>0</v>
      </c>
      <c r="Q1825" s="46" t="s">
        <v>149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149</v>
      </c>
      <c r="P1826" s="46">
        <f>HEX2DEC(RIGHT(Table13232127[[#This Row],[h1]],8))</f>
        <v>0</v>
      </c>
      <c r="Q1826" s="46" t="s">
        <v>149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149</v>
      </c>
      <c r="P1827" s="46">
        <f>HEX2DEC(RIGHT(Table13232127[[#This Row],[h1]],8))</f>
        <v>0</v>
      </c>
      <c r="Q1827" s="46" t="s">
        <v>149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149</v>
      </c>
      <c r="P1828" s="46">
        <f>HEX2DEC(RIGHT(Table13232127[[#This Row],[h1]],8))</f>
        <v>0</v>
      </c>
      <c r="Q1828" s="46" t="s">
        <v>149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149</v>
      </c>
      <c r="P1829" s="46">
        <f>HEX2DEC(RIGHT(Table13232127[[#This Row],[h1]],8))</f>
        <v>0</v>
      </c>
      <c r="Q1829" s="46" t="s">
        <v>149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149</v>
      </c>
      <c r="P1830" s="46">
        <f>HEX2DEC(RIGHT(Table13232127[[#This Row],[h1]],8))</f>
        <v>0</v>
      </c>
      <c r="Q1830" s="46" t="s">
        <v>149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149</v>
      </c>
      <c r="P1831" s="46">
        <f>HEX2DEC(RIGHT(Table13232127[[#This Row],[h1]],8))</f>
        <v>0</v>
      </c>
      <c r="Q1831" s="46" t="s">
        <v>149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149</v>
      </c>
      <c r="P1832" s="46">
        <f>HEX2DEC(RIGHT(Table13232127[[#This Row],[h1]],8))</f>
        <v>0</v>
      </c>
      <c r="Q1832" s="46" t="s">
        <v>149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149</v>
      </c>
      <c r="P1833" s="46">
        <f>HEX2DEC(RIGHT(Table13232127[[#This Row],[h1]],8))</f>
        <v>0</v>
      </c>
      <c r="Q1833" s="46" t="s">
        <v>149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149</v>
      </c>
      <c r="P1834" s="46">
        <f>HEX2DEC(RIGHT(Table13232127[[#This Row],[h1]],8))</f>
        <v>0</v>
      </c>
      <c r="Q1834" s="46" t="s">
        <v>149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149</v>
      </c>
      <c r="P1835" s="46">
        <f>HEX2DEC(RIGHT(Table13232127[[#This Row],[h1]],8))</f>
        <v>0</v>
      </c>
      <c r="Q1835" s="46" t="s">
        <v>149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149</v>
      </c>
      <c r="P1836" s="46">
        <f>HEX2DEC(RIGHT(Table13232127[[#This Row],[h1]],8))</f>
        <v>0</v>
      </c>
      <c r="Q1836" s="46" t="s">
        <v>149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149</v>
      </c>
      <c r="P1837" s="46">
        <f>HEX2DEC(RIGHT(Table13232127[[#This Row],[h1]],8))</f>
        <v>0</v>
      </c>
      <c r="Q1837" s="46" t="s">
        <v>149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149</v>
      </c>
      <c r="P1838" s="46">
        <f>HEX2DEC(RIGHT(Table13232127[[#This Row],[h1]],8))</f>
        <v>0</v>
      </c>
      <c r="Q1838" s="46" t="s">
        <v>149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149</v>
      </c>
      <c r="P1839" s="46">
        <f>HEX2DEC(RIGHT(Table13232127[[#This Row],[h1]],8))</f>
        <v>0</v>
      </c>
      <c r="Q1839" s="46" t="s">
        <v>149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149</v>
      </c>
      <c r="P1840" s="46">
        <f>HEX2DEC(RIGHT(Table13232127[[#This Row],[h1]],8))</f>
        <v>0</v>
      </c>
      <c r="Q1840" s="46" t="s">
        <v>149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149</v>
      </c>
      <c r="P1841" s="46">
        <f>HEX2DEC(RIGHT(Table13232127[[#This Row],[h1]],8))</f>
        <v>0</v>
      </c>
      <c r="Q1841" s="46" t="s">
        <v>149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149</v>
      </c>
      <c r="P1842" s="46">
        <f>HEX2DEC(RIGHT(Table13232127[[#This Row],[h1]],8))</f>
        <v>0</v>
      </c>
      <c r="Q1842" s="46" t="s">
        <v>149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149</v>
      </c>
      <c r="P1843" s="46">
        <f>HEX2DEC(RIGHT(Table13232127[[#This Row],[h1]],8))</f>
        <v>0</v>
      </c>
      <c r="Q1843" s="46" t="s">
        <v>149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149</v>
      </c>
      <c r="P1844" s="46">
        <f>HEX2DEC(RIGHT(Table13232127[[#This Row],[h1]],8))</f>
        <v>0</v>
      </c>
      <c r="Q1844" s="46" t="s">
        <v>149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149</v>
      </c>
      <c r="P1845" s="46">
        <f>HEX2DEC(RIGHT(Table13232127[[#This Row],[h1]],8))</f>
        <v>0</v>
      </c>
      <c r="Q1845" s="46" t="s">
        <v>149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149</v>
      </c>
      <c r="P1846" s="46">
        <f>HEX2DEC(RIGHT(Table13232127[[#This Row],[h1]],8))</f>
        <v>0</v>
      </c>
      <c r="Q1846" s="46" t="s">
        <v>149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149</v>
      </c>
      <c r="P1847" s="46">
        <f>HEX2DEC(RIGHT(Table13232127[[#This Row],[h1]],8))</f>
        <v>0</v>
      </c>
      <c r="Q1847" s="46" t="s">
        <v>149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149</v>
      </c>
      <c r="P1848" s="46">
        <f>HEX2DEC(RIGHT(Table13232127[[#This Row],[h1]],8))</f>
        <v>0</v>
      </c>
      <c r="Q1848" s="46" t="s">
        <v>149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149</v>
      </c>
      <c r="P1849" s="46">
        <f>HEX2DEC(RIGHT(Table13232127[[#This Row],[h1]],8))</f>
        <v>0</v>
      </c>
      <c r="Q1849" s="46" t="s">
        <v>149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149</v>
      </c>
      <c r="P1850" s="46">
        <f>HEX2DEC(RIGHT(Table13232127[[#This Row],[h1]],8))</f>
        <v>0</v>
      </c>
      <c r="Q1850" s="46" t="s">
        <v>149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149</v>
      </c>
      <c r="P1851" s="46">
        <f>HEX2DEC(RIGHT(Table13232127[[#This Row],[h1]],8))</f>
        <v>0</v>
      </c>
      <c r="Q1851" s="46" t="s">
        <v>149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149</v>
      </c>
      <c r="P1852" s="46">
        <f>HEX2DEC(RIGHT(Table13232127[[#This Row],[h1]],8))</f>
        <v>0</v>
      </c>
      <c r="Q1852" s="46" t="s">
        <v>149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149</v>
      </c>
      <c r="P1853" s="46">
        <f>HEX2DEC(RIGHT(Table13232127[[#This Row],[h1]],8))</f>
        <v>0</v>
      </c>
      <c r="Q1853" s="46" t="s">
        <v>149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149</v>
      </c>
      <c r="P1854" s="46">
        <f>HEX2DEC(RIGHT(Table13232127[[#This Row],[h1]],8))</f>
        <v>0</v>
      </c>
      <c r="Q1854" s="46" t="s">
        <v>149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149</v>
      </c>
      <c r="P1855" s="46">
        <f>HEX2DEC(RIGHT(Table13232127[[#This Row],[h1]],8))</f>
        <v>0</v>
      </c>
      <c r="Q1855" s="46" t="s">
        <v>149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149</v>
      </c>
      <c r="P1856" s="46">
        <f>HEX2DEC(RIGHT(Table13232127[[#This Row],[h1]],8))</f>
        <v>0</v>
      </c>
      <c r="Q1856" s="46" t="s">
        <v>149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149</v>
      </c>
      <c r="P1857" s="46">
        <f>HEX2DEC(RIGHT(Table13232127[[#This Row],[h1]],8))</f>
        <v>0</v>
      </c>
      <c r="Q1857" s="46" t="s">
        <v>149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149</v>
      </c>
      <c r="P1858" s="46">
        <f>HEX2DEC(RIGHT(Table13232127[[#This Row],[h1]],8))</f>
        <v>0</v>
      </c>
      <c r="Q1858" s="46" t="s">
        <v>149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149</v>
      </c>
      <c r="P1859" s="46">
        <f>HEX2DEC(RIGHT(Table13232127[[#This Row],[h1]],8))</f>
        <v>0</v>
      </c>
      <c r="Q1859" s="46" t="s">
        <v>149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149</v>
      </c>
      <c r="P1860" s="46">
        <f>HEX2DEC(RIGHT(Table13232127[[#This Row],[h1]],8))</f>
        <v>0</v>
      </c>
      <c r="Q1860" s="46" t="s">
        <v>149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149</v>
      </c>
      <c r="P1861" s="46">
        <f>HEX2DEC(RIGHT(Table13232127[[#This Row],[h1]],8))</f>
        <v>0</v>
      </c>
      <c r="Q1861" s="46" t="s">
        <v>149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149</v>
      </c>
      <c r="P1862" s="46">
        <f>HEX2DEC(RIGHT(Table13232127[[#This Row],[h1]],8))</f>
        <v>0</v>
      </c>
      <c r="Q1862" s="46" t="s">
        <v>149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149</v>
      </c>
      <c r="P1863" s="46">
        <f>HEX2DEC(RIGHT(Table13232127[[#This Row],[h1]],8))</f>
        <v>0</v>
      </c>
      <c r="Q1863" s="46" t="s">
        <v>149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149</v>
      </c>
      <c r="P1864" s="46">
        <f>HEX2DEC(RIGHT(Table13232127[[#This Row],[h1]],8))</f>
        <v>0</v>
      </c>
      <c r="Q1864" s="46" t="s">
        <v>149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149</v>
      </c>
      <c r="P1865" s="46">
        <f>HEX2DEC(RIGHT(Table13232127[[#This Row],[h1]],8))</f>
        <v>0</v>
      </c>
      <c r="Q1865" s="46" t="s">
        <v>149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149</v>
      </c>
      <c r="P1866" s="46">
        <f>HEX2DEC(RIGHT(Table13232127[[#This Row],[h1]],8))</f>
        <v>0</v>
      </c>
      <c r="Q1866" s="46" t="s">
        <v>149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149</v>
      </c>
      <c r="P1867" s="46">
        <f>HEX2DEC(RIGHT(Table13232127[[#This Row],[h1]],8))</f>
        <v>0</v>
      </c>
      <c r="Q1867" s="46" t="s">
        <v>149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149</v>
      </c>
      <c r="P1868" s="46">
        <f>HEX2DEC(RIGHT(Table13232127[[#This Row],[h1]],8))</f>
        <v>0</v>
      </c>
      <c r="Q1868" s="46" t="s">
        <v>149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149</v>
      </c>
      <c r="P1869" s="46">
        <f>HEX2DEC(RIGHT(Table13232127[[#This Row],[h1]],8))</f>
        <v>0</v>
      </c>
      <c r="Q1869" s="46" t="s">
        <v>149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149</v>
      </c>
      <c r="P1870" s="46">
        <f>HEX2DEC(RIGHT(Table13232127[[#This Row],[h1]],8))</f>
        <v>0</v>
      </c>
      <c r="Q1870" s="46" t="s">
        <v>149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149</v>
      </c>
      <c r="P1871" s="46">
        <f>HEX2DEC(RIGHT(Table13232127[[#This Row],[h1]],8))</f>
        <v>0</v>
      </c>
      <c r="Q1871" s="46" t="s">
        <v>149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149</v>
      </c>
      <c r="P1872" s="46">
        <f>HEX2DEC(RIGHT(Table13232127[[#This Row],[h1]],8))</f>
        <v>0</v>
      </c>
      <c r="Q1872" s="46" t="s">
        <v>149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149</v>
      </c>
      <c r="P1873" s="46">
        <f>HEX2DEC(RIGHT(Table13232127[[#This Row],[h1]],8))</f>
        <v>0</v>
      </c>
      <c r="Q1873" s="46" t="s">
        <v>149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149</v>
      </c>
      <c r="P1874" s="46">
        <f>HEX2DEC(RIGHT(Table13232127[[#This Row],[h1]],8))</f>
        <v>0</v>
      </c>
      <c r="Q1874" s="46" t="s">
        <v>149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149</v>
      </c>
      <c r="P1875" s="46">
        <f>HEX2DEC(RIGHT(Table13232127[[#This Row],[h1]],8))</f>
        <v>0</v>
      </c>
      <c r="Q1875" s="46" t="s">
        <v>149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149</v>
      </c>
      <c r="P1876" s="46">
        <f>HEX2DEC(RIGHT(Table13232127[[#This Row],[h1]],8))</f>
        <v>0</v>
      </c>
      <c r="Q1876" s="46" t="s">
        <v>149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149</v>
      </c>
      <c r="P1877" s="46">
        <f>HEX2DEC(RIGHT(Table13232127[[#This Row],[h1]],8))</f>
        <v>0</v>
      </c>
      <c r="Q1877" s="46" t="s">
        <v>149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149</v>
      </c>
      <c r="P1878" s="46">
        <f>HEX2DEC(RIGHT(Table13232127[[#This Row],[h1]],8))</f>
        <v>0</v>
      </c>
      <c r="Q1878" s="46" t="s">
        <v>149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149</v>
      </c>
      <c r="P1879" s="46">
        <f>HEX2DEC(RIGHT(Table13232127[[#This Row],[h1]],8))</f>
        <v>0</v>
      </c>
      <c r="Q1879" s="46" t="s">
        <v>149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149</v>
      </c>
      <c r="P1880" s="46">
        <f>HEX2DEC(RIGHT(Table13232127[[#This Row],[h1]],8))</f>
        <v>0</v>
      </c>
      <c r="Q1880" s="46" t="s">
        <v>149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149</v>
      </c>
      <c r="P1881" s="46">
        <f>HEX2DEC(RIGHT(Table13232127[[#This Row],[h1]],8))</f>
        <v>0</v>
      </c>
      <c r="Q1881" s="46" t="s">
        <v>149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149</v>
      </c>
      <c r="P1882" s="46">
        <f>HEX2DEC(RIGHT(Table13232127[[#This Row],[h1]],8))</f>
        <v>0</v>
      </c>
      <c r="Q1882" s="46" t="s">
        <v>149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149</v>
      </c>
      <c r="P1883" s="46">
        <f>HEX2DEC(RIGHT(Table13232127[[#This Row],[h1]],8))</f>
        <v>0</v>
      </c>
      <c r="Q1883" s="46" t="s">
        <v>149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149</v>
      </c>
      <c r="P1884" s="46">
        <f>HEX2DEC(RIGHT(Table13232127[[#This Row],[h1]],8))</f>
        <v>0</v>
      </c>
      <c r="Q1884" s="46" t="s">
        <v>149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149</v>
      </c>
      <c r="P1885" s="46">
        <f>HEX2DEC(RIGHT(Table13232127[[#This Row],[h1]],8))</f>
        <v>0</v>
      </c>
      <c r="Q1885" s="46" t="s">
        <v>149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149</v>
      </c>
      <c r="P1886" s="46">
        <f>HEX2DEC(RIGHT(Table13232127[[#This Row],[h1]],8))</f>
        <v>0</v>
      </c>
      <c r="Q1886" s="46" t="s">
        <v>149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149</v>
      </c>
      <c r="P1887" s="46">
        <f>HEX2DEC(RIGHT(Table13232127[[#This Row],[h1]],8))</f>
        <v>0</v>
      </c>
      <c r="Q1887" s="46" t="s">
        <v>149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149</v>
      </c>
      <c r="P1888" s="46">
        <f>HEX2DEC(RIGHT(Table13232127[[#This Row],[h1]],8))</f>
        <v>0</v>
      </c>
      <c r="Q1888" s="46" t="s">
        <v>149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149</v>
      </c>
      <c r="P1889" s="46">
        <f>HEX2DEC(RIGHT(Table13232127[[#This Row],[h1]],8))</f>
        <v>0</v>
      </c>
      <c r="Q1889" s="46" t="s">
        <v>149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149</v>
      </c>
      <c r="P1890" s="46">
        <f>HEX2DEC(RIGHT(Table13232127[[#This Row],[h1]],8))</f>
        <v>0</v>
      </c>
      <c r="Q1890" s="46" t="s">
        <v>149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149</v>
      </c>
      <c r="P1891" s="46">
        <f>HEX2DEC(RIGHT(Table13232127[[#This Row],[h1]],8))</f>
        <v>0</v>
      </c>
      <c r="Q1891" s="46" t="s">
        <v>149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149</v>
      </c>
      <c r="P1892" s="46">
        <f>HEX2DEC(RIGHT(Table13232127[[#This Row],[h1]],8))</f>
        <v>0</v>
      </c>
      <c r="Q1892" s="46" t="s">
        <v>149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149</v>
      </c>
      <c r="P1893" s="46">
        <f>HEX2DEC(RIGHT(Table13232127[[#This Row],[h1]],8))</f>
        <v>0</v>
      </c>
      <c r="Q1893" s="46" t="s">
        <v>149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149</v>
      </c>
      <c r="P1894" s="46">
        <f>HEX2DEC(RIGHT(Table13232127[[#This Row],[h1]],8))</f>
        <v>0</v>
      </c>
      <c r="Q1894" s="46" t="s">
        <v>149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149</v>
      </c>
      <c r="P1895" s="46">
        <f>HEX2DEC(RIGHT(Table13232127[[#This Row],[h1]],8))</f>
        <v>0</v>
      </c>
      <c r="Q1895" s="46" t="s">
        <v>149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149</v>
      </c>
      <c r="P1896" s="46">
        <f>HEX2DEC(RIGHT(Table13232127[[#This Row],[h1]],8))</f>
        <v>0</v>
      </c>
      <c r="Q1896" s="46" t="s">
        <v>149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149</v>
      </c>
      <c r="P1897" s="46">
        <f>HEX2DEC(RIGHT(Table13232127[[#This Row],[h1]],8))</f>
        <v>0</v>
      </c>
      <c r="Q1897" s="46" t="s">
        <v>149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149</v>
      </c>
      <c r="P1898" s="46">
        <f>HEX2DEC(RIGHT(Table13232127[[#This Row],[h1]],8))</f>
        <v>0</v>
      </c>
      <c r="Q1898" s="46" t="s">
        <v>149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149</v>
      </c>
      <c r="P1899" s="46">
        <f>HEX2DEC(RIGHT(Table13232127[[#This Row],[h1]],8))</f>
        <v>0</v>
      </c>
      <c r="Q1899" s="46" t="s">
        <v>149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149</v>
      </c>
      <c r="P1900" s="46">
        <f>HEX2DEC(RIGHT(Table13232127[[#This Row],[h1]],8))</f>
        <v>0</v>
      </c>
      <c r="Q1900" s="46" t="s">
        <v>149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149</v>
      </c>
      <c r="P1901" s="46">
        <f>HEX2DEC(RIGHT(Table13232127[[#This Row],[h1]],8))</f>
        <v>0</v>
      </c>
      <c r="Q1901" s="46" t="s">
        <v>149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149</v>
      </c>
      <c r="P1902" s="46">
        <f>HEX2DEC(RIGHT(Table13232127[[#This Row],[h1]],8))</f>
        <v>0</v>
      </c>
      <c r="Q1902" s="46" t="s">
        <v>149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149</v>
      </c>
      <c r="P1903" s="46">
        <f>HEX2DEC(RIGHT(Table13232127[[#This Row],[h1]],8))</f>
        <v>0</v>
      </c>
      <c r="Q1903" s="46" t="s">
        <v>149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149</v>
      </c>
      <c r="P1904" s="46">
        <f>HEX2DEC(RIGHT(Table13232127[[#This Row],[h1]],8))</f>
        <v>0</v>
      </c>
      <c r="Q1904" s="46" t="s">
        <v>149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149</v>
      </c>
      <c r="P1905" s="46">
        <f>HEX2DEC(RIGHT(Table13232127[[#This Row],[h1]],8))</f>
        <v>0</v>
      </c>
      <c r="Q1905" s="46" t="s">
        <v>149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149</v>
      </c>
      <c r="P1906" s="46">
        <f>HEX2DEC(RIGHT(Table13232127[[#This Row],[h1]],8))</f>
        <v>0</v>
      </c>
      <c r="Q1906" s="46" t="s">
        <v>149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149</v>
      </c>
      <c r="P1907" s="46">
        <f>HEX2DEC(RIGHT(Table13232127[[#This Row],[h1]],8))</f>
        <v>0</v>
      </c>
      <c r="Q1907" s="46" t="s">
        <v>149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149</v>
      </c>
      <c r="P1908" s="46">
        <f>HEX2DEC(RIGHT(Table13232127[[#This Row],[h1]],8))</f>
        <v>0</v>
      </c>
      <c r="Q1908" s="46" t="s">
        <v>149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149</v>
      </c>
      <c r="P1909" s="46">
        <f>HEX2DEC(RIGHT(Table13232127[[#This Row],[h1]],8))</f>
        <v>0</v>
      </c>
      <c r="Q1909" s="46" t="s">
        <v>149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149</v>
      </c>
      <c r="P1910" s="46">
        <f>HEX2DEC(RIGHT(Table13232127[[#This Row],[h1]],8))</f>
        <v>0</v>
      </c>
      <c r="Q1910" s="46" t="s">
        <v>149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149</v>
      </c>
      <c r="P1911" s="46">
        <f>HEX2DEC(RIGHT(Table13232127[[#This Row],[h1]],8))</f>
        <v>0</v>
      </c>
      <c r="Q1911" s="46" t="s">
        <v>149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149</v>
      </c>
      <c r="P1912" s="46">
        <f>HEX2DEC(RIGHT(Table13232127[[#This Row],[h1]],8))</f>
        <v>0</v>
      </c>
      <c r="Q1912" s="46" t="s">
        <v>149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149</v>
      </c>
      <c r="P1913" s="46">
        <f>HEX2DEC(RIGHT(Table13232127[[#This Row],[h1]],8))</f>
        <v>0</v>
      </c>
      <c r="Q1913" s="46" t="s">
        <v>149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149</v>
      </c>
      <c r="P1914" s="46">
        <f>HEX2DEC(RIGHT(Table13232127[[#This Row],[h1]],8))</f>
        <v>0</v>
      </c>
      <c r="Q1914" s="46" t="s">
        <v>149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149</v>
      </c>
      <c r="P1915" s="46">
        <f>HEX2DEC(RIGHT(Table13232127[[#This Row],[h1]],8))</f>
        <v>0</v>
      </c>
      <c r="Q1915" s="46" t="s">
        <v>149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149</v>
      </c>
      <c r="P1916" s="46">
        <f>HEX2DEC(RIGHT(Table13232127[[#This Row],[h1]],8))</f>
        <v>0</v>
      </c>
      <c r="Q1916" s="46" t="s">
        <v>149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149</v>
      </c>
      <c r="P1917" s="46">
        <f>HEX2DEC(RIGHT(Table13232127[[#This Row],[h1]],8))</f>
        <v>0</v>
      </c>
      <c r="Q1917" s="46" t="s">
        <v>149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149</v>
      </c>
      <c r="P1918" s="46">
        <f>HEX2DEC(RIGHT(Table13232127[[#This Row],[h1]],8))</f>
        <v>0</v>
      </c>
      <c r="Q1918" s="46" t="s">
        <v>149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149</v>
      </c>
      <c r="P1919" s="46">
        <f>HEX2DEC(RIGHT(Table13232127[[#This Row],[h1]],8))</f>
        <v>0</v>
      </c>
      <c r="Q1919" s="46" t="s">
        <v>149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149</v>
      </c>
      <c r="P1920" s="46">
        <f>HEX2DEC(RIGHT(Table13232127[[#This Row],[h1]],8))</f>
        <v>0</v>
      </c>
      <c r="Q1920" s="46" t="s">
        <v>149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149</v>
      </c>
      <c r="P1921" s="46">
        <f>HEX2DEC(RIGHT(Table13232127[[#This Row],[h1]],8))</f>
        <v>0</v>
      </c>
      <c r="Q1921" s="46" t="s">
        <v>149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149</v>
      </c>
      <c r="P1922" s="46">
        <f>HEX2DEC(RIGHT(Table13232127[[#This Row],[h1]],8))</f>
        <v>0</v>
      </c>
      <c r="Q1922" s="46" t="s">
        <v>149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149</v>
      </c>
      <c r="P1923" s="46">
        <f>HEX2DEC(RIGHT(Table13232127[[#This Row],[h1]],8))</f>
        <v>0</v>
      </c>
      <c r="Q1923" s="46" t="s">
        <v>149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149</v>
      </c>
      <c r="P1924" s="46">
        <f>HEX2DEC(RIGHT(Table13232127[[#This Row],[h1]],8))</f>
        <v>0</v>
      </c>
      <c r="Q1924" s="46" t="s">
        <v>149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149</v>
      </c>
      <c r="P1925" s="46">
        <f>HEX2DEC(RIGHT(Table13232127[[#This Row],[h1]],8))</f>
        <v>0</v>
      </c>
      <c r="Q1925" s="46" t="s">
        <v>149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149</v>
      </c>
      <c r="P1926" s="46">
        <f>HEX2DEC(RIGHT(Table13232127[[#This Row],[h1]],8))</f>
        <v>0</v>
      </c>
      <c r="Q1926" s="46" t="s">
        <v>149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149</v>
      </c>
      <c r="P1927" s="46">
        <f>HEX2DEC(RIGHT(Table13232127[[#This Row],[h1]],8))</f>
        <v>0</v>
      </c>
      <c r="Q1927" s="46" t="s">
        <v>149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149</v>
      </c>
      <c r="P1928" s="46">
        <f>HEX2DEC(RIGHT(Table13232127[[#This Row],[h1]],8))</f>
        <v>0</v>
      </c>
      <c r="Q1928" s="46" t="s">
        <v>149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149</v>
      </c>
      <c r="P1929" s="46">
        <f>HEX2DEC(RIGHT(Table13232127[[#This Row],[h1]],8))</f>
        <v>0</v>
      </c>
      <c r="Q1929" s="46" t="s">
        <v>149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149</v>
      </c>
      <c r="P1930" s="46">
        <f>HEX2DEC(RIGHT(Table13232127[[#This Row],[h1]],8))</f>
        <v>0</v>
      </c>
      <c r="Q1930" s="46" t="s">
        <v>149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149</v>
      </c>
      <c r="P1931" s="46">
        <f>HEX2DEC(RIGHT(Table13232127[[#This Row],[h1]],8))</f>
        <v>0</v>
      </c>
      <c r="Q1931" s="46" t="s">
        <v>149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149</v>
      </c>
      <c r="P1932" s="46">
        <f>HEX2DEC(RIGHT(Table13232127[[#This Row],[h1]],8))</f>
        <v>0</v>
      </c>
      <c r="Q1932" s="46" t="s">
        <v>149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149</v>
      </c>
      <c r="P1933" s="46">
        <f>HEX2DEC(RIGHT(Table13232127[[#This Row],[h1]],8))</f>
        <v>0</v>
      </c>
      <c r="Q1933" s="46" t="s">
        <v>149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149</v>
      </c>
      <c r="P1934" s="46">
        <f>HEX2DEC(RIGHT(Table13232127[[#This Row],[h1]],8))</f>
        <v>0</v>
      </c>
      <c r="Q1934" s="46" t="s">
        <v>149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149</v>
      </c>
      <c r="P1935" s="46">
        <f>HEX2DEC(RIGHT(Table13232127[[#This Row],[h1]],8))</f>
        <v>0</v>
      </c>
      <c r="Q1935" s="46" t="s">
        <v>149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149</v>
      </c>
      <c r="P1936" s="46">
        <f>HEX2DEC(RIGHT(Table13232127[[#This Row],[h1]],8))</f>
        <v>0</v>
      </c>
      <c r="Q1936" s="46" t="s">
        <v>149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149</v>
      </c>
      <c r="P1937" s="46">
        <f>HEX2DEC(RIGHT(Table13232127[[#This Row],[h1]],8))</f>
        <v>0</v>
      </c>
      <c r="Q1937" s="46" t="s">
        <v>149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149</v>
      </c>
      <c r="P1938" s="46">
        <f>HEX2DEC(RIGHT(Table13232127[[#This Row],[h1]],8))</f>
        <v>0</v>
      </c>
      <c r="Q1938" s="46" t="s">
        <v>149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149</v>
      </c>
      <c r="P1939" s="46">
        <f>HEX2DEC(RIGHT(Table13232127[[#This Row],[h1]],8))</f>
        <v>0</v>
      </c>
      <c r="Q1939" s="46" t="s">
        <v>149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149</v>
      </c>
      <c r="P1940" s="46">
        <f>HEX2DEC(RIGHT(Table13232127[[#This Row],[h1]],8))</f>
        <v>0</v>
      </c>
      <c r="Q1940" s="46" t="s">
        <v>149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149</v>
      </c>
      <c r="P1941" s="46">
        <f>HEX2DEC(RIGHT(Table13232127[[#This Row],[h1]],8))</f>
        <v>0</v>
      </c>
      <c r="Q1941" s="46" t="s">
        <v>149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149</v>
      </c>
      <c r="P1942" s="46">
        <f>HEX2DEC(RIGHT(Table13232127[[#This Row],[h1]],8))</f>
        <v>0</v>
      </c>
      <c r="Q1942" s="46" t="s">
        <v>149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149</v>
      </c>
      <c r="P1943" s="46">
        <f>HEX2DEC(RIGHT(Table13232127[[#This Row],[h1]],8))</f>
        <v>0</v>
      </c>
      <c r="Q1943" s="46" t="s">
        <v>149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149</v>
      </c>
      <c r="P1944" s="46">
        <f>HEX2DEC(RIGHT(Table13232127[[#This Row],[h1]],8))</f>
        <v>0</v>
      </c>
      <c r="Q1944" s="46" t="s">
        <v>149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149</v>
      </c>
      <c r="P1945" s="46">
        <f>HEX2DEC(RIGHT(Table13232127[[#This Row],[h1]],8))</f>
        <v>0</v>
      </c>
      <c r="Q1945" s="46" t="s">
        <v>149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149</v>
      </c>
      <c r="P1946" s="46">
        <f>HEX2DEC(RIGHT(Table13232127[[#This Row],[h1]],8))</f>
        <v>0</v>
      </c>
      <c r="Q1946" s="46" t="s">
        <v>149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149</v>
      </c>
      <c r="P1947" s="46">
        <f>HEX2DEC(RIGHT(Table13232127[[#This Row],[h1]],8))</f>
        <v>0</v>
      </c>
      <c r="Q1947" s="46" t="s">
        <v>149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149</v>
      </c>
      <c r="P1948" s="46">
        <f>HEX2DEC(RIGHT(Table13232127[[#This Row],[h1]],8))</f>
        <v>0</v>
      </c>
      <c r="Q1948" s="46" t="s">
        <v>149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149</v>
      </c>
      <c r="P1949" s="46">
        <f>HEX2DEC(RIGHT(Table13232127[[#This Row],[h1]],8))</f>
        <v>0</v>
      </c>
      <c r="Q1949" s="46" t="s">
        <v>149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149</v>
      </c>
      <c r="P1950" s="46">
        <f>HEX2DEC(RIGHT(Table13232127[[#This Row],[h1]],8))</f>
        <v>0</v>
      </c>
      <c r="Q1950" s="46" t="s">
        <v>149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149</v>
      </c>
      <c r="P1951" s="46">
        <f>HEX2DEC(RIGHT(Table13232127[[#This Row],[h1]],8))</f>
        <v>0</v>
      </c>
      <c r="Q1951" s="46" t="s">
        <v>149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149</v>
      </c>
      <c r="P1952" s="46">
        <f>HEX2DEC(RIGHT(Table13232127[[#This Row],[h1]],8))</f>
        <v>0</v>
      </c>
      <c r="Q1952" s="46" t="s">
        <v>149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149</v>
      </c>
      <c r="P1953" s="46">
        <f>HEX2DEC(RIGHT(Table13232127[[#This Row],[h1]],8))</f>
        <v>0</v>
      </c>
      <c r="Q1953" s="46" t="s">
        <v>149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149</v>
      </c>
      <c r="P1954" s="46">
        <f>HEX2DEC(RIGHT(Table13232127[[#This Row],[h1]],8))</f>
        <v>0</v>
      </c>
      <c r="Q1954" s="46" t="s">
        <v>149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149</v>
      </c>
      <c r="P1955" s="46">
        <f>HEX2DEC(RIGHT(Table13232127[[#This Row],[h1]],8))</f>
        <v>0</v>
      </c>
      <c r="Q1955" s="46" t="s">
        <v>149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149</v>
      </c>
      <c r="P1956" s="46">
        <f>HEX2DEC(RIGHT(Table13232127[[#This Row],[h1]],8))</f>
        <v>0</v>
      </c>
      <c r="Q1956" s="46" t="s">
        <v>149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149</v>
      </c>
      <c r="P1957" s="46">
        <f>HEX2DEC(RIGHT(Table13232127[[#This Row],[h1]],8))</f>
        <v>0</v>
      </c>
      <c r="Q1957" s="46" t="s">
        <v>149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149</v>
      </c>
      <c r="P1958" s="46">
        <f>HEX2DEC(RIGHT(Table13232127[[#This Row],[h1]],8))</f>
        <v>0</v>
      </c>
      <c r="Q1958" s="46" t="s">
        <v>149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149</v>
      </c>
      <c r="P1959" s="46">
        <f>HEX2DEC(RIGHT(Table13232127[[#This Row],[h1]],8))</f>
        <v>0</v>
      </c>
      <c r="Q1959" s="46" t="s">
        <v>149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149</v>
      </c>
      <c r="P1960" s="46">
        <f>HEX2DEC(RIGHT(Table13232127[[#This Row],[h1]],8))</f>
        <v>0</v>
      </c>
      <c r="Q1960" s="46" t="s">
        <v>149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149</v>
      </c>
      <c r="P1961" s="46">
        <f>HEX2DEC(RIGHT(Table13232127[[#This Row],[h1]],8))</f>
        <v>0</v>
      </c>
      <c r="Q1961" s="46" t="s">
        <v>149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149</v>
      </c>
      <c r="P1962" s="46">
        <f>HEX2DEC(RIGHT(Table13232127[[#This Row],[h1]],8))</f>
        <v>0</v>
      </c>
      <c r="Q1962" s="46" t="s">
        <v>149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149</v>
      </c>
      <c r="P1963" s="46">
        <f>HEX2DEC(RIGHT(Table13232127[[#This Row],[h1]],8))</f>
        <v>0</v>
      </c>
      <c r="Q1963" s="46" t="s">
        <v>149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149</v>
      </c>
      <c r="P1964" s="46">
        <f>HEX2DEC(RIGHT(Table13232127[[#This Row],[h1]],8))</f>
        <v>0</v>
      </c>
      <c r="Q1964" s="46" t="s">
        <v>149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149</v>
      </c>
      <c r="P1965" s="46">
        <f>HEX2DEC(RIGHT(Table13232127[[#This Row],[h1]],8))</f>
        <v>0</v>
      </c>
      <c r="Q1965" s="46" t="s">
        <v>149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149</v>
      </c>
      <c r="P1966" s="46">
        <f>HEX2DEC(RIGHT(Table13232127[[#This Row],[h1]],8))</f>
        <v>0</v>
      </c>
      <c r="Q1966" s="46" t="s">
        <v>149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149</v>
      </c>
      <c r="P1967" s="46">
        <f>HEX2DEC(RIGHT(Table13232127[[#This Row],[h1]],8))</f>
        <v>0</v>
      </c>
      <c r="Q1967" s="46" t="s">
        <v>149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149</v>
      </c>
      <c r="P1968" s="46">
        <f>HEX2DEC(RIGHT(Table13232127[[#This Row],[h1]],8))</f>
        <v>0</v>
      </c>
      <c r="Q1968" s="46" t="s">
        <v>149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149</v>
      </c>
      <c r="P1969" s="46">
        <f>HEX2DEC(RIGHT(Table13232127[[#This Row],[h1]],8))</f>
        <v>0</v>
      </c>
      <c r="Q1969" s="46" t="s">
        <v>149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149</v>
      </c>
      <c r="P1970" s="46">
        <f>HEX2DEC(RIGHT(Table13232127[[#This Row],[h1]],8))</f>
        <v>0</v>
      </c>
      <c r="Q1970" s="46" t="s">
        <v>149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149</v>
      </c>
      <c r="P1971" s="46">
        <f>HEX2DEC(RIGHT(Table13232127[[#This Row],[h1]],8))</f>
        <v>0</v>
      </c>
      <c r="Q1971" s="46" t="s">
        <v>149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149</v>
      </c>
      <c r="P1972" s="46">
        <f>HEX2DEC(RIGHT(Table13232127[[#This Row],[h1]],8))</f>
        <v>0</v>
      </c>
      <c r="Q1972" s="46" t="s">
        <v>149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149</v>
      </c>
      <c r="P1973" s="46">
        <f>HEX2DEC(RIGHT(Table13232127[[#This Row],[h1]],8))</f>
        <v>0</v>
      </c>
      <c r="Q1973" s="46" t="s">
        <v>149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149</v>
      </c>
      <c r="P1974" s="46">
        <f>HEX2DEC(RIGHT(Table13232127[[#This Row],[h1]],8))</f>
        <v>0</v>
      </c>
      <c r="Q1974" s="46" t="s">
        <v>149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149</v>
      </c>
      <c r="P1975" s="46">
        <f>HEX2DEC(RIGHT(Table13232127[[#This Row],[h1]],8))</f>
        <v>0</v>
      </c>
      <c r="Q1975" s="46" t="s">
        <v>149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149</v>
      </c>
      <c r="P1976" s="46">
        <f>HEX2DEC(RIGHT(Table13232127[[#This Row],[h1]],8))</f>
        <v>0</v>
      </c>
      <c r="Q1976" s="46" t="s">
        <v>149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149</v>
      </c>
      <c r="P1977" s="46">
        <f>HEX2DEC(RIGHT(Table13232127[[#This Row],[h1]],8))</f>
        <v>0</v>
      </c>
      <c r="Q1977" s="46" t="s">
        <v>149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149</v>
      </c>
      <c r="P1978" s="46">
        <f>HEX2DEC(RIGHT(Table13232127[[#This Row],[h1]],8))</f>
        <v>0</v>
      </c>
      <c r="Q1978" s="46" t="s">
        <v>149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149</v>
      </c>
      <c r="P1979" s="46">
        <f>HEX2DEC(RIGHT(Table13232127[[#This Row],[h1]],8))</f>
        <v>0</v>
      </c>
      <c r="Q1979" s="46" t="s">
        <v>149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149</v>
      </c>
      <c r="P1980" s="46">
        <f>HEX2DEC(RIGHT(Table13232127[[#This Row],[h1]],8))</f>
        <v>0</v>
      </c>
      <c r="Q1980" s="46" t="s">
        <v>149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149</v>
      </c>
      <c r="P1981" s="46">
        <f>HEX2DEC(RIGHT(Table13232127[[#This Row],[h1]],8))</f>
        <v>0</v>
      </c>
      <c r="Q1981" s="46" t="s">
        <v>149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149</v>
      </c>
      <c r="P1982" s="46">
        <f>HEX2DEC(RIGHT(Table13232127[[#This Row],[h1]],8))</f>
        <v>0</v>
      </c>
      <c r="Q1982" s="46" t="s">
        <v>149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149</v>
      </c>
      <c r="P1983" s="46">
        <f>HEX2DEC(RIGHT(Table13232127[[#This Row],[h1]],8))</f>
        <v>0</v>
      </c>
      <c r="Q1983" s="46" t="s">
        <v>149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149</v>
      </c>
      <c r="P1984" s="46">
        <f>HEX2DEC(RIGHT(Table13232127[[#This Row],[h1]],8))</f>
        <v>0</v>
      </c>
      <c r="Q1984" s="46" t="s">
        <v>149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149</v>
      </c>
      <c r="P1985" s="46">
        <f>HEX2DEC(RIGHT(Table13232127[[#This Row],[h1]],8))</f>
        <v>0</v>
      </c>
      <c r="Q1985" s="46" t="s">
        <v>149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149</v>
      </c>
      <c r="P1986" s="46">
        <f>HEX2DEC(RIGHT(Table13232127[[#This Row],[h1]],8))</f>
        <v>0</v>
      </c>
      <c r="Q1986" s="46" t="s">
        <v>149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149</v>
      </c>
      <c r="P1987" s="46">
        <f>HEX2DEC(RIGHT(Table13232127[[#This Row],[h1]],8))</f>
        <v>0</v>
      </c>
      <c r="Q1987" s="46" t="s">
        <v>149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149</v>
      </c>
      <c r="P1988" s="46">
        <f>HEX2DEC(RIGHT(Table13232127[[#This Row],[h1]],8))</f>
        <v>0</v>
      </c>
      <c r="Q1988" s="46" t="s">
        <v>149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149</v>
      </c>
      <c r="P1989" s="46">
        <f>HEX2DEC(RIGHT(Table13232127[[#This Row],[h1]],8))</f>
        <v>0</v>
      </c>
      <c r="Q1989" s="46" t="s">
        <v>149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149</v>
      </c>
      <c r="P1990" s="46">
        <f>HEX2DEC(RIGHT(Table13232127[[#This Row],[h1]],8))</f>
        <v>0</v>
      </c>
      <c r="Q1990" s="46" t="s">
        <v>149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149</v>
      </c>
      <c r="P1991" s="46">
        <f>HEX2DEC(RIGHT(Table13232127[[#This Row],[h1]],8))</f>
        <v>0</v>
      </c>
      <c r="Q1991" s="46" t="s">
        <v>149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149</v>
      </c>
      <c r="P1992" s="46">
        <f>HEX2DEC(RIGHT(Table13232127[[#This Row],[h1]],8))</f>
        <v>0</v>
      </c>
      <c r="Q1992" s="46" t="s">
        <v>149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149</v>
      </c>
      <c r="P1993" s="46">
        <f>HEX2DEC(RIGHT(Table13232127[[#This Row],[h1]],8))</f>
        <v>0</v>
      </c>
      <c r="Q1993" s="46" t="s">
        <v>149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149</v>
      </c>
      <c r="P1994" s="46">
        <f>HEX2DEC(RIGHT(Table13232127[[#This Row],[h1]],8))</f>
        <v>0</v>
      </c>
      <c r="Q1994" s="46" t="s">
        <v>149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149</v>
      </c>
      <c r="P1995" s="46">
        <f>HEX2DEC(RIGHT(Table13232127[[#This Row],[h1]],8))</f>
        <v>0</v>
      </c>
      <c r="Q1995" s="46" t="s">
        <v>149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149</v>
      </c>
      <c r="P1996" s="46">
        <f>HEX2DEC(RIGHT(Table13232127[[#This Row],[h1]],8))</f>
        <v>0</v>
      </c>
      <c r="Q1996" s="46" t="s">
        <v>149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149</v>
      </c>
      <c r="P1997" s="46">
        <f>HEX2DEC(RIGHT(Table13232127[[#This Row],[h1]],8))</f>
        <v>0</v>
      </c>
      <c r="Q1997" s="46" t="s">
        <v>149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149</v>
      </c>
      <c r="P1998" s="46">
        <f>HEX2DEC(RIGHT(Table13232127[[#This Row],[h1]],8))</f>
        <v>0</v>
      </c>
      <c r="Q1998" s="46" t="s">
        <v>149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149</v>
      </c>
      <c r="P1999" s="46">
        <f>HEX2DEC(RIGHT(Table13232127[[#This Row],[h1]],8))</f>
        <v>0</v>
      </c>
      <c r="Q1999" s="46" t="s">
        <v>149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149</v>
      </c>
      <c r="P2000" s="46">
        <f>HEX2DEC(RIGHT(Table13232127[[#This Row],[h1]],8))</f>
        <v>0</v>
      </c>
      <c r="Q2000" s="46" t="s">
        <v>149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149</v>
      </c>
      <c r="P2001" s="46">
        <f>HEX2DEC(RIGHT(Table13232127[[#This Row],[h1]],8))</f>
        <v>0</v>
      </c>
      <c r="Q2001" s="46" t="s">
        <v>149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149</v>
      </c>
      <c r="P2002" s="46">
        <f>HEX2DEC(RIGHT(Table13232127[[#This Row],[h1]],8))</f>
        <v>0</v>
      </c>
      <c r="Q2002" s="46" t="s">
        <v>149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149</v>
      </c>
      <c r="P2003" s="46">
        <f>HEX2DEC(RIGHT(Table13232127[[#This Row],[h1]],8))</f>
        <v>0</v>
      </c>
      <c r="Q2003" s="46" t="s">
        <v>149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149</v>
      </c>
      <c r="P2004" s="46">
        <f>HEX2DEC(RIGHT(Table13232127[[#This Row],[h1]],8))</f>
        <v>0</v>
      </c>
      <c r="Q2004" s="46" t="s">
        <v>149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149</v>
      </c>
      <c r="P2005" s="46">
        <f>HEX2DEC(RIGHT(Table13232127[[#This Row],[h1]],8))</f>
        <v>0</v>
      </c>
      <c r="Q2005" s="46" t="s">
        <v>149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149</v>
      </c>
      <c r="P2006" s="46">
        <f>HEX2DEC(RIGHT(Table13232127[[#This Row],[h1]],8))</f>
        <v>0</v>
      </c>
      <c r="Q2006" s="46" t="s">
        <v>149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149</v>
      </c>
      <c r="P2007" s="46">
        <f>HEX2DEC(RIGHT(Table13232127[[#This Row],[h1]],8))</f>
        <v>0</v>
      </c>
      <c r="Q2007" s="46" t="s">
        <v>149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149</v>
      </c>
      <c r="P2008" s="46">
        <f>HEX2DEC(RIGHT(Table13232127[[#This Row],[h1]],8))</f>
        <v>0</v>
      </c>
      <c r="Q2008" s="46" t="s">
        <v>149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149</v>
      </c>
      <c r="P2009" s="46">
        <f>HEX2DEC(RIGHT(Table13232127[[#This Row],[h1]],8))</f>
        <v>0</v>
      </c>
      <c r="Q2009" s="46" t="s">
        <v>149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149</v>
      </c>
      <c r="P2010" s="46">
        <f>HEX2DEC(RIGHT(Table13232127[[#This Row],[h1]],8))</f>
        <v>0</v>
      </c>
      <c r="Q2010" s="46" t="s">
        <v>149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149</v>
      </c>
      <c r="P2011" s="46">
        <f>HEX2DEC(RIGHT(Table13232127[[#This Row],[h1]],8))</f>
        <v>0</v>
      </c>
      <c r="Q2011" s="46" t="s">
        <v>149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149</v>
      </c>
      <c r="P2012" s="46">
        <f>HEX2DEC(RIGHT(Table13232127[[#This Row],[h1]],8))</f>
        <v>0</v>
      </c>
      <c r="Q2012" s="46" t="s">
        <v>149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149</v>
      </c>
      <c r="P2013" s="46">
        <f>HEX2DEC(RIGHT(Table13232127[[#This Row],[h1]],8))</f>
        <v>0</v>
      </c>
      <c r="Q2013" s="46" t="s">
        <v>149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149</v>
      </c>
      <c r="P2014" s="46">
        <f>HEX2DEC(RIGHT(Table13232127[[#This Row],[h1]],8))</f>
        <v>0</v>
      </c>
      <c r="Q2014" s="46" t="s">
        <v>149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149</v>
      </c>
      <c r="P2015" s="46">
        <f>HEX2DEC(RIGHT(Table13232127[[#This Row],[h1]],8))</f>
        <v>0</v>
      </c>
      <c r="Q2015" s="46" t="s">
        <v>149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149</v>
      </c>
      <c r="P2016" s="46">
        <f>HEX2DEC(RIGHT(Table13232127[[#This Row],[h1]],8))</f>
        <v>0</v>
      </c>
      <c r="Q2016" s="46" t="s">
        <v>149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149</v>
      </c>
      <c r="P2017" s="46">
        <f>HEX2DEC(RIGHT(Table13232127[[#This Row],[h1]],8))</f>
        <v>0</v>
      </c>
      <c r="Q2017" s="46" t="s">
        <v>149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149</v>
      </c>
      <c r="P2018" s="46">
        <f>HEX2DEC(RIGHT(Table13232127[[#This Row],[h1]],8))</f>
        <v>0</v>
      </c>
      <c r="Q2018" s="46" t="s">
        <v>149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149</v>
      </c>
      <c r="P2019" s="46">
        <f>HEX2DEC(RIGHT(Table13232127[[#This Row],[h1]],8))</f>
        <v>0</v>
      </c>
      <c r="Q2019" s="46" t="s">
        <v>149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149</v>
      </c>
      <c r="P2020" s="46">
        <f>HEX2DEC(RIGHT(Table13232127[[#This Row],[h1]],8))</f>
        <v>0</v>
      </c>
      <c r="Q2020" s="46" t="s">
        <v>149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149</v>
      </c>
      <c r="P2021" s="46">
        <f>HEX2DEC(RIGHT(Table13232127[[#This Row],[h1]],8))</f>
        <v>0</v>
      </c>
      <c r="Q2021" s="46" t="s">
        <v>149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149</v>
      </c>
      <c r="P2022" s="46">
        <f>HEX2DEC(RIGHT(Table13232127[[#This Row],[h1]],8))</f>
        <v>0</v>
      </c>
      <c r="Q2022" s="46" t="s">
        <v>149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149</v>
      </c>
      <c r="P2023" s="46">
        <f>HEX2DEC(RIGHT(Table13232127[[#This Row],[h1]],8))</f>
        <v>0</v>
      </c>
      <c r="Q2023" s="46" t="s">
        <v>149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149</v>
      </c>
      <c r="P2024" s="46">
        <f>HEX2DEC(RIGHT(Table13232127[[#This Row],[h1]],8))</f>
        <v>0</v>
      </c>
      <c r="Q2024" s="46" t="s">
        <v>149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149</v>
      </c>
      <c r="P2025" s="46">
        <f>HEX2DEC(RIGHT(Table13232127[[#This Row],[h1]],8))</f>
        <v>0</v>
      </c>
      <c r="Q2025" s="46" t="s">
        <v>149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149</v>
      </c>
      <c r="P2026" s="46">
        <f>HEX2DEC(RIGHT(Table13232127[[#This Row],[h1]],8))</f>
        <v>0</v>
      </c>
      <c r="Q2026" s="46" t="s">
        <v>149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149</v>
      </c>
      <c r="P2027" s="46">
        <f>HEX2DEC(RIGHT(Table13232127[[#This Row],[h1]],8))</f>
        <v>0</v>
      </c>
      <c r="Q2027" s="46" t="s">
        <v>149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149</v>
      </c>
      <c r="P2028" s="46">
        <f>HEX2DEC(RIGHT(Table13232127[[#This Row],[h1]],8))</f>
        <v>0</v>
      </c>
      <c r="Q2028" s="46" t="s">
        <v>149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149</v>
      </c>
      <c r="P2029" s="46">
        <f>HEX2DEC(RIGHT(Table13232127[[#This Row],[h1]],8))</f>
        <v>0</v>
      </c>
      <c r="Q2029" s="46" t="s">
        <v>149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149</v>
      </c>
      <c r="P2030" s="46">
        <f>HEX2DEC(RIGHT(Table13232127[[#This Row],[h1]],8))</f>
        <v>0</v>
      </c>
      <c r="Q2030" s="46" t="s">
        <v>149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149</v>
      </c>
      <c r="P2031" s="46">
        <f>HEX2DEC(RIGHT(Table13232127[[#This Row],[h1]],8))</f>
        <v>0</v>
      </c>
      <c r="Q2031" s="46" t="s">
        <v>149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149</v>
      </c>
      <c r="P2032" s="46">
        <f>HEX2DEC(RIGHT(Table13232127[[#This Row],[h1]],8))</f>
        <v>0</v>
      </c>
      <c r="Q2032" s="46" t="s">
        <v>149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149</v>
      </c>
      <c r="P2033" s="46">
        <f>HEX2DEC(RIGHT(Table13232127[[#This Row],[h1]],8))</f>
        <v>0</v>
      </c>
      <c r="Q2033" s="46" t="s">
        <v>149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149</v>
      </c>
      <c r="P2034" s="46">
        <f>HEX2DEC(RIGHT(Table13232127[[#This Row],[h1]],8))</f>
        <v>0</v>
      </c>
      <c r="Q2034" s="46" t="s">
        <v>149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149</v>
      </c>
      <c r="P2035" s="46">
        <f>HEX2DEC(RIGHT(Table13232127[[#This Row],[h1]],8))</f>
        <v>0</v>
      </c>
      <c r="Q2035" s="46" t="s">
        <v>149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149</v>
      </c>
      <c r="P2036" s="46">
        <f>HEX2DEC(RIGHT(Table13232127[[#This Row],[h1]],8))</f>
        <v>0</v>
      </c>
      <c r="Q2036" s="46" t="s">
        <v>149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149</v>
      </c>
      <c r="P2037" s="46">
        <f>HEX2DEC(RIGHT(Table13232127[[#This Row],[h1]],8))</f>
        <v>0</v>
      </c>
      <c r="Q2037" s="46" t="s">
        <v>149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149</v>
      </c>
      <c r="P2038" s="46">
        <f>HEX2DEC(RIGHT(Table13232127[[#This Row],[h1]],8))</f>
        <v>0</v>
      </c>
      <c r="Q2038" s="46" t="s">
        <v>149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149</v>
      </c>
      <c r="P2039" s="46">
        <f>HEX2DEC(RIGHT(Table13232127[[#This Row],[h1]],8))</f>
        <v>0</v>
      </c>
      <c r="Q2039" s="46" t="s">
        <v>149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149</v>
      </c>
      <c r="P2040" s="46">
        <f>HEX2DEC(RIGHT(Table13232127[[#This Row],[h1]],8))</f>
        <v>0</v>
      </c>
      <c r="Q2040" s="46" t="s">
        <v>149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149</v>
      </c>
      <c r="P2041" s="46">
        <f>HEX2DEC(RIGHT(Table13232127[[#This Row],[h1]],8))</f>
        <v>0</v>
      </c>
      <c r="Q2041" s="46" t="s">
        <v>149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48</v>
      </c>
      <c r="Q2042" s="46" t="s">
        <v>48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48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140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org!$B$79:$B$94</xm:f>
          </x14:formula1>
          <xm:sqref>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2096"/>
  <sheetViews>
    <sheetView tabSelected="1" zoomScaleNormal="100" workbookViewId="0">
      <pane xSplit="3" ySplit="6" topLeftCell="D364" activePane="bottomRight" state="frozen"/>
      <selection pane="topRight" activeCell="C1" sqref="C1"/>
      <selection pane="bottomLeft" activeCell="A7" sqref="A7"/>
      <selection pane="bottomRight" activeCell="F380" sqref="F38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52</v>
      </c>
      <c r="B2" s="10" t="s">
        <v>55</v>
      </c>
      <c r="D2" s="60" t="s">
        <v>50</v>
      </c>
      <c r="E2" s="60"/>
      <c r="F2" s="60"/>
      <c r="G2" s="60"/>
      <c r="I2" s="60" t="s">
        <v>141</v>
      </c>
      <c r="J2" s="60"/>
      <c r="K2" s="11"/>
      <c r="L2" s="60" t="s">
        <v>142</v>
      </c>
      <c r="M2" s="60"/>
      <c r="O2" s="60" t="s">
        <v>210</v>
      </c>
      <c r="P2" s="60"/>
      <c r="Q2" s="60"/>
      <c r="R2" s="60"/>
      <c r="T2" s="60" t="s">
        <v>51</v>
      </c>
      <c r="U2" s="60"/>
      <c r="V2" s="60"/>
      <c r="W2" s="60"/>
    </row>
    <row r="3" spans="1:23" s="48" customFormat="1" x14ac:dyDescent="0.3">
      <c r="A3" s="12" t="s">
        <v>53</v>
      </c>
      <c r="C3" s="48" t="s">
        <v>44</v>
      </c>
      <c r="D3" s="48" t="s">
        <v>9</v>
      </c>
      <c r="E3" s="48" t="s">
        <v>10</v>
      </c>
      <c r="F3" s="48" t="s">
        <v>11</v>
      </c>
      <c r="G3" s="48" t="s">
        <v>157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150</v>
      </c>
      <c r="P3" s="34" t="s">
        <v>151</v>
      </c>
      <c r="Q3" s="48" t="s">
        <v>152</v>
      </c>
      <c r="R3" s="48" t="s">
        <v>153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54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564</v>
      </c>
      <c r="B5" s="48" t="str">
        <f>A3&amp;"."&amp;A4&amp;"."&amp;A5&amp;A6&amp;"."</f>
        <v>SCL3.TS.EVG001.</v>
      </c>
      <c r="C5" s="41"/>
      <c r="D5" s="13"/>
      <c r="E5" s="13"/>
      <c r="F5" s="13" t="s">
        <v>137</v>
      </c>
      <c r="G5" s="13"/>
      <c r="I5" s="13" t="s">
        <v>49</v>
      </c>
      <c r="J5" s="13" t="s">
        <v>47</v>
      </c>
      <c r="L5" s="13" t="s">
        <v>138</v>
      </c>
      <c r="M5" s="14" t="s">
        <v>139</v>
      </c>
      <c r="O5" s="13" t="s">
        <v>102</v>
      </c>
      <c r="P5" s="13"/>
      <c r="Q5" s="13" t="s">
        <v>103</v>
      </c>
      <c r="R5" s="14"/>
      <c r="T5" s="13"/>
      <c r="U5" s="13"/>
      <c r="V5" s="13"/>
      <c r="W5" s="13"/>
    </row>
    <row r="6" spans="1:23" s="48" customFormat="1" x14ac:dyDescent="0.3">
      <c r="A6" s="12" t="s">
        <v>62</v>
      </c>
      <c r="B6" s="48" t="str">
        <f>A3&amp;":"&amp;A4&amp;":"&amp;A5&amp;A6&amp;":"</f>
        <v>SCL3:TS:EVG001:</v>
      </c>
      <c r="C6" s="41"/>
      <c r="D6" s="13"/>
      <c r="E6" s="13" t="s">
        <v>143</v>
      </c>
      <c r="F6" s="13" t="s">
        <v>105</v>
      </c>
      <c r="G6" s="13"/>
      <c r="I6" s="13"/>
      <c r="J6" s="13" t="s">
        <v>104</v>
      </c>
      <c r="L6" s="13"/>
      <c r="M6" s="13" t="s">
        <v>104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159</v>
      </c>
      <c r="E7" s="16"/>
      <c r="F7" s="16"/>
      <c r="G7" s="17"/>
      <c r="H7" s="48"/>
      <c r="I7" s="28" t="s">
        <v>340</v>
      </c>
      <c r="J7" s="29" t="s">
        <v>341</v>
      </c>
      <c r="K7" s="30"/>
      <c r="L7" s="28" t="s">
        <v>342</v>
      </c>
      <c r="M7" s="29" t="s">
        <v>343</v>
      </c>
      <c r="O7" s="18" t="s">
        <v>211</v>
      </c>
      <c r="P7" s="18"/>
      <c r="Q7" s="18" t="s">
        <v>212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57</v>
      </c>
      <c r="D10" s="38"/>
      <c r="E10" s="38"/>
      <c r="F10" s="38"/>
      <c r="G10" s="38"/>
      <c r="H10" s="48"/>
      <c r="I10" s="24">
        <v>30</v>
      </c>
      <c r="J10" s="24">
        <v>249999</v>
      </c>
      <c r="K10" s="55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213</v>
      </c>
      <c r="G11" s="33">
        <v>500</v>
      </c>
      <c r="H11" s="48"/>
      <c r="I11" s="24">
        <v>31</v>
      </c>
      <c r="J11" s="24">
        <v>249999</v>
      </c>
      <c r="K11" s="55"/>
      <c r="L11" s="24">
        <v>31</v>
      </c>
      <c r="M11" s="24">
        <v>249999</v>
      </c>
      <c r="O11" s="55" t="s">
        <v>702</v>
      </c>
      <c r="P11" s="55">
        <f>HEX2DEC(RIGHT(Table1323214[[#This Row],[h1]],8))</f>
        <v>65537</v>
      </c>
      <c r="Q11" s="55" t="s">
        <v>149</v>
      </c>
      <c r="R11" s="48">
        <f>HEX2DEC(RIGHT(Table132321279[[#This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32</v>
      </c>
      <c r="J12" s="24">
        <v>249999</v>
      </c>
      <c r="K12" s="55"/>
      <c r="L12" s="24">
        <v>32</v>
      </c>
      <c r="M12" s="24">
        <v>249999</v>
      </c>
      <c r="O12" s="55" t="s">
        <v>703</v>
      </c>
      <c r="P12" s="55">
        <f>HEX2DEC(RIGHT(Table1323214[[#This Row],[h1]],8))</f>
        <v>131074</v>
      </c>
      <c r="Q12" s="55" t="s">
        <v>149</v>
      </c>
      <c r="R12" s="48">
        <f>HEX2DEC(RIGHT(Table132321279[[#This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144</v>
      </c>
      <c r="H13" s="48"/>
      <c r="I13" s="20">
        <v>33</v>
      </c>
      <c r="J13" s="24">
        <v>249999</v>
      </c>
      <c r="K13" s="55"/>
      <c r="L13" s="20">
        <v>33</v>
      </c>
      <c r="M13" s="24">
        <v>249999</v>
      </c>
      <c r="O13" s="55" t="s">
        <v>704</v>
      </c>
      <c r="P13" s="55">
        <f>HEX2DEC(RIGHT(Table1323214[[#This Row],[h1]],8))</f>
        <v>262148</v>
      </c>
      <c r="Q13" s="55" t="s">
        <v>149</v>
      </c>
      <c r="R13" s="48">
        <f>HEX2DEC(RIGHT(Table132321279[[#This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214</v>
      </c>
      <c r="G14" s="33">
        <v>0</v>
      </c>
      <c r="H14" s="48"/>
      <c r="I14" s="20">
        <v>34</v>
      </c>
      <c r="J14" s="24">
        <v>249999</v>
      </c>
      <c r="K14" s="55"/>
      <c r="L14" s="20">
        <v>34</v>
      </c>
      <c r="M14" s="24">
        <v>249999</v>
      </c>
      <c r="O14" s="55" t="s">
        <v>705</v>
      </c>
      <c r="P14" s="55">
        <f>HEX2DEC(RIGHT(Table1323214[[#This Row],[h1]],8))</f>
        <v>524296</v>
      </c>
      <c r="Q14" s="55" t="s">
        <v>149</v>
      </c>
      <c r="R14" s="48">
        <f>HEX2DEC(RIGHT(Table132321279[[#This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215</v>
      </c>
      <c r="G15" s="33">
        <v>0</v>
      </c>
      <c r="H15" s="48"/>
      <c r="I15" s="24" t="s">
        <v>140</v>
      </c>
      <c r="J15" s="24">
        <v>249999</v>
      </c>
      <c r="K15" s="55"/>
      <c r="L15" s="24" t="s">
        <v>140</v>
      </c>
      <c r="M15" s="24">
        <v>249999</v>
      </c>
      <c r="O15" s="55" t="s">
        <v>706</v>
      </c>
      <c r="P15" s="55">
        <f>HEX2DEC(RIGHT(Table1323214[[#This Row],[h1]],8))</f>
        <v>1048592</v>
      </c>
      <c r="Q15" s="55" t="s">
        <v>149</v>
      </c>
      <c r="R15" s="48">
        <f>HEX2DEC(RIGHT(Table132321279[[#This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216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55" t="s">
        <v>707</v>
      </c>
      <c r="P16" s="55">
        <f>HEX2DEC(RIGHT(Table1323214[[#This Row],[h1]],8))</f>
        <v>2097184</v>
      </c>
      <c r="Q16" s="55" t="s">
        <v>149</v>
      </c>
      <c r="R16" s="48">
        <f>HEX2DEC(RIGHT(Table132321279[[#This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217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55" t="s">
        <v>708</v>
      </c>
      <c r="P17" s="55">
        <f>HEX2DEC(RIGHT(Table1323214[[#This Row],[h1]],8))</f>
        <v>4194368</v>
      </c>
      <c r="Q17" s="55" t="s">
        <v>149</v>
      </c>
      <c r="R17" s="48">
        <f>HEX2DEC(RIGHT(Table132321279[[#This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218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55" t="s">
        <v>709</v>
      </c>
      <c r="P18" s="55">
        <f>HEX2DEC(RIGHT(Table1323214[[#This Row],[h1]],8))</f>
        <v>8388736</v>
      </c>
      <c r="Q18" s="55" t="s">
        <v>149</v>
      </c>
      <c r="R18" s="48">
        <f>HEX2DEC(RIGHT(Table132321279[[#This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219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55" t="s">
        <v>710</v>
      </c>
      <c r="P19" s="55">
        <f>HEX2DEC(RIGHT(Table1323214[[#This Row],[h1]],8))</f>
        <v>16777472</v>
      </c>
      <c r="Q19" s="55" t="s">
        <v>149</v>
      </c>
      <c r="R19" s="48">
        <f>HEX2DEC(RIGHT(Table132321279[[#This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220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55" t="s">
        <v>711</v>
      </c>
      <c r="P20" s="55">
        <f>HEX2DEC(RIGHT(Table1323214[[#This Row],[h1]],8))</f>
        <v>33554944</v>
      </c>
      <c r="Q20" s="55" t="s">
        <v>149</v>
      </c>
      <c r="R20" s="48">
        <f>HEX2DEC(RIGHT(Table132321279[[#This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221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55" t="s">
        <v>712</v>
      </c>
      <c r="P21" s="55">
        <f>HEX2DEC(RIGHT(Table1323214[[#This Row],[h1]],8))</f>
        <v>67109888</v>
      </c>
      <c r="Q21" s="55" t="s">
        <v>149</v>
      </c>
      <c r="R21" s="48">
        <f>HEX2DEC(RIGHT(Table132321279[[#This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55" t="s">
        <v>713</v>
      </c>
      <c r="P22" s="55">
        <f>HEX2DEC(RIGHT(Table1323214[[#This Row],[h1]],8))</f>
        <v>134219776</v>
      </c>
      <c r="Q22" s="55" t="s">
        <v>149</v>
      </c>
      <c r="R22" s="48">
        <f>HEX2DEC(RIGHT(Table132321279[[#This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55" t="s">
        <v>714</v>
      </c>
      <c r="P23" s="55">
        <f>HEX2DEC(RIGHT(Table1323214[[#This Row],[h1]],8))</f>
        <v>268439552</v>
      </c>
      <c r="Q23" s="55" t="s">
        <v>149</v>
      </c>
      <c r="R23" s="48">
        <f>HEX2DEC(RIGHT(Table132321279[[#This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145</v>
      </c>
      <c r="H24" s="48"/>
      <c r="J24" s="24">
        <v>50000</v>
      </c>
      <c r="K24" s="48"/>
      <c r="L24" s="24">
        <v>24</v>
      </c>
      <c r="M24" s="24">
        <v>50000</v>
      </c>
      <c r="O24" s="55" t="s">
        <v>715</v>
      </c>
      <c r="P24" s="55">
        <f>HEX2DEC(RIGHT(Table1323214[[#This Row],[h1]],8))</f>
        <v>536879104</v>
      </c>
      <c r="Q24" s="55" t="s">
        <v>149</v>
      </c>
      <c r="R24" s="48">
        <f>HEX2DEC(RIGHT(Table132321279[[#This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222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55" t="s">
        <v>716</v>
      </c>
      <c r="P25" s="55">
        <f>HEX2DEC(RIGHT(Table1323214[[#This Row],[h1]],8))</f>
        <v>1073758208</v>
      </c>
      <c r="Q25" s="55" t="s">
        <v>149</v>
      </c>
      <c r="R25" s="48">
        <f>HEX2DEC(RIGHT(Table132321279[[#This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223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55" t="s">
        <v>717</v>
      </c>
      <c r="P26" s="55">
        <f>HEX2DEC(RIGHT(Table1323214[[#This Row],[h1]],8))</f>
        <v>2147516416</v>
      </c>
      <c r="Q26" s="55" t="s">
        <v>149</v>
      </c>
      <c r="R26" s="48">
        <f>HEX2DEC(RIGHT(Table132321279[[#This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224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55" t="s">
        <v>149</v>
      </c>
      <c r="P27" s="55">
        <f>HEX2DEC(RIGHT(Table1323214[[#This Row],[h1]],8))</f>
        <v>0</v>
      </c>
      <c r="Q27" s="55" t="s">
        <v>149</v>
      </c>
      <c r="R27" s="48">
        <f>HEX2DEC(RIGHT(Table132321279[[#This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225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55" t="s">
        <v>149</v>
      </c>
      <c r="P28" s="55">
        <f>HEX2DEC(RIGHT(Table1323214[[#This Row],[h1]],8))</f>
        <v>0</v>
      </c>
      <c r="Q28" s="55" t="s">
        <v>149</v>
      </c>
      <c r="R28" s="48">
        <f>HEX2DEC(RIGHT(Table132321279[[#This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226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55" t="s">
        <v>149</v>
      </c>
      <c r="P29" s="55">
        <f>HEX2DEC(RIGHT(Table1323214[[#This Row],[h1]],8))</f>
        <v>0</v>
      </c>
      <c r="Q29" s="55" t="s">
        <v>149</v>
      </c>
      <c r="R29" s="48">
        <f>HEX2DEC(RIGHT(Table132321279[[#This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227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55" t="s">
        <v>149</v>
      </c>
      <c r="P30" s="55">
        <f>HEX2DEC(RIGHT(Table1323214[[#This Row],[h1]],8))</f>
        <v>0</v>
      </c>
      <c r="Q30" s="55" t="s">
        <v>149</v>
      </c>
      <c r="R30" s="48">
        <f>HEX2DEC(RIGHT(Table132321279[[#This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228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55" t="s">
        <v>149</v>
      </c>
      <c r="P31" s="55">
        <f>HEX2DEC(RIGHT(Table1323214[[#This Row],[h1]],8))</f>
        <v>0</v>
      </c>
      <c r="Q31" s="55" t="s">
        <v>149</v>
      </c>
      <c r="R31" s="48">
        <f>HEX2DEC(RIGHT(Table132321279[[#This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229</v>
      </c>
      <c r="G32" s="33">
        <v>0</v>
      </c>
      <c r="H32" s="48"/>
      <c r="J32" s="24">
        <v>50000</v>
      </c>
      <c r="K32" s="48"/>
      <c r="M32" s="24">
        <v>50000</v>
      </c>
      <c r="O32" s="55" t="s">
        <v>149</v>
      </c>
      <c r="P32" s="55">
        <f>HEX2DEC(RIGHT(Table1323214[[#This Row],[h1]],8))</f>
        <v>0</v>
      </c>
      <c r="Q32" s="55" t="s">
        <v>149</v>
      </c>
      <c r="R32" s="48">
        <f>HEX2DEC(RIGHT(Table132321279[[#This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230</v>
      </c>
      <c r="G33" s="33">
        <v>0</v>
      </c>
      <c r="H33" s="48"/>
      <c r="J33" s="24">
        <v>50000</v>
      </c>
      <c r="K33" s="48"/>
      <c r="M33" s="24">
        <v>50000</v>
      </c>
      <c r="O33" s="55" t="s">
        <v>149</v>
      </c>
      <c r="P33" s="55">
        <f>HEX2DEC(RIGHT(Table1323214[[#This Row],[h1]],8))</f>
        <v>0</v>
      </c>
      <c r="Q33" s="55" t="s">
        <v>149</v>
      </c>
      <c r="R33" s="48">
        <f>HEX2DEC(RIGHT(Table132321279[[#This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231</v>
      </c>
      <c r="G34" s="33">
        <v>0</v>
      </c>
      <c r="H34" s="48"/>
      <c r="J34" s="24">
        <v>50000</v>
      </c>
      <c r="K34" s="48"/>
      <c r="M34" s="24">
        <v>50000</v>
      </c>
      <c r="O34" s="55" t="s">
        <v>149</v>
      </c>
      <c r="P34" s="55">
        <f>HEX2DEC(RIGHT(Table1323214[[#This Row],[h1]],8))</f>
        <v>0</v>
      </c>
      <c r="Q34" s="55" t="s">
        <v>149</v>
      </c>
      <c r="R34" s="48">
        <f>HEX2DEC(RIGHT(Table132321279[[#This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232</v>
      </c>
      <c r="G35" s="33">
        <v>0</v>
      </c>
      <c r="H35" s="48"/>
      <c r="J35" s="24">
        <v>50000</v>
      </c>
      <c r="K35" s="48"/>
      <c r="M35" s="24">
        <v>50000</v>
      </c>
      <c r="O35" s="55" t="s">
        <v>149</v>
      </c>
      <c r="P35" s="55">
        <f>HEX2DEC(RIGHT(Table1323214[[#This Row],[h1]],8))</f>
        <v>0</v>
      </c>
      <c r="Q35" s="55" t="s">
        <v>149</v>
      </c>
      <c r="R35" s="48">
        <f>HEX2DEC(RIGHT(Table132321279[[#This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233</v>
      </c>
      <c r="G36" s="33">
        <v>0</v>
      </c>
      <c r="H36" s="48"/>
      <c r="J36" s="24">
        <v>50000</v>
      </c>
      <c r="K36" s="48"/>
      <c r="M36" s="24">
        <v>50000</v>
      </c>
      <c r="O36" s="55" t="s">
        <v>149</v>
      </c>
      <c r="P36" s="55">
        <f>HEX2DEC(RIGHT(Table1323214[[#This Row],[h1]],8))</f>
        <v>0</v>
      </c>
      <c r="Q36" s="55" t="s">
        <v>149</v>
      </c>
      <c r="R36" s="48">
        <f>HEX2DEC(RIGHT(Table132321279[[#This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234</v>
      </c>
      <c r="G37" s="33">
        <v>0</v>
      </c>
      <c r="H37" s="48"/>
      <c r="J37" s="24">
        <v>50000</v>
      </c>
      <c r="K37" s="48"/>
      <c r="M37" s="24">
        <v>50000</v>
      </c>
      <c r="O37" s="55" t="s">
        <v>149</v>
      </c>
      <c r="P37" s="55">
        <f>HEX2DEC(RIGHT(Table1323214[[#This Row],[h1]],8))</f>
        <v>0</v>
      </c>
      <c r="Q37" s="55" t="s">
        <v>149</v>
      </c>
      <c r="R37" s="48">
        <f>HEX2DEC(RIGHT(Table132321279[[#This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235</v>
      </c>
      <c r="G38" s="33">
        <v>0</v>
      </c>
      <c r="H38" s="48"/>
      <c r="J38" s="24">
        <v>50000</v>
      </c>
      <c r="K38" s="48"/>
      <c r="L38" s="20" t="s">
        <v>140</v>
      </c>
      <c r="M38" s="24">
        <v>50000</v>
      </c>
      <c r="O38" s="55" t="s">
        <v>149</v>
      </c>
      <c r="P38" s="55">
        <f>HEX2DEC(RIGHT(Table1323214[[#This Row],[h1]],8))</f>
        <v>0</v>
      </c>
      <c r="Q38" s="55" t="s">
        <v>149</v>
      </c>
      <c r="R38" s="48">
        <f>HEX2DEC(RIGHT(Table132321279[[#This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236</v>
      </c>
      <c r="G39" s="33">
        <v>0</v>
      </c>
      <c r="H39" s="48"/>
      <c r="J39" s="24">
        <v>50000</v>
      </c>
      <c r="K39" s="48"/>
      <c r="M39" s="24">
        <v>50000</v>
      </c>
      <c r="O39" s="55" t="s">
        <v>149</v>
      </c>
      <c r="P39" s="55">
        <f>HEX2DEC(RIGHT(Table1323214[[#This Row],[h1]],8))</f>
        <v>0</v>
      </c>
      <c r="Q39" s="55" t="s">
        <v>149</v>
      </c>
      <c r="R39" s="48">
        <f>HEX2DEC(RIGHT(Table132321279[[#This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55" t="s">
        <v>727</v>
      </c>
      <c r="P40" s="55">
        <f>HEX2DEC(RIGHT(Table1323214[[#This Row],[h1]],8))</f>
        <v>65536</v>
      </c>
      <c r="Q40" s="55" t="s">
        <v>149</v>
      </c>
      <c r="R40" s="48">
        <f>HEX2DEC(RIGHT(Table132321279[[#This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237</v>
      </c>
      <c r="G41" s="33">
        <v>0</v>
      </c>
      <c r="H41" s="48"/>
      <c r="J41" s="24">
        <v>50000</v>
      </c>
      <c r="K41" s="48"/>
      <c r="M41" s="24">
        <v>50000</v>
      </c>
      <c r="O41" s="55" t="s">
        <v>728</v>
      </c>
      <c r="P41" s="55">
        <f>HEX2DEC(RIGHT(Table1323214[[#This Row],[h1]],8))</f>
        <v>196608</v>
      </c>
      <c r="Q41" s="55" t="s">
        <v>149</v>
      </c>
      <c r="R41" s="48">
        <f>HEX2DEC(RIGHT(Table132321279[[#This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238</v>
      </c>
      <c r="G42" s="33">
        <v>0</v>
      </c>
      <c r="H42" s="48"/>
      <c r="J42" s="24">
        <v>50000</v>
      </c>
      <c r="K42" s="48"/>
      <c r="M42" s="24">
        <v>50000</v>
      </c>
      <c r="O42" s="55" t="s">
        <v>729</v>
      </c>
      <c r="P42" s="55">
        <f>HEX2DEC(RIGHT(Table1323214[[#This Row],[h1]],8))</f>
        <v>458752</v>
      </c>
      <c r="Q42" s="55" t="s">
        <v>149</v>
      </c>
      <c r="R42" s="48">
        <f>HEX2DEC(RIGHT(Table132321279[[#This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239</v>
      </c>
      <c r="G43" s="33">
        <v>0</v>
      </c>
      <c r="H43" s="48"/>
      <c r="J43" s="24">
        <v>50000</v>
      </c>
      <c r="K43" s="48"/>
      <c r="M43" s="24">
        <v>50000</v>
      </c>
      <c r="O43" s="55" t="s">
        <v>730</v>
      </c>
      <c r="P43" s="55">
        <f>HEX2DEC(RIGHT(Table1323214[[#This Row],[h1]],8))</f>
        <v>983040</v>
      </c>
      <c r="Q43" s="55" t="s">
        <v>149</v>
      </c>
      <c r="R43" s="48">
        <f>HEX2DEC(RIGHT(Table132321279[[#This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240</v>
      </c>
      <c r="G44" s="33">
        <v>0</v>
      </c>
      <c r="H44" s="48"/>
      <c r="J44" s="24">
        <v>50000</v>
      </c>
      <c r="K44" s="48"/>
      <c r="M44" s="24">
        <v>50000</v>
      </c>
      <c r="O44" s="55" t="s">
        <v>565</v>
      </c>
      <c r="P44" s="55">
        <f>HEX2DEC(RIGHT(Table1323214[[#This Row],[h1]],8))</f>
        <v>4294901760</v>
      </c>
      <c r="Q44" s="55" t="s">
        <v>149</v>
      </c>
      <c r="R44" s="48">
        <f>HEX2DEC(RIGHT(Table132321279[[#This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241</v>
      </c>
      <c r="G45" s="33">
        <v>0</v>
      </c>
      <c r="H45" s="48"/>
      <c r="J45" s="24">
        <v>50000</v>
      </c>
      <c r="K45" s="48"/>
      <c r="M45" s="24">
        <v>50000</v>
      </c>
      <c r="O45" s="48" t="s">
        <v>149</v>
      </c>
      <c r="P45" s="48">
        <f>HEX2DEC(RIGHT(Table132321279[[#This Row],[h1]],8))</f>
        <v>0</v>
      </c>
      <c r="Q45" s="48" t="s">
        <v>149</v>
      </c>
      <c r="R45" s="48">
        <f>HEX2DEC(RIGHT(Table132321279[[#This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242</v>
      </c>
      <c r="G46" s="33">
        <v>0</v>
      </c>
      <c r="H46" s="48"/>
      <c r="I46" s="20" t="s">
        <v>140</v>
      </c>
      <c r="J46" s="24">
        <v>50000</v>
      </c>
      <c r="K46" s="48"/>
      <c r="M46" s="24">
        <v>50000</v>
      </c>
      <c r="O46" s="48" t="s">
        <v>149</v>
      </c>
      <c r="P46" s="48">
        <f>HEX2DEC(RIGHT(Table132321279[[#This Row],[h1]],8))</f>
        <v>0</v>
      </c>
      <c r="Q46" s="48" t="s">
        <v>149</v>
      </c>
      <c r="R46" s="48">
        <f>HEX2DEC(RIGHT(Table132321279[[#This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243</v>
      </c>
      <c r="G47" s="33">
        <v>0</v>
      </c>
      <c r="H47" s="48"/>
      <c r="J47" s="24">
        <v>50000</v>
      </c>
      <c r="K47" s="48"/>
      <c r="M47" s="24">
        <v>50000</v>
      </c>
      <c r="O47" s="48" t="s">
        <v>149</v>
      </c>
      <c r="P47" s="48">
        <f>HEX2DEC(RIGHT(Table132321279[[#This Row],[h1]],8))</f>
        <v>0</v>
      </c>
      <c r="Q47" s="48" t="s">
        <v>149</v>
      </c>
      <c r="R47" s="48">
        <f>HEX2DEC(RIGHT(Table132321279[[#This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244</v>
      </c>
      <c r="G48" s="33">
        <v>0</v>
      </c>
      <c r="H48" s="48"/>
      <c r="J48" s="24">
        <v>50000</v>
      </c>
      <c r="K48" s="48"/>
      <c r="M48" s="24">
        <v>50000</v>
      </c>
      <c r="O48" s="48" t="s">
        <v>149</v>
      </c>
      <c r="P48" s="48">
        <f>HEX2DEC(RIGHT(Table132321279[[#This Row],[h1]],8))</f>
        <v>0</v>
      </c>
      <c r="Q48" s="48" t="s">
        <v>149</v>
      </c>
      <c r="R48" s="48">
        <f>HEX2DEC(RIGHT(Table132321279[[#This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245</v>
      </c>
      <c r="G49" s="33">
        <v>0</v>
      </c>
      <c r="H49" s="48"/>
      <c r="J49" s="24">
        <v>50000</v>
      </c>
      <c r="K49" s="48"/>
      <c r="M49" s="24">
        <v>50000</v>
      </c>
      <c r="O49" s="48" t="s">
        <v>149</v>
      </c>
      <c r="P49" s="48">
        <f>HEX2DEC(RIGHT(Table132321279[[#This Row],[h1]],8))</f>
        <v>0</v>
      </c>
      <c r="Q49" s="48" t="s">
        <v>149</v>
      </c>
      <c r="R49" s="48">
        <f>HEX2DEC(RIGHT(Table132321279[[#This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246</v>
      </c>
      <c r="G50" s="33">
        <v>0</v>
      </c>
      <c r="H50" s="48"/>
      <c r="J50" s="24">
        <v>50000</v>
      </c>
      <c r="K50" s="48"/>
      <c r="M50" s="24">
        <v>50000</v>
      </c>
      <c r="O50" s="48" t="s">
        <v>149</v>
      </c>
      <c r="P50" s="48">
        <f>HEX2DEC(RIGHT(Table132321279[[#This Row],[h1]],8))</f>
        <v>0</v>
      </c>
      <c r="Q50" s="48" t="s">
        <v>149</v>
      </c>
      <c r="R50" s="48">
        <f>HEX2DEC(RIGHT(Table132321279[[#This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247</v>
      </c>
      <c r="G51" s="33">
        <v>0</v>
      </c>
      <c r="H51" s="48"/>
      <c r="J51" s="24">
        <v>50000</v>
      </c>
      <c r="K51" s="48"/>
      <c r="M51" s="24">
        <v>50000</v>
      </c>
      <c r="O51" s="48" t="s">
        <v>149</v>
      </c>
      <c r="P51" s="48">
        <f>HEX2DEC(RIGHT(Table132321279[[#This Row],[h1]],8))</f>
        <v>0</v>
      </c>
      <c r="Q51" s="48" t="s">
        <v>149</v>
      </c>
      <c r="R51" s="48">
        <f>HEX2DEC(RIGHT(Table132321279[[#This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248</v>
      </c>
      <c r="G52" s="33">
        <v>0</v>
      </c>
      <c r="H52" s="48"/>
      <c r="J52" s="24">
        <v>50000</v>
      </c>
      <c r="K52" s="48"/>
      <c r="M52" s="24">
        <v>50000</v>
      </c>
      <c r="O52" s="48" t="s">
        <v>149</v>
      </c>
      <c r="P52" s="48">
        <f>HEX2DEC(RIGHT(Table132321279[[#This Row],[h1]],8))</f>
        <v>0</v>
      </c>
      <c r="Q52" s="48" t="s">
        <v>149</v>
      </c>
      <c r="R52" s="48">
        <f>HEX2DEC(RIGHT(Table132321279[[#This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249</v>
      </c>
      <c r="G53" s="33">
        <v>0</v>
      </c>
      <c r="H53" s="48"/>
      <c r="J53" s="24">
        <v>50000</v>
      </c>
      <c r="K53" s="48"/>
      <c r="M53" s="24">
        <v>50000</v>
      </c>
      <c r="O53" s="48" t="s">
        <v>149</v>
      </c>
      <c r="P53" s="48">
        <f>HEX2DEC(RIGHT(Table132321279[[#This Row],[h1]],8))</f>
        <v>0</v>
      </c>
      <c r="Q53" s="48" t="s">
        <v>149</v>
      </c>
      <c r="R53" s="48">
        <f>HEX2DEC(RIGHT(Table132321279[[#This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250</v>
      </c>
      <c r="G54" s="33">
        <v>0</v>
      </c>
      <c r="H54" s="48"/>
      <c r="J54" s="24">
        <v>50000</v>
      </c>
      <c r="K54" s="48"/>
      <c r="M54" s="24">
        <v>50000</v>
      </c>
      <c r="O54" s="48" t="s">
        <v>149</v>
      </c>
      <c r="P54" s="48">
        <f>HEX2DEC(RIGHT(Table132321279[[#This Row],[h1]],8))</f>
        <v>0</v>
      </c>
      <c r="Q54" s="48" t="s">
        <v>149</v>
      </c>
      <c r="R54" s="48">
        <f>HEX2DEC(RIGHT(Table132321279[[#This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251</v>
      </c>
      <c r="G55" s="33">
        <v>0</v>
      </c>
      <c r="H55" s="48"/>
      <c r="J55" s="24">
        <v>50000</v>
      </c>
      <c r="K55" s="48"/>
      <c r="M55" s="24">
        <v>50000</v>
      </c>
      <c r="O55" s="48" t="s">
        <v>149</v>
      </c>
      <c r="P55" s="48">
        <f>HEX2DEC(RIGHT(Table132321279[[#This Row],[h1]],8))</f>
        <v>0</v>
      </c>
      <c r="Q55" s="48" t="s">
        <v>149</v>
      </c>
      <c r="R55" s="48">
        <f>HEX2DEC(RIGHT(Table132321279[[#This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252</v>
      </c>
      <c r="G56" s="33">
        <v>0</v>
      </c>
      <c r="H56" s="48"/>
      <c r="J56" s="24">
        <v>50000</v>
      </c>
      <c r="K56" s="48"/>
      <c r="M56" s="24">
        <v>50000</v>
      </c>
      <c r="O56" s="48" t="s">
        <v>149</v>
      </c>
      <c r="P56" s="48">
        <f>HEX2DEC(RIGHT(Table132321279[[#This Row],[h1]],8))</f>
        <v>0</v>
      </c>
      <c r="Q56" s="48" t="s">
        <v>149</v>
      </c>
      <c r="R56" s="48">
        <f>HEX2DEC(RIGHT(Table132321279[[#This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253</v>
      </c>
      <c r="G57" s="33">
        <v>0</v>
      </c>
      <c r="H57" s="48"/>
      <c r="J57" s="24">
        <v>50000</v>
      </c>
      <c r="K57" s="48"/>
      <c r="M57" s="24">
        <v>50000</v>
      </c>
      <c r="O57" s="48" t="s">
        <v>149</v>
      </c>
      <c r="P57" s="48">
        <f>HEX2DEC(RIGHT(Table132321279[[#This Row],[h1]],8))</f>
        <v>0</v>
      </c>
      <c r="Q57" s="48" t="s">
        <v>149</v>
      </c>
      <c r="R57" s="48">
        <f>HEX2DEC(RIGHT(Table132321279[[#This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254</v>
      </c>
      <c r="G58" s="33">
        <v>0</v>
      </c>
      <c r="H58" s="48"/>
      <c r="J58" s="24">
        <v>50000</v>
      </c>
      <c r="K58" s="48"/>
      <c r="M58" s="24">
        <v>50000</v>
      </c>
      <c r="O58" s="48" t="s">
        <v>149</v>
      </c>
      <c r="P58" s="48">
        <f>HEX2DEC(RIGHT(Table132321279[[#This Row],[h1]],8))</f>
        <v>0</v>
      </c>
      <c r="Q58" s="48" t="s">
        <v>149</v>
      </c>
      <c r="R58" s="48">
        <f>HEX2DEC(RIGHT(Table132321279[[#This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255</v>
      </c>
      <c r="G59" s="33">
        <v>0</v>
      </c>
      <c r="H59" s="48"/>
      <c r="J59" s="24">
        <v>50000</v>
      </c>
      <c r="K59" s="48"/>
      <c r="M59" s="24">
        <v>50000</v>
      </c>
      <c r="O59" s="48" t="s">
        <v>149</v>
      </c>
      <c r="P59" s="48">
        <f>HEX2DEC(RIGHT(Table132321279[[#This Row],[h1]],8))</f>
        <v>0</v>
      </c>
      <c r="Q59" s="48" t="s">
        <v>149</v>
      </c>
      <c r="R59" s="48">
        <f>HEX2DEC(RIGHT(Table132321279[[#This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256</v>
      </c>
      <c r="G60" s="33">
        <v>0</v>
      </c>
      <c r="H60" s="48"/>
      <c r="J60" s="24">
        <v>50000</v>
      </c>
      <c r="K60" s="48"/>
      <c r="M60" s="24">
        <v>50000</v>
      </c>
      <c r="O60" s="48" t="s">
        <v>149</v>
      </c>
      <c r="P60" s="48">
        <f>HEX2DEC(RIGHT(Table132321279[[#This Row],[h1]],8))</f>
        <v>0</v>
      </c>
      <c r="Q60" s="48" t="s">
        <v>149</v>
      </c>
      <c r="R60" s="48">
        <f>HEX2DEC(RIGHT(Table132321279[[#This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257</v>
      </c>
      <c r="G61" s="33">
        <v>0</v>
      </c>
      <c r="H61" s="48"/>
      <c r="J61" s="24">
        <v>50000</v>
      </c>
      <c r="K61" s="48"/>
      <c r="M61" s="24">
        <v>50000</v>
      </c>
      <c r="O61" s="48" t="s">
        <v>149</v>
      </c>
      <c r="P61" s="48">
        <f>HEX2DEC(RIGHT(Table132321279[[#This Row],[h1]],8))</f>
        <v>0</v>
      </c>
      <c r="Q61" s="48" t="s">
        <v>149</v>
      </c>
      <c r="R61" s="48">
        <f>HEX2DEC(RIGHT(Table132321279[[#This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258</v>
      </c>
      <c r="G62" s="33">
        <v>0</v>
      </c>
      <c r="J62" s="24">
        <v>50000</v>
      </c>
      <c r="M62" s="24">
        <v>50000</v>
      </c>
      <c r="O62" s="48" t="s">
        <v>149</v>
      </c>
      <c r="P62" s="48">
        <f>HEX2DEC(RIGHT(Table132321279[[#This Row],[h1]],8))</f>
        <v>0</v>
      </c>
      <c r="Q62" s="48" t="s">
        <v>149</v>
      </c>
      <c r="R62" s="48">
        <f>HEX2DEC(RIGHT(Table132321279[[#This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259</v>
      </c>
      <c r="G63" s="33">
        <v>0</v>
      </c>
      <c r="J63" s="24">
        <v>50000</v>
      </c>
      <c r="M63" s="24">
        <v>50000</v>
      </c>
      <c r="O63" s="48" t="s">
        <v>149</v>
      </c>
      <c r="P63" s="48">
        <f>HEX2DEC(RIGHT(Table132321279[[#This Row],[h1]],8))</f>
        <v>0</v>
      </c>
      <c r="Q63" s="48" t="s">
        <v>149</v>
      </c>
      <c r="R63" s="48">
        <f>HEX2DEC(RIGHT(Table132321279[[#This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260</v>
      </c>
      <c r="G64" s="33">
        <v>0</v>
      </c>
      <c r="J64" s="24">
        <v>50000</v>
      </c>
      <c r="M64" s="24">
        <v>50000</v>
      </c>
      <c r="O64" s="48" t="s">
        <v>149</v>
      </c>
      <c r="P64" s="48">
        <f>HEX2DEC(RIGHT(Table132321279[[#This Row],[h1]],8))</f>
        <v>0</v>
      </c>
      <c r="Q64" s="48" t="s">
        <v>149</v>
      </c>
      <c r="R64" s="48">
        <f>HEX2DEC(RIGHT(Table132321279[[#This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261</v>
      </c>
      <c r="G65" s="33">
        <v>0</v>
      </c>
      <c r="J65" s="24">
        <v>50000</v>
      </c>
      <c r="M65" s="24">
        <v>50000</v>
      </c>
      <c r="O65" s="48" t="s">
        <v>149</v>
      </c>
      <c r="P65" s="48">
        <f>HEX2DEC(RIGHT(Table132321279[[#This Row],[h1]],8))</f>
        <v>0</v>
      </c>
      <c r="Q65" s="48" t="s">
        <v>149</v>
      </c>
      <c r="R65" s="48">
        <f>HEX2DEC(RIGHT(Table132321279[[#This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262</v>
      </c>
      <c r="G66" s="33">
        <v>0</v>
      </c>
      <c r="J66" s="24">
        <v>50000</v>
      </c>
      <c r="M66" s="24">
        <v>50000</v>
      </c>
      <c r="O66" s="48" t="s">
        <v>149</v>
      </c>
      <c r="P66" s="48">
        <f>HEX2DEC(RIGHT(Table132321279[[#This Row],[h1]],8))</f>
        <v>0</v>
      </c>
      <c r="Q66" s="48" t="s">
        <v>149</v>
      </c>
      <c r="R66" s="48">
        <f>HEX2DEC(RIGHT(Table132321279[[#This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263</v>
      </c>
      <c r="G67" s="33">
        <v>0</v>
      </c>
      <c r="J67" s="24">
        <v>50000</v>
      </c>
      <c r="M67" s="24">
        <v>50000</v>
      </c>
      <c r="O67" s="48" t="s">
        <v>149</v>
      </c>
      <c r="P67" s="48">
        <f>HEX2DEC(RIGHT(Table132321279[[#This Row],[h1]],8))</f>
        <v>0</v>
      </c>
      <c r="Q67" s="48" t="s">
        <v>149</v>
      </c>
      <c r="R67" s="48">
        <f>HEX2DEC(RIGHT(Table132321279[[#This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264</v>
      </c>
      <c r="G68" s="33">
        <v>0</v>
      </c>
      <c r="J68" s="24">
        <v>50000</v>
      </c>
      <c r="M68" s="24">
        <v>50000</v>
      </c>
      <c r="O68" s="48" t="s">
        <v>149</v>
      </c>
      <c r="P68" s="48">
        <f>HEX2DEC(RIGHT(Table132321279[[#This Row],[h1]],8))</f>
        <v>0</v>
      </c>
      <c r="Q68" s="48" t="s">
        <v>149</v>
      </c>
      <c r="R68" s="48">
        <f>HEX2DEC(RIGHT(Table132321279[[#This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265</v>
      </c>
      <c r="G69" s="33">
        <v>0</v>
      </c>
      <c r="J69" s="24">
        <v>50000</v>
      </c>
      <c r="M69" s="24">
        <v>50000</v>
      </c>
      <c r="O69" s="48" t="s">
        <v>149</v>
      </c>
      <c r="P69" s="48">
        <f>HEX2DEC(RIGHT(Table132321279[[#This Row],[h1]],8))</f>
        <v>0</v>
      </c>
      <c r="Q69" s="48" t="s">
        <v>149</v>
      </c>
      <c r="R69" s="48">
        <f>HEX2DEC(RIGHT(Table132321279[[#This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266</v>
      </c>
      <c r="G70" s="33">
        <v>0</v>
      </c>
      <c r="J70" s="24">
        <v>50000</v>
      </c>
      <c r="M70" s="24">
        <v>50000</v>
      </c>
      <c r="O70" s="48" t="s">
        <v>149</v>
      </c>
      <c r="P70" s="48">
        <f>HEX2DEC(RIGHT(Table132321279[[#This Row],[h1]],8))</f>
        <v>0</v>
      </c>
      <c r="Q70" s="48" t="s">
        <v>149</v>
      </c>
      <c r="R70" s="48">
        <f>HEX2DEC(RIGHT(Table132321279[[#This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267</v>
      </c>
      <c r="G71" s="33">
        <v>0</v>
      </c>
      <c r="J71" s="24">
        <v>50000</v>
      </c>
      <c r="M71" s="24">
        <v>50000</v>
      </c>
      <c r="O71" s="48" t="s">
        <v>149</v>
      </c>
      <c r="P71" s="48">
        <f>HEX2DEC(RIGHT(Table132321279[[#This Row],[h1]],8))</f>
        <v>0</v>
      </c>
      <c r="Q71" s="48" t="s">
        <v>149</v>
      </c>
      <c r="R71" s="48">
        <f>HEX2DEC(RIGHT(Table132321279[[#This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268</v>
      </c>
      <c r="G72" s="33">
        <v>0</v>
      </c>
      <c r="J72" s="24">
        <v>50000</v>
      </c>
      <c r="M72" s="24">
        <v>50000</v>
      </c>
      <c r="O72" s="48" t="s">
        <v>149</v>
      </c>
      <c r="P72" s="48">
        <f>HEX2DEC(RIGHT(Table132321279[[#This Row],[h1]],8))</f>
        <v>0</v>
      </c>
      <c r="Q72" s="48" t="s">
        <v>149</v>
      </c>
      <c r="R72" s="48">
        <f>HEX2DEC(RIGHT(Table132321279[[#This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149</v>
      </c>
      <c r="P73" s="48">
        <f>HEX2DEC(RIGHT(Table132321279[[#This Row],[h1]],8))</f>
        <v>0</v>
      </c>
      <c r="Q73" s="48" t="s">
        <v>149</v>
      </c>
      <c r="R73" s="48">
        <f>HEX2DEC(RIGHT(Table132321279[[#This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269</v>
      </c>
      <c r="G74" s="33">
        <v>0</v>
      </c>
      <c r="J74" s="24">
        <v>50000</v>
      </c>
      <c r="M74" s="24">
        <v>50000</v>
      </c>
      <c r="O74" s="48" t="s">
        <v>149</v>
      </c>
      <c r="P74" s="48">
        <f>HEX2DEC(RIGHT(Table132321279[[#This Row],[h1]],8))</f>
        <v>0</v>
      </c>
      <c r="Q74" s="48" t="s">
        <v>149</v>
      </c>
      <c r="R74" s="48">
        <f>HEX2DEC(RIGHT(Table132321279[[#This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270</v>
      </c>
      <c r="G75" s="33">
        <v>0</v>
      </c>
      <c r="J75" s="24">
        <v>50000</v>
      </c>
      <c r="M75" s="24">
        <v>50000</v>
      </c>
      <c r="O75" s="48" t="s">
        <v>149</v>
      </c>
      <c r="P75" s="48">
        <f>HEX2DEC(RIGHT(Table132321279[[#This Row],[h1]],8))</f>
        <v>0</v>
      </c>
      <c r="Q75" s="48" t="s">
        <v>149</v>
      </c>
      <c r="R75" s="48">
        <f>HEX2DEC(RIGHT(Table132321279[[#This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271</v>
      </c>
      <c r="G76" s="33">
        <v>0</v>
      </c>
      <c r="J76" s="24">
        <v>50000</v>
      </c>
      <c r="M76" s="24">
        <v>50000</v>
      </c>
      <c r="O76" s="48" t="s">
        <v>149</v>
      </c>
      <c r="P76" s="48">
        <f>HEX2DEC(RIGHT(Table132321279[[#This Row],[h1]],8))</f>
        <v>0</v>
      </c>
      <c r="Q76" s="48" t="s">
        <v>149</v>
      </c>
      <c r="R76" s="48">
        <f>HEX2DEC(RIGHT(Table132321279[[#This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272</v>
      </c>
      <c r="G77" s="33">
        <v>0</v>
      </c>
      <c r="J77" s="24">
        <v>50000</v>
      </c>
      <c r="M77" s="24">
        <v>50000</v>
      </c>
      <c r="O77" s="48" t="s">
        <v>149</v>
      </c>
      <c r="P77" s="48">
        <f>HEX2DEC(RIGHT(Table132321279[[#This Row],[h1]],8))</f>
        <v>0</v>
      </c>
      <c r="Q77" s="48" t="s">
        <v>149</v>
      </c>
      <c r="R77" s="48">
        <f>HEX2DEC(RIGHT(Table132321279[[#This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273</v>
      </c>
      <c r="G78" s="33">
        <v>0</v>
      </c>
      <c r="J78" s="24">
        <v>50000</v>
      </c>
      <c r="M78" s="24">
        <v>50000</v>
      </c>
      <c r="O78" s="48" t="s">
        <v>149</v>
      </c>
      <c r="P78" s="48">
        <f>HEX2DEC(RIGHT(Table132321279[[#This Row],[h1]],8))</f>
        <v>0</v>
      </c>
      <c r="Q78" s="48" t="s">
        <v>149</v>
      </c>
      <c r="R78" s="48">
        <f>HEX2DEC(RIGHT(Table132321279[[#This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274</v>
      </c>
      <c r="G79" s="33">
        <v>0</v>
      </c>
      <c r="J79" s="24">
        <v>50000</v>
      </c>
      <c r="M79" s="24">
        <v>50000</v>
      </c>
      <c r="O79" s="48" t="s">
        <v>149</v>
      </c>
      <c r="P79" s="48">
        <f>HEX2DEC(RIGHT(Table132321279[[#This Row],[h1]],8))</f>
        <v>0</v>
      </c>
      <c r="Q79" s="48" t="s">
        <v>149</v>
      </c>
      <c r="R79" s="48">
        <f>HEX2DEC(RIGHT(Table132321279[[#This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275</v>
      </c>
      <c r="G80" s="33">
        <v>0</v>
      </c>
      <c r="J80" s="24">
        <v>50000</v>
      </c>
      <c r="M80" s="24">
        <v>50000</v>
      </c>
      <c r="O80" s="48" t="s">
        <v>149</v>
      </c>
      <c r="P80" s="48">
        <f>HEX2DEC(RIGHT(Table132321279[[#This Row],[h1]],8))</f>
        <v>0</v>
      </c>
      <c r="Q80" s="48" t="s">
        <v>149</v>
      </c>
      <c r="R80" s="48">
        <f>HEX2DEC(RIGHT(Table132321279[[#This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276</v>
      </c>
      <c r="G81" s="33">
        <v>0</v>
      </c>
      <c r="J81" s="24">
        <v>50000</v>
      </c>
      <c r="M81" s="24">
        <v>50000</v>
      </c>
      <c r="O81" s="48" t="s">
        <v>149</v>
      </c>
      <c r="P81" s="48">
        <f>HEX2DEC(RIGHT(Table132321279[[#This Row],[h1]],8))</f>
        <v>0</v>
      </c>
      <c r="Q81" s="48" t="s">
        <v>149</v>
      </c>
      <c r="R81" s="48">
        <f>HEX2DEC(RIGHT(Table132321279[[#This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277</v>
      </c>
      <c r="G82" s="33">
        <v>0</v>
      </c>
      <c r="J82" s="24">
        <v>50000</v>
      </c>
      <c r="M82" s="24">
        <v>50000</v>
      </c>
      <c r="O82" s="48" t="s">
        <v>149</v>
      </c>
      <c r="P82" s="48">
        <f>HEX2DEC(RIGHT(Table132321279[[#This Row],[h1]],8))</f>
        <v>0</v>
      </c>
      <c r="Q82" s="48" t="s">
        <v>149</v>
      </c>
      <c r="R82" s="48">
        <f>HEX2DEC(RIGHT(Table132321279[[#This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278</v>
      </c>
      <c r="G83" s="33">
        <v>0</v>
      </c>
      <c r="J83" s="24">
        <v>50000</v>
      </c>
      <c r="M83" s="24">
        <v>50000</v>
      </c>
      <c r="O83" s="48" t="s">
        <v>149</v>
      </c>
      <c r="P83" s="48">
        <f>HEX2DEC(RIGHT(Table132321279[[#This Row],[h1]],8))</f>
        <v>0</v>
      </c>
      <c r="Q83" s="48" t="s">
        <v>149</v>
      </c>
      <c r="R83" s="48">
        <f>HEX2DEC(RIGHT(Table132321279[[#This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279</v>
      </c>
      <c r="G84" s="33">
        <v>0</v>
      </c>
      <c r="J84" s="24">
        <v>50000</v>
      </c>
      <c r="M84" s="24">
        <v>50000</v>
      </c>
      <c r="O84" s="48" t="s">
        <v>149</v>
      </c>
      <c r="P84" s="48">
        <f>HEX2DEC(RIGHT(Table132321279[[#This Row],[h1]],8))</f>
        <v>0</v>
      </c>
      <c r="Q84" s="48" t="s">
        <v>149</v>
      </c>
      <c r="R84" s="48">
        <f>HEX2DEC(RIGHT(Table132321279[[#This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280</v>
      </c>
      <c r="G85" s="33">
        <v>0</v>
      </c>
      <c r="J85" s="24">
        <v>50000</v>
      </c>
      <c r="M85" s="24">
        <v>50000</v>
      </c>
      <c r="O85" s="48" t="s">
        <v>149</v>
      </c>
      <c r="P85" s="48">
        <f>HEX2DEC(RIGHT(Table132321279[[#This Row],[h1]],8))</f>
        <v>0</v>
      </c>
      <c r="Q85" s="48" t="s">
        <v>149</v>
      </c>
      <c r="R85" s="48">
        <f>HEX2DEC(RIGHT(Table132321279[[#This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281</v>
      </c>
      <c r="G86" s="33">
        <v>0</v>
      </c>
      <c r="J86" s="24">
        <v>50000</v>
      </c>
      <c r="M86" s="24">
        <v>50000</v>
      </c>
      <c r="O86" s="48" t="s">
        <v>149</v>
      </c>
      <c r="P86" s="48">
        <f>HEX2DEC(RIGHT(Table132321279[[#This Row],[h1]],8))</f>
        <v>0</v>
      </c>
      <c r="Q86" s="48" t="s">
        <v>149</v>
      </c>
      <c r="R86" s="48">
        <f>HEX2DEC(RIGHT(Table132321279[[#This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282</v>
      </c>
      <c r="G87" s="33">
        <v>0</v>
      </c>
      <c r="J87" s="24">
        <v>50000</v>
      </c>
      <c r="M87" s="24">
        <v>50000</v>
      </c>
      <c r="O87" s="48" t="s">
        <v>149</v>
      </c>
      <c r="P87" s="48">
        <f>HEX2DEC(RIGHT(Table132321279[[#This Row],[h1]],8))</f>
        <v>0</v>
      </c>
      <c r="Q87" s="48" t="s">
        <v>149</v>
      </c>
      <c r="R87" s="48">
        <f>HEX2DEC(RIGHT(Table132321279[[#This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283</v>
      </c>
      <c r="G88" s="33">
        <v>0</v>
      </c>
      <c r="J88" s="24">
        <v>50000</v>
      </c>
      <c r="M88" s="24">
        <v>50000</v>
      </c>
      <c r="O88" s="48" t="s">
        <v>149</v>
      </c>
      <c r="P88" s="48">
        <f>HEX2DEC(RIGHT(Table132321279[[#This Row],[h1]],8))</f>
        <v>0</v>
      </c>
      <c r="Q88" s="48" t="s">
        <v>149</v>
      </c>
      <c r="R88" s="48">
        <f>HEX2DEC(RIGHT(Table132321279[[#This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284</v>
      </c>
      <c r="G89" s="33">
        <v>0</v>
      </c>
      <c r="J89" s="24">
        <v>50000</v>
      </c>
      <c r="M89" s="24">
        <v>50000</v>
      </c>
      <c r="O89" s="48" t="s">
        <v>149</v>
      </c>
      <c r="P89" s="48">
        <f>HEX2DEC(RIGHT(Table132321279[[#This Row],[h1]],8))</f>
        <v>0</v>
      </c>
      <c r="Q89" s="48" t="s">
        <v>149</v>
      </c>
      <c r="R89" s="48">
        <f>HEX2DEC(RIGHT(Table132321279[[#This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285</v>
      </c>
      <c r="G90" s="33">
        <v>0</v>
      </c>
      <c r="J90" s="24">
        <v>50000</v>
      </c>
      <c r="M90" s="24">
        <v>50000</v>
      </c>
      <c r="O90" s="48" t="s">
        <v>149</v>
      </c>
      <c r="P90" s="48">
        <f>HEX2DEC(RIGHT(Table132321279[[#This Row],[h1]],8))</f>
        <v>0</v>
      </c>
      <c r="Q90" s="48" t="s">
        <v>149</v>
      </c>
      <c r="R90" s="48">
        <f>HEX2DEC(RIGHT(Table132321279[[#This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286</v>
      </c>
      <c r="G91" s="33">
        <v>0</v>
      </c>
      <c r="J91" s="24">
        <v>50000</v>
      </c>
      <c r="M91" s="24">
        <v>50000</v>
      </c>
      <c r="O91" s="48" t="s">
        <v>149</v>
      </c>
      <c r="P91" s="48">
        <f>HEX2DEC(RIGHT(Table132321279[[#This Row],[h1]],8))</f>
        <v>0</v>
      </c>
      <c r="Q91" s="48" t="s">
        <v>149</v>
      </c>
      <c r="R91" s="48">
        <f>HEX2DEC(RIGHT(Table132321279[[#This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287</v>
      </c>
      <c r="G92" s="33">
        <v>0</v>
      </c>
      <c r="J92" s="24">
        <v>50000</v>
      </c>
      <c r="M92" s="24">
        <v>50000</v>
      </c>
      <c r="O92" s="48" t="s">
        <v>149</v>
      </c>
      <c r="P92" s="48">
        <f>HEX2DEC(RIGHT(Table132321279[[#This Row],[h1]],8))</f>
        <v>0</v>
      </c>
      <c r="Q92" s="48" t="s">
        <v>149</v>
      </c>
      <c r="R92" s="48">
        <f>HEX2DEC(RIGHT(Table132321279[[#This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288</v>
      </c>
      <c r="G93" s="33">
        <v>0</v>
      </c>
      <c r="J93" s="24">
        <v>50000</v>
      </c>
      <c r="M93" s="24">
        <v>50000</v>
      </c>
      <c r="O93" s="48" t="s">
        <v>149</v>
      </c>
      <c r="P93" s="48">
        <f>HEX2DEC(RIGHT(Table132321279[[#This Row],[h1]],8))</f>
        <v>0</v>
      </c>
      <c r="Q93" s="48" t="s">
        <v>149</v>
      </c>
      <c r="R93" s="48">
        <f>HEX2DEC(RIGHT(Table132321279[[#This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289</v>
      </c>
      <c r="G94" s="33">
        <v>0</v>
      </c>
      <c r="J94" s="24">
        <v>50000</v>
      </c>
      <c r="M94" s="24">
        <v>50000</v>
      </c>
      <c r="O94" s="48" t="s">
        <v>149</v>
      </c>
      <c r="P94" s="48">
        <f>HEX2DEC(RIGHT(Table132321279[[#This Row],[h1]],8))</f>
        <v>0</v>
      </c>
      <c r="Q94" s="48" t="s">
        <v>149</v>
      </c>
      <c r="R94" s="48">
        <f>HEX2DEC(RIGHT(Table132321279[[#This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290</v>
      </c>
      <c r="G95" s="33">
        <v>0</v>
      </c>
      <c r="J95" s="24">
        <v>50000</v>
      </c>
      <c r="M95" s="24">
        <v>50000</v>
      </c>
      <c r="O95" s="48" t="s">
        <v>149</v>
      </c>
      <c r="P95" s="48">
        <f>HEX2DEC(RIGHT(Table132321279[[#This Row],[h1]],8))</f>
        <v>0</v>
      </c>
      <c r="Q95" s="48" t="s">
        <v>149</v>
      </c>
      <c r="R95" s="48">
        <f>HEX2DEC(RIGHT(Table132321279[[#This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291</v>
      </c>
      <c r="G96" s="33">
        <v>0</v>
      </c>
      <c r="J96" s="24">
        <v>50000</v>
      </c>
      <c r="M96" s="24">
        <v>50000</v>
      </c>
      <c r="O96" s="48" t="s">
        <v>149</v>
      </c>
      <c r="P96" s="48">
        <f>HEX2DEC(RIGHT(Table132321279[[#This Row],[h1]],8))</f>
        <v>0</v>
      </c>
      <c r="Q96" s="48" t="s">
        <v>149</v>
      </c>
      <c r="R96" s="48">
        <f>HEX2DEC(RIGHT(Table132321279[[#This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292</v>
      </c>
      <c r="G97" s="33">
        <v>0</v>
      </c>
      <c r="J97" s="24">
        <v>50000</v>
      </c>
      <c r="M97" s="24">
        <v>50000</v>
      </c>
      <c r="O97" s="48" t="s">
        <v>149</v>
      </c>
      <c r="P97" s="48">
        <f>HEX2DEC(RIGHT(Table132321279[[#This Row],[h1]],8))</f>
        <v>0</v>
      </c>
      <c r="Q97" s="48" t="s">
        <v>149</v>
      </c>
      <c r="R97" s="48">
        <f>HEX2DEC(RIGHT(Table132321279[[#This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293</v>
      </c>
      <c r="G98" s="33">
        <v>0</v>
      </c>
      <c r="J98" s="24">
        <v>50000</v>
      </c>
      <c r="M98" s="24">
        <v>50000</v>
      </c>
      <c r="O98" s="48" t="s">
        <v>149</v>
      </c>
      <c r="P98" s="48">
        <f>HEX2DEC(RIGHT(Table132321279[[#This Row],[h1]],8))</f>
        <v>0</v>
      </c>
      <c r="Q98" s="48" t="s">
        <v>149</v>
      </c>
      <c r="R98" s="48">
        <f>HEX2DEC(RIGHT(Table132321279[[#This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294</v>
      </c>
      <c r="G99" s="33">
        <v>0</v>
      </c>
      <c r="J99" s="24">
        <v>50000</v>
      </c>
      <c r="M99" s="24">
        <v>50000</v>
      </c>
      <c r="O99" s="48" t="s">
        <v>149</v>
      </c>
      <c r="P99" s="48">
        <f>HEX2DEC(RIGHT(Table132321279[[#This Row],[h1]],8))</f>
        <v>0</v>
      </c>
      <c r="Q99" s="48" t="s">
        <v>149</v>
      </c>
      <c r="R99" s="48">
        <f>HEX2DEC(RIGHT(Table132321279[[#This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295</v>
      </c>
      <c r="G100" s="33">
        <v>0</v>
      </c>
      <c r="J100" s="24">
        <v>50000</v>
      </c>
      <c r="M100" s="24">
        <v>50000</v>
      </c>
      <c r="O100" s="48" t="s">
        <v>149</v>
      </c>
      <c r="P100" s="48">
        <f>HEX2DEC(RIGHT(Table132321279[[#This Row],[h1]],8))</f>
        <v>0</v>
      </c>
      <c r="Q100" s="48" t="s">
        <v>149</v>
      </c>
      <c r="R100" s="48">
        <f>HEX2DEC(RIGHT(Table132321279[[#This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296</v>
      </c>
      <c r="G101" s="33">
        <v>0</v>
      </c>
      <c r="J101" s="24">
        <v>50000</v>
      </c>
      <c r="M101" s="24">
        <v>50000</v>
      </c>
      <c r="O101" s="48" t="s">
        <v>149</v>
      </c>
      <c r="P101" s="48">
        <f>HEX2DEC(RIGHT(Table132321279[[#This Row],[h1]],8))</f>
        <v>0</v>
      </c>
      <c r="Q101" s="48" t="s">
        <v>149</v>
      </c>
      <c r="R101" s="48">
        <f>HEX2DEC(RIGHT(Table132321279[[#This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297</v>
      </c>
      <c r="G102" s="33">
        <v>0</v>
      </c>
      <c r="J102" s="24">
        <v>50000</v>
      </c>
      <c r="M102" s="24">
        <v>50000</v>
      </c>
      <c r="O102" s="48" t="s">
        <v>149</v>
      </c>
      <c r="P102" s="48">
        <f>HEX2DEC(RIGHT(Table132321279[[#This Row],[h1]],8))</f>
        <v>0</v>
      </c>
      <c r="Q102" s="48" t="s">
        <v>149</v>
      </c>
      <c r="R102" s="48">
        <f>HEX2DEC(RIGHT(Table132321279[[#This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298</v>
      </c>
      <c r="G103" s="33">
        <v>0</v>
      </c>
      <c r="J103" s="24">
        <v>50000</v>
      </c>
      <c r="M103" s="24">
        <v>50000</v>
      </c>
      <c r="O103" s="48" t="s">
        <v>149</v>
      </c>
      <c r="P103" s="48">
        <f>HEX2DEC(RIGHT(Table132321279[[#This Row],[h1]],8))</f>
        <v>0</v>
      </c>
      <c r="Q103" s="48" t="s">
        <v>149</v>
      </c>
      <c r="R103" s="48">
        <f>HEX2DEC(RIGHT(Table132321279[[#This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299</v>
      </c>
      <c r="G104" s="33">
        <v>0</v>
      </c>
      <c r="J104" s="24">
        <v>50000</v>
      </c>
      <c r="M104" s="24">
        <v>50000</v>
      </c>
      <c r="O104" s="48" t="s">
        <v>149</v>
      </c>
      <c r="P104" s="48">
        <f>HEX2DEC(RIGHT(Table132321279[[#This Row],[h1]],8))</f>
        <v>0</v>
      </c>
      <c r="Q104" s="48" t="s">
        <v>149</v>
      </c>
      <c r="R104" s="48">
        <f>HEX2DEC(RIGHT(Table132321279[[#This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300</v>
      </c>
      <c r="G105" s="33">
        <v>0</v>
      </c>
      <c r="J105" s="24">
        <v>50000</v>
      </c>
      <c r="M105" s="24">
        <v>50000</v>
      </c>
      <c r="O105" s="48" t="s">
        <v>149</v>
      </c>
      <c r="P105" s="48">
        <f>HEX2DEC(RIGHT(Table132321279[[#This Row],[h1]],8))</f>
        <v>0</v>
      </c>
      <c r="Q105" s="48" t="s">
        <v>149</v>
      </c>
      <c r="R105" s="48">
        <f>HEX2DEC(RIGHT(Table132321279[[#This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149</v>
      </c>
      <c r="P106" s="48">
        <f>HEX2DEC(RIGHT(Table132321279[[#This Row],[h1]],8))</f>
        <v>0</v>
      </c>
      <c r="Q106" s="48" t="s">
        <v>149</v>
      </c>
      <c r="R106" s="48">
        <f>HEX2DEC(RIGHT(Table132321279[[#This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301</v>
      </c>
      <c r="G107" s="33">
        <v>124999</v>
      </c>
      <c r="J107" s="24">
        <v>50000</v>
      </c>
      <c r="M107" s="24">
        <v>50000</v>
      </c>
      <c r="O107" s="48" t="s">
        <v>149</v>
      </c>
      <c r="P107" s="48">
        <f>HEX2DEC(RIGHT(Table132321279[[#This Row],[h1]],8))</f>
        <v>0</v>
      </c>
      <c r="Q107" s="48" t="s">
        <v>149</v>
      </c>
      <c r="R107" s="48">
        <f>HEX2DEC(RIGHT(Table132321279[[#This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302</v>
      </c>
      <c r="G108" s="33">
        <v>124999</v>
      </c>
      <c r="J108" s="24">
        <v>50000</v>
      </c>
      <c r="M108" s="24">
        <v>50000</v>
      </c>
      <c r="O108" s="48" t="s">
        <v>149</v>
      </c>
      <c r="P108" s="48">
        <f>HEX2DEC(RIGHT(Table132321279[[#This Row],[h1]],8))</f>
        <v>0</v>
      </c>
      <c r="Q108" s="48" t="s">
        <v>149</v>
      </c>
      <c r="R108" s="48">
        <f>HEX2DEC(RIGHT(Table132321279[[#This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303</v>
      </c>
      <c r="G109" s="33">
        <v>124999</v>
      </c>
      <c r="J109" s="24">
        <v>50000</v>
      </c>
      <c r="M109" s="24">
        <v>50000</v>
      </c>
      <c r="O109" s="48" t="s">
        <v>149</v>
      </c>
      <c r="P109" s="48">
        <f>HEX2DEC(RIGHT(Table132321279[[#This Row],[h1]],8))</f>
        <v>0</v>
      </c>
      <c r="Q109" s="48" t="s">
        <v>149</v>
      </c>
      <c r="R109" s="48">
        <f>HEX2DEC(RIGHT(Table132321279[[#This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304</v>
      </c>
      <c r="G110" s="33">
        <v>124999</v>
      </c>
      <c r="J110" s="24">
        <v>50000</v>
      </c>
      <c r="M110" s="24">
        <v>50000</v>
      </c>
      <c r="O110" s="48" t="s">
        <v>149</v>
      </c>
      <c r="P110" s="48">
        <f>HEX2DEC(RIGHT(Table132321279[[#This Row],[h1]],8))</f>
        <v>0</v>
      </c>
      <c r="Q110" s="48" t="s">
        <v>149</v>
      </c>
      <c r="R110" s="48">
        <f>HEX2DEC(RIGHT(Table132321279[[#This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305</v>
      </c>
      <c r="G111" s="33">
        <v>124999</v>
      </c>
      <c r="J111" s="24">
        <v>50000</v>
      </c>
      <c r="M111" s="24">
        <v>50000</v>
      </c>
      <c r="O111" s="48" t="s">
        <v>149</v>
      </c>
      <c r="P111" s="48">
        <f>HEX2DEC(RIGHT(Table132321279[[#This Row],[h1]],8))</f>
        <v>0</v>
      </c>
      <c r="Q111" s="48" t="s">
        <v>149</v>
      </c>
      <c r="R111" s="48">
        <f>HEX2DEC(RIGHT(Table132321279[[#This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306</v>
      </c>
      <c r="G112" s="33">
        <v>124999</v>
      </c>
      <c r="J112" s="24">
        <v>50000</v>
      </c>
      <c r="M112" s="24">
        <v>50000</v>
      </c>
      <c r="O112" s="48" t="s">
        <v>149</v>
      </c>
      <c r="P112" s="48">
        <f>HEX2DEC(RIGHT(Table132321279[[#This Row],[h1]],8))</f>
        <v>0</v>
      </c>
      <c r="Q112" s="48" t="s">
        <v>149</v>
      </c>
      <c r="R112" s="48">
        <f>HEX2DEC(RIGHT(Table132321279[[#This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307</v>
      </c>
      <c r="G113" s="33">
        <v>124999</v>
      </c>
      <c r="J113" s="24">
        <v>50000</v>
      </c>
      <c r="M113" s="24">
        <v>50000</v>
      </c>
      <c r="O113" s="48" t="s">
        <v>149</v>
      </c>
      <c r="P113" s="48">
        <f>HEX2DEC(RIGHT(Table132321279[[#This Row],[h1]],8))</f>
        <v>0</v>
      </c>
      <c r="Q113" s="48" t="s">
        <v>149</v>
      </c>
      <c r="R113" s="48">
        <f>HEX2DEC(RIGHT(Table132321279[[#This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308</v>
      </c>
      <c r="G114" s="33">
        <v>124999</v>
      </c>
      <c r="J114" s="24">
        <v>50000</v>
      </c>
      <c r="M114" s="24">
        <v>50000</v>
      </c>
      <c r="O114" s="48" t="s">
        <v>149</v>
      </c>
      <c r="P114" s="48">
        <f>HEX2DEC(RIGHT(Table132321279[[#This Row],[h1]],8))</f>
        <v>0</v>
      </c>
      <c r="Q114" s="48" t="s">
        <v>149</v>
      </c>
      <c r="R114" s="48">
        <f>HEX2DEC(RIGHT(Table132321279[[#This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309</v>
      </c>
      <c r="G115" s="33">
        <v>124999</v>
      </c>
      <c r="J115" s="24">
        <v>50000</v>
      </c>
      <c r="M115" s="24">
        <v>50000</v>
      </c>
      <c r="O115" s="48" t="s">
        <v>149</v>
      </c>
      <c r="P115" s="48">
        <f>HEX2DEC(RIGHT(Table132321279[[#This Row],[h1]],8))</f>
        <v>0</v>
      </c>
      <c r="Q115" s="48" t="s">
        <v>149</v>
      </c>
      <c r="R115" s="48">
        <f>HEX2DEC(RIGHT(Table132321279[[#This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310</v>
      </c>
      <c r="G116" s="33">
        <v>124999</v>
      </c>
      <c r="J116" s="24">
        <v>50000</v>
      </c>
      <c r="M116" s="24">
        <v>50000</v>
      </c>
      <c r="O116" s="48" t="s">
        <v>149</v>
      </c>
      <c r="P116" s="48">
        <f>HEX2DEC(RIGHT(Table132321279[[#This Row],[h1]],8))</f>
        <v>0</v>
      </c>
      <c r="Q116" s="48" t="s">
        <v>149</v>
      </c>
      <c r="R116" s="48">
        <f>HEX2DEC(RIGHT(Table132321279[[#This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311</v>
      </c>
      <c r="G117" s="33">
        <v>124999</v>
      </c>
      <c r="J117" s="24">
        <v>50000</v>
      </c>
      <c r="M117" s="24">
        <v>50000</v>
      </c>
      <c r="O117" s="48" t="s">
        <v>149</v>
      </c>
      <c r="P117" s="48">
        <f>HEX2DEC(RIGHT(Table132321279[[#This Row],[h1]],8))</f>
        <v>0</v>
      </c>
      <c r="Q117" s="48" t="s">
        <v>149</v>
      </c>
      <c r="R117" s="48">
        <f>HEX2DEC(RIGHT(Table132321279[[#This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312</v>
      </c>
      <c r="G118" s="33">
        <v>124999</v>
      </c>
      <c r="J118" s="24">
        <v>50000</v>
      </c>
      <c r="M118" s="24">
        <v>50000</v>
      </c>
      <c r="O118" s="48" t="s">
        <v>149</v>
      </c>
      <c r="P118" s="48">
        <f>HEX2DEC(RIGHT(Table132321279[[#This Row],[h1]],8))</f>
        <v>0</v>
      </c>
      <c r="Q118" s="48" t="s">
        <v>149</v>
      </c>
      <c r="R118" s="48">
        <f>HEX2DEC(RIGHT(Table132321279[[#This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313</v>
      </c>
      <c r="G119" s="33">
        <v>124999</v>
      </c>
      <c r="J119" s="24">
        <v>50000</v>
      </c>
      <c r="M119" s="24">
        <v>50000</v>
      </c>
      <c r="O119" s="48" t="s">
        <v>149</v>
      </c>
      <c r="P119" s="48">
        <f>HEX2DEC(RIGHT(Table132321279[[#This Row],[h1]],8))</f>
        <v>0</v>
      </c>
      <c r="Q119" s="48" t="s">
        <v>149</v>
      </c>
      <c r="R119" s="48">
        <f>HEX2DEC(RIGHT(Table132321279[[#This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314</v>
      </c>
      <c r="G120" s="33">
        <v>124999</v>
      </c>
      <c r="J120" s="24">
        <v>50000</v>
      </c>
      <c r="M120" s="24">
        <v>50000</v>
      </c>
      <c r="O120" s="48" t="s">
        <v>149</v>
      </c>
      <c r="P120" s="48">
        <f>HEX2DEC(RIGHT(Table132321279[[#This Row],[h1]],8))</f>
        <v>0</v>
      </c>
      <c r="Q120" s="48" t="s">
        <v>149</v>
      </c>
      <c r="R120" s="48">
        <f>HEX2DEC(RIGHT(Table132321279[[#This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315</v>
      </c>
      <c r="G121" s="33">
        <v>124999</v>
      </c>
      <c r="J121" s="24">
        <v>50000</v>
      </c>
      <c r="M121" s="24">
        <v>50000</v>
      </c>
      <c r="O121" s="48" t="s">
        <v>149</v>
      </c>
      <c r="P121" s="48">
        <f>HEX2DEC(RIGHT(Table132321279[[#This Row],[h1]],8))</f>
        <v>0</v>
      </c>
      <c r="Q121" s="48" t="s">
        <v>149</v>
      </c>
      <c r="R121" s="48">
        <f>HEX2DEC(RIGHT(Table132321279[[#This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316</v>
      </c>
      <c r="G122" s="33">
        <v>124999</v>
      </c>
      <c r="J122" s="24">
        <v>50000</v>
      </c>
      <c r="M122" s="24">
        <v>50000</v>
      </c>
      <c r="O122" s="48" t="s">
        <v>149</v>
      </c>
      <c r="P122" s="48">
        <f>HEX2DEC(RIGHT(Table132321279[[#This Row],[h1]],8))</f>
        <v>0</v>
      </c>
      <c r="Q122" s="48" t="s">
        <v>149</v>
      </c>
      <c r="R122" s="48">
        <f>HEX2DEC(RIGHT(Table132321279[[#This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317</v>
      </c>
      <c r="G123" s="33">
        <v>124999</v>
      </c>
      <c r="J123" s="24">
        <v>50000</v>
      </c>
      <c r="M123" s="24">
        <v>50000</v>
      </c>
      <c r="O123" s="48" t="s">
        <v>149</v>
      </c>
      <c r="P123" s="48">
        <f>HEX2DEC(RIGHT(Table132321279[[#This Row],[h1]],8))</f>
        <v>0</v>
      </c>
      <c r="Q123" s="48" t="s">
        <v>149</v>
      </c>
      <c r="R123" s="48">
        <f>HEX2DEC(RIGHT(Table132321279[[#This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318</v>
      </c>
      <c r="G124" s="33">
        <v>124999</v>
      </c>
      <c r="J124" s="24">
        <v>50000</v>
      </c>
      <c r="M124" s="24">
        <v>50000</v>
      </c>
      <c r="O124" s="48" t="s">
        <v>149</v>
      </c>
      <c r="P124" s="48">
        <f>HEX2DEC(RIGHT(Table132321279[[#This Row],[h1]],8))</f>
        <v>0</v>
      </c>
      <c r="Q124" s="48" t="s">
        <v>149</v>
      </c>
      <c r="R124" s="48">
        <f>HEX2DEC(RIGHT(Table132321279[[#This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319</v>
      </c>
      <c r="G125" s="33">
        <v>124999</v>
      </c>
      <c r="J125" s="24">
        <v>50000</v>
      </c>
      <c r="M125" s="24">
        <v>50000</v>
      </c>
      <c r="O125" s="48" t="s">
        <v>149</v>
      </c>
      <c r="P125" s="48">
        <f>HEX2DEC(RIGHT(Table132321279[[#This Row],[h1]],8))</f>
        <v>0</v>
      </c>
      <c r="Q125" s="48" t="s">
        <v>149</v>
      </c>
      <c r="R125" s="48">
        <f>HEX2DEC(RIGHT(Table132321279[[#This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320</v>
      </c>
      <c r="G126" s="33">
        <v>124999</v>
      </c>
      <c r="J126" s="24">
        <v>50000</v>
      </c>
      <c r="M126" s="24">
        <v>50000</v>
      </c>
      <c r="O126" s="48" t="s">
        <v>149</v>
      </c>
      <c r="P126" s="48">
        <f>HEX2DEC(RIGHT(Table132321279[[#This Row],[h1]],8))</f>
        <v>0</v>
      </c>
      <c r="Q126" s="48" t="s">
        <v>149</v>
      </c>
      <c r="R126" s="48">
        <f>HEX2DEC(RIGHT(Table132321279[[#This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321</v>
      </c>
      <c r="G127" s="33">
        <v>124999</v>
      </c>
      <c r="J127" s="24">
        <v>50000</v>
      </c>
      <c r="M127" s="24">
        <v>50000</v>
      </c>
      <c r="O127" s="48" t="s">
        <v>149</v>
      </c>
      <c r="P127" s="48">
        <f>HEX2DEC(RIGHT(Table132321279[[#This Row],[h1]],8))</f>
        <v>0</v>
      </c>
      <c r="Q127" s="48" t="s">
        <v>149</v>
      </c>
      <c r="R127" s="48">
        <f>HEX2DEC(RIGHT(Table132321279[[#This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322</v>
      </c>
      <c r="G128" s="33">
        <v>124999</v>
      </c>
      <c r="J128" s="24">
        <v>50000</v>
      </c>
      <c r="M128" s="24">
        <v>50000</v>
      </c>
      <c r="O128" s="48" t="s">
        <v>149</v>
      </c>
      <c r="P128" s="48">
        <f>HEX2DEC(RIGHT(Table132321279[[#This Row],[h1]],8))</f>
        <v>0</v>
      </c>
      <c r="Q128" s="48" t="s">
        <v>149</v>
      </c>
      <c r="R128" s="48">
        <f>HEX2DEC(RIGHT(Table132321279[[#This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323</v>
      </c>
      <c r="G129" s="33">
        <v>124999</v>
      </c>
      <c r="J129" s="24">
        <v>50000</v>
      </c>
      <c r="M129" s="24">
        <v>50000</v>
      </c>
      <c r="O129" s="48" t="s">
        <v>149</v>
      </c>
      <c r="P129" s="48">
        <f>HEX2DEC(RIGHT(Table132321279[[#This Row],[h1]],8))</f>
        <v>0</v>
      </c>
      <c r="Q129" s="48" t="s">
        <v>149</v>
      </c>
      <c r="R129" s="48">
        <f>HEX2DEC(RIGHT(Table132321279[[#This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324</v>
      </c>
      <c r="G130" s="33">
        <v>124999</v>
      </c>
      <c r="J130" s="24">
        <v>50000</v>
      </c>
      <c r="M130" s="24">
        <v>50000</v>
      </c>
      <c r="O130" s="48" t="s">
        <v>149</v>
      </c>
      <c r="P130" s="48">
        <f>HEX2DEC(RIGHT(Table132321279[[#This Row],[h1]],8))</f>
        <v>0</v>
      </c>
      <c r="Q130" s="48" t="s">
        <v>149</v>
      </c>
      <c r="R130" s="48">
        <f>HEX2DEC(RIGHT(Table132321279[[#This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325</v>
      </c>
      <c r="G131" s="33">
        <v>124999</v>
      </c>
      <c r="J131" s="24">
        <v>50000</v>
      </c>
      <c r="M131" s="24">
        <v>50000</v>
      </c>
      <c r="O131" s="48" t="s">
        <v>149</v>
      </c>
      <c r="P131" s="48">
        <f>HEX2DEC(RIGHT(Table132321279[[#This Row],[h1]],8))</f>
        <v>0</v>
      </c>
      <c r="Q131" s="48" t="s">
        <v>149</v>
      </c>
      <c r="R131" s="48">
        <f>HEX2DEC(RIGHT(Table132321279[[#This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326</v>
      </c>
      <c r="G132" s="33">
        <v>124999</v>
      </c>
      <c r="J132" s="24">
        <v>50000</v>
      </c>
      <c r="M132" s="24">
        <v>50000</v>
      </c>
      <c r="O132" s="48" t="s">
        <v>149</v>
      </c>
      <c r="P132" s="48">
        <f>HEX2DEC(RIGHT(Table132321279[[#This Row],[h1]],8))</f>
        <v>0</v>
      </c>
      <c r="Q132" s="48" t="s">
        <v>149</v>
      </c>
      <c r="R132" s="48">
        <f>HEX2DEC(RIGHT(Table132321279[[#This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327</v>
      </c>
      <c r="G133" s="33">
        <v>124999</v>
      </c>
      <c r="J133" s="24">
        <v>50000</v>
      </c>
      <c r="M133" s="24">
        <v>50000</v>
      </c>
      <c r="O133" s="48" t="s">
        <v>149</v>
      </c>
      <c r="P133" s="48">
        <f>HEX2DEC(RIGHT(Table132321279[[#This Row],[h1]],8))</f>
        <v>0</v>
      </c>
      <c r="Q133" s="48" t="s">
        <v>149</v>
      </c>
      <c r="R133" s="48">
        <f>HEX2DEC(RIGHT(Table132321279[[#This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328</v>
      </c>
      <c r="F134" s="22"/>
      <c r="G134" s="33">
        <v>124999</v>
      </c>
      <c r="J134" s="24">
        <v>50000</v>
      </c>
      <c r="M134" s="24">
        <v>50000</v>
      </c>
      <c r="O134" s="48" t="s">
        <v>149</v>
      </c>
      <c r="P134" s="48">
        <f>HEX2DEC(RIGHT(Table132321279[[#This Row],[h1]],8))</f>
        <v>0</v>
      </c>
      <c r="Q134" s="48" t="s">
        <v>149</v>
      </c>
      <c r="R134" s="48">
        <f>HEX2DEC(RIGHT(Table132321279[[#This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329</v>
      </c>
      <c r="F135" s="22"/>
      <c r="G135" s="33">
        <v>124999</v>
      </c>
      <c r="J135" s="24">
        <v>50000</v>
      </c>
      <c r="M135" s="24">
        <v>50000</v>
      </c>
      <c r="O135" s="48" t="s">
        <v>149</v>
      </c>
      <c r="P135" s="48">
        <f>HEX2DEC(RIGHT(Table132321279[[#This Row],[h1]],8))</f>
        <v>0</v>
      </c>
      <c r="Q135" s="48" t="s">
        <v>149</v>
      </c>
      <c r="R135" s="48">
        <f>HEX2DEC(RIGHT(Table132321279[[#This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330</v>
      </c>
      <c r="F136" s="22"/>
      <c r="G136" s="33">
        <v>124999</v>
      </c>
      <c r="J136" s="24">
        <v>50000</v>
      </c>
      <c r="M136" s="24">
        <v>50000</v>
      </c>
      <c r="O136" s="48" t="s">
        <v>149</v>
      </c>
      <c r="P136" s="48">
        <f>HEX2DEC(RIGHT(Table132321279[[#This Row],[h1]],8))</f>
        <v>0</v>
      </c>
      <c r="Q136" s="48" t="s">
        <v>149</v>
      </c>
      <c r="R136" s="48">
        <f>HEX2DEC(RIGHT(Table132321279[[#This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331</v>
      </c>
      <c r="F137" s="22"/>
      <c r="G137" s="33">
        <v>124999</v>
      </c>
      <c r="J137" s="24">
        <v>50000</v>
      </c>
      <c r="M137" s="24">
        <v>50000</v>
      </c>
      <c r="O137" s="48" t="s">
        <v>149</v>
      </c>
      <c r="P137" s="48">
        <f>HEX2DEC(RIGHT(Table132321279[[#This Row],[h1]],8))</f>
        <v>0</v>
      </c>
      <c r="Q137" s="48" t="s">
        <v>149</v>
      </c>
      <c r="R137" s="48">
        <f>HEX2DEC(RIGHT(Table132321279[[#This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332</v>
      </c>
      <c r="F138" s="22"/>
      <c r="G138" s="33">
        <v>124999</v>
      </c>
      <c r="J138" s="24">
        <v>50000</v>
      </c>
      <c r="M138" s="24">
        <v>50000</v>
      </c>
      <c r="O138" s="48" t="s">
        <v>149</v>
      </c>
      <c r="P138" s="48">
        <f>HEX2DEC(RIGHT(Table132321279[[#This Row],[h1]],8))</f>
        <v>0</v>
      </c>
      <c r="Q138" s="48" t="s">
        <v>149</v>
      </c>
      <c r="R138" s="48">
        <f>HEX2DEC(RIGHT(Table132321279[[#This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149</v>
      </c>
      <c r="P139" s="48">
        <f>HEX2DEC(RIGHT(Table132321279[[#This Row],[h1]],8))</f>
        <v>0</v>
      </c>
      <c r="Q139" s="48" t="s">
        <v>149</v>
      </c>
      <c r="R139" s="48">
        <f>HEX2DEC(RIGHT(Table132321279[[#This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333</v>
      </c>
      <c r="F140" s="22"/>
      <c r="G140" s="36">
        <v>1</v>
      </c>
      <c r="J140" s="24">
        <v>50000</v>
      </c>
      <c r="M140" s="24">
        <v>50000</v>
      </c>
      <c r="O140" s="48" t="s">
        <v>149</v>
      </c>
      <c r="P140" s="48">
        <f>HEX2DEC(RIGHT(Table132321279[[#This Row],[h1]],8))</f>
        <v>0</v>
      </c>
      <c r="Q140" s="48" t="s">
        <v>149</v>
      </c>
      <c r="R140" s="48">
        <f>HEX2DEC(RIGHT(Table132321279[[#This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333</v>
      </c>
      <c r="F141" s="22"/>
      <c r="G141" s="36">
        <v>0</v>
      </c>
      <c r="J141" s="24">
        <v>50000</v>
      </c>
      <c r="M141" s="24">
        <v>50000</v>
      </c>
      <c r="O141" s="48" t="s">
        <v>149</v>
      </c>
      <c r="P141" s="48">
        <f>HEX2DEC(RIGHT(Table132321279[[#This Row],[h1]],8))</f>
        <v>0</v>
      </c>
      <c r="Q141" s="48" t="s">
        <v>149</v>
      </c>
      <c r="R141" s="48">
        <f>HEX2DEC(RIGHT(Table132321279[[#This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149</v>
      </c>
      <c r="P142" s="48">
        <f>HEX2DEC(RIGHT(Table132321279[[#This Row],[h1]],8))</f>
        <v>0</v>
      </c>
      <c r="Q142" s="48" t="s">
        <v>149</v>
      </c>
      <c r="R142" s="48">
        <f>HEX2DEC(RIGHT(Table132321279[[#This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334</v>
      </c>
      <c r="F143" s="22"/>
      <c r="G143" s="32">
        <v>0</v>
      </c>
      <c r="J143" s="24">
        <v>50000</v>
      </c>
      <c r="M143" s="24">
        <v>50000</v>
      </c>
      <c r="O143" s="48" t="s">
        <v>149</v>
      </c>
      <c r="P143" s="48">
        <f>HEX2DEC(RIGHT(Table132321279[[#This Row],[h1]],8))</f>
        <v>0</v>
      </c>
      <c r="Q143" s="48" t="s">
        <v>149</v>
      </c>
      <c r="R143" s="48">
        <f>HEX2DEC(RIGHT(Table132321279[[#This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335</v>
      </c>
      <c r="F144" s="22"/>
      <c r="G144" s="32">
        <v>0</v>
      </c>
      <c r="J144" s="24">
        <v>50000</v>
      </c>
      <c r="M144" s="24">
        <v>50000</v>
      </c>
      <c r="O144" s="48" t="s">
        <v>149</v>
      </c>
      <c r="P144" s="48">
        <f>HEX2DEC(RIGHT(Table132321279[[#This Row],[h1]],8))</f>
        <v>0</v>
      </c>
      <c r="Q144" s="48" t="s">
        <v>149</v>
      </c>
      <c r="R144" s="48">
        <f>HEX2DEC(RIGHT(Table132321279[[#This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336</v>
      </c>
      <c r="F145" s="22"/>
      <c r="G145" s="32">
        <v>0</v>
      </c>
      <c r="J145" s="24">
        <v>50000</v>
      </c>
      <c r="M145" s="24">
        <v>50000</v>
      </c>
      <c r="O145" s="48" t="s">
        <v>149</v>
      </c>
      <c r="P145" s="48">
        <f>HEX2DEC(RIGHT(Table132321279[[#This Row],[h1]],8))</f>
        <v>0</v>
      </c>
      <c r="Q145" s="48" t="s">
        <v>149</v>
      </c>
      <c r="R145" s="48">
        <f>HEX2DEC(RIGHT(Table132321279[[#This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149</v>
      </c>
      <c r="P146" s="48">
        <f>HEX2DEC(RIGHT(Table132321279[[#This Row],[h1]],8))</f>
        <v>0</v>
      </c>
      <c r="Q146" s="48" t="s">
        <v>149</v>
      </c>
      <c r="R146" s="48">
        <f>HEX2DEC(RIGHT(Table132321279[[#This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337</v>
      </c>
      <c r="F147" s="22"/>
      <c r="G147" s="32">
        <v>1</v>
      </c>
      <c r="J147" s="24">
        <v>50000</v>
      </c>
      <c r="M147" s="24">
        <v>50000</v>
      </c>
      <c r="O147" s="48" t="s">
        <v>149</v>
      </c>
      <c r="P147" s="48">
        <f>HEX2DEC(RIGHT(Table132321279[[#This Row],[h1]],8))</f>
        <v>0</v>
      </c>
      <c r="Q147" s="48" t="s">
        <v>149</v>
      </c>
      <c r="R147" s="48">
        <f>HEX2DEC(RIGHT(Table132321279[[#This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338</v>
      </c>
      <c r="F148" s="22"/>
      <c r="G148" s="32">
        <v>1</v>
      </c>
      <c r="J148" s="24">
        <v>50000</v>
      </c>
      <c r="M148" s="24">
        <v>50000</v>
      </c>
      <c r="O148" s="48" t="s">
        <v>149</v>
      </c>
      <c r="P148" s="48">
        <f>HEX2DEC(RIGHT(Table132321279[[#This Row],[h1]],8))</f>
        <v>0</v>
      </c>
      <c r="Q148" s="48" t="s">
        <v>149</v>
      </c>
      <c r="R148" s="48">
        <f>HEX2DEC(RIGHT(Table132321279[[#This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339</v>
      </c>
      <c r="F149" s="22"/>
      <c r="G149" s="32">
        <v>1</v>
      </c>
      <c r="J149" s="24">
        <v>50000</v>
      </c>
      <c r="M149" s="24">
        <v>50000</v>
      </c>
      <c r="O149" s="48" t="s">
        <v>149</v>
      </c>
      <c r="P149" s="48">
        <f>HEX2DEC(RIGHT(Table132321279[[#This Row],[h1]],8))</f>
        <v>0</v>
      </c>
      <c r="Q149" s="48" t="s">
        <v>149</v>
      </c>
      <c r="R149" s="48">
        <f>HEX2DEC(RIGHT(Table132321279[[#This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733</v>
      </c>
      <c r="F150" s="22"/>
      <c r="G150" s="32">
        <v>1</v>
      </c>
      <c r="J150" s="24">
        <v>50000</v>
      </c>
      <c r="M150" s="24">
        <v>50000</v>
      </c>
      <c r="O150" s="48" t="s">
        <v>149</v>
      </c>
      <c r="P150" s="48">
        <f>HEX2DEC(RIGHT(Table132321279[[#This Row],[h1]],8))</f>
        <v>0</v>
      </c>
      <c r="Q150" s="48" t="s">
        <v>149</v>
      </c>
      <c r="R150" s="48">
        <f>HEX2DEC(RIGHT(Table132321279[[#This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149</v>
      </c>
      <c r="P151" s="48">
        <f>HEX2DEC(RIGHT(Table132321279[[#This Row],[h1]],8))</f>
        <v>0</v>
      </c>
      <c r="Q151" s="48" t="s">
        <v>149</v>
      </c>
      <c r="R151" s="48">
        <f>HEX2DEC(RIGHT(Table132321279[[#This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E152" s="15">
        <v>125000000</v>
      </c>
      <c r="G152" s="33"/>
      <c r="J152" s="24">
        <v>50000</v>
      </c>
      <c r="M152" s="24">
        <v>50000</v>
      </c>
      <c r="O152" s="48" t="s">
        <v>149</v>
      </c>
      <c r="P152" s="48">
        <f>HEX2DEC(RIGHT(Table132321279[[#This Row],[h1]],8))</f>
        <v>0</v>
      </c>
      <c r="Q152" s="48" t="s">
        <v>149</v>
      </c>
      <c r="R152" s="48">
        <f>HEX2DEC(RIGHT(Table132321279[[#This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344</v>
      </c>
      <c r="E153" s="56">
        <v>1</v>
      </c>
      <c r="F153" s="57">
        <v>0</v>
      </c>
      <c r="G153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62499999</v>
      </c>
      <c r="J153" s="24">
        <v>50000</v>
      </c>
      <c r="M153" s="24">
        <v>50000</v>
      </c>
      <c r="O153" s="48" t="s">
        <v>149</v>
      </c>
      <c r="P153" s="48">
        <f>HEX2DEC(RIGHT(Table132321279[[#This Row],[h1]],8))</f>
        <v>0</v>
      </c>
      <c r="Q153" s="48" t="s">
        <v>149</v>
      </c>
      <c r="R153" s="48">
        <f>HEX2DEC(RIGHT(Table132321279[[#This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345</v>
      </c>
      <c r="E154" s="56">
        <v>10</v>
      </c>
      <c r="F154" s="57">
        <v>1</v>
      </c>
      <c r="G154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6249999</v>
      </c>
      <c r="J154" s="24">
        <v>50000</v>
      </c>
      <c r="M154" s="24">
        <v>50000</v>
      </c>
      <c r="O154" s="48" t="s">
        <v>149</v>
      </c>
      <c r="P154" s="48">
        <f>HEX2DEC(RIGHT(Table132321279[[#This Row],[h1]],8))</f>
        <v>0</v>
      </c>
      <c r="Q154" s="48" t="s">
        <v>149</v>
      </c>
      <c r="R154" s="48">
        <f>HEX2DEC(RIGHT(Table132321279[[#This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346</v>
      </c>
      <c r="E155" s="56">
        <v>100</v>
      </c>
      <c r="F155" s="57">
        <v>2</v>
      </c>
      <c r="G155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624999</v>
      </c>
      <c r="J155" s="24">
        <v>50000</v>
      </c>
      <c r="M155" s="24">
        <v>50000</v>
      </c>
      <c r="O155" s="48" t="s">
        <v>149</v>
      </c>
      <c r="P155" s="48">
        <f>HEX2DEC(RIGHT(Table132321279[[#This Row],[h1]],8))</f>
        <v>0</v>
      </c>
      <c r="Q155" s="48" t="s">
        <v>149</v>
      </c>
      <c r="R155" s="48">
        <f>HEX2DEC(RIGHT(Table132321279[[#This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347</v>
      </c>
      <c r="E156" s="56">
        <v>1000</v>
      </c>
      <c r="F156" s="57">
        <v>3</v>
      </c>
      <c r="G156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62499</v>
      </c>
      <c r="J156" s="24">
        <v>50000</v>
      </c>
      <c r="M156" s="24">
        <v>50000</v>
      </c>
      <c r="O156" s="48" t="s">
        <v>149</v>
      </c>
      <c r="P156" s="48">
        <f>HEX2DEC(RIGHT(Table132321279[[#This Row],[h1]],8))</f>
        <v>0</v>
      </c>
      <c r="Q156" s="48" t="s">
        <v>149</v>
      </c>
      <c r="R156" s="48">
        <f>HEX2DEC(RIGHT(Table132321279[[#This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348</v>
      </c>
      <c r="E157" s="56">
        <v>10000</v>
      </c>
      <c r="F157" s="57">
        <v>4</v>
      </c>
      <c r="G157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6249</v>
      </c>
      <c r="J157" s="24">
        <v>50000</v>
      </c>
      <c r="M157" s="24">
        <v>50000</v>
      </c>
      <c r="O157" s="48" t="s">
        <v>149</v>
      </c>
      <c r="P157" s="48">
        <f>HEX2DEC(RIGHT(Table132321279[[#This Row],[h1]],8))</f>
        <v>0</v>
      </c>
      <c r="Q157" s="48" t="s">
        <v>149</v>
      </c>
      <c r="R157" s="48">
        <f>HEX2DEC(RIGHT(Table132321279[[#This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349</v>
      </c>
      <c r="E158" s="56">
        <v>100000</v>
      </c>
      <c r="F158" s="57">
        <v>5</v>
      </c>
      <c r="G158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624</v>
      </c>
      <c r="J158" s="24">
        <v>50000</v>
      </c>
      <c r="M158" s="24">
        <v>50000</v>
      </c>
      <c r="O158" s="48" t="s">
        <v>149</v>
      </c>
      <c r="P158" s="48">
        <f>HEX2DEC(RIGHT(Table132321279[[#This Row],[h1]],8))</f>
        <v>0</v>
      </c>
      <c r="Q158" s="48" t="s">
        <v>149</v>
      </c>
      <c r="R158" s="48">
        <f>HEX2DEC(RIGHT(Table132321279[[#This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350</v>
      </c>
      <c r="E159" s="56">
        <v>200000</v>
      </c>
      <c r="F159" s="57">
        <v>6</v>
      </c>
      <c r="G159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311.5</v>
      </c>
      <c r="J159" s="24">
        <v>50000</v>
      </c>
      <c r="M159" s="24">
        <v>50000</v>
      </c>
      <c r="O159" s="48" t="s">
        <v>149</v>
      </c>
      <c r="P159" s="48">
        <f>HEX2DEC(RIGHT(Table132321279[[#This Row],[h1]],8))</f>
        <v>0</v>
      </c>
      <c r="Q159" s="48" t="s">
        <v>149</v>
      </c>
      <c r="R159" s="48">
        <f>HEX2DEC(RIGHT(Table132321279[[#This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351</v>
      </c>
      <c r="E160" s="56">
        <v>300000</v>
      </c>
      <c r="F160" s="57">
        <v>7</v>
      </c>
      <c r="G160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207.33333333333334</v>
      </c>
      <c r="J160" s="24">
        <v>50000</v>
      </c>
      <c r="M160" s="24">
        <v>50000</v>
      </c>
      <c r="O160" s="48" t="s">
        <v>149</v>
      </c>
      <c r="P160" s="48">
        <f>HEX2DEC(RIGHT(Table132321279[[#This Row],[h1]],8))</f>
        <v>0</v>
      </c>
      <c r="Q160" s="48" t="s">
        <v>149</v>
      </c>
      <c r="R160" s="48">
        <f>HEX2DEC(RIGHT(Table132321279[[#This Row],[h2]],8))</f>
        <v>0</v>
      </c>
    </row>
    <row r="161" spans="1:25" x14ac:dyDescent="0.3">
      <c r="A161" s="15" t="str">
        <f t="shared" si="7"/>
        <v>097</v>
      </c>
      <c r="B161" s="15">
        <v>151</v>
      </c>
      <c r="C161" s="42"/>
      <c r="D161" s="15" t="s">
        <v>352</v>
      </c>
      <c r="E161" s="56">
        <v>400000</v>
      </c>
      <c r="F161" s="57">
        <v>8</v>
      </c>
      <c r="G161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155.25</v>
      </c>
      <c r="J161" s="24">
        <v>50000</v>
      </c>
      <c r="M161" s="24">
        <v>50000</v>
      </c>
      <c r="O161" s="48" t="s">
        <v>149</v>
      </c>
      <c r="P161" s="48">
        <f>HEX2DEC(RIGHT(Table132321279[[#This Row],[h1]],8))</f>
        <v>0</v>
      </c>
      <c r="Q161" s="48" t="s">
        <v>149</v>
      </c>
      <c r="R161" s="48">
        <f>HEX2DEC(RIGHT(Table132321279[[#This Row],[h2]],8))</f>
        <v>0</v>
      </c>
    </row>
    <row r="162" spans="1:25" x14ac:dyDescent="0.3">
      <c r="A162" s="15" t="str">
        <f t="shared" si="7"/>
        <v>098</v>
      </c>
      <c r="B162" s="15">
        <v>152</v>
      </c>
      <c r="C162" s="42"/>
      <c r="D162" s="15" t="s">
        <v>353</v>
      </c>
      <c r="E162" s="56">
        <v>500000</v>
      </c>
      <c r="F162" s="57">
        <v>9</v>
      </c>
      <c r="G162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124</v>
      </c>
      <c r="J162" s="24">
        <v>50000</v>
      </c>
      <c r="M162" s="24">
        <v>50000</v>
      </c>
      <c r="O162" s="48" t="s">
        <v>149</v>
      </c>
      <c r="P162" s="48">
        <f>HEX2DEC(RIGHT(Table132321279[[#This Row],[h1]],8))</f>
        <v>0</v>
      </c>
      <c r="Q162" s="48" t="s">
        <v>149</v>
      </c>
      <c r="R162" s="48">
        <f>HEX2DEC(RIGHT(Table132321279[[#This Row],[h2]],8))</f>
        <v>0</v>
      </c>
    </row>
    <row r="163" spans="1:25" x14ac:dyDescent="0.3">
      <c r="A163" s="15" t="str">
        <f t="shared" si="7"/>
        <v>099</v>
      </c>
      <c r="B163" s="15">
        <v>153</v>
      </c>
      <c r="C163" s="42"/>
      <c r="D163" s="15" t="s">
        <v>354</v>
      </c>
      <c r="E163" s="56">
        <v>600000</v>
      </c>
      <c r="F163" s="57">
        <v>10</v>
      </c>
      <c r="G163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103.16666666666667</v>
      </c>
      <c r="J163" s="24">
        <v>50000</v>
      </c>
      <c r="M163" s="24">
        <v>50000</v>
      </c>
      <c r="O163" s="48" t="s">
        <v>149</v>
      </c>
      <c r="P163" s="48">
        <f>HEX2DEC(RIGHT(Table132321279[[#This Row],[h1]],8))</f>
        <v>0</v>
      </c>
      <c r="Q163" s="48" t="s">
        <v>149</v>
      </c>
      <c r="R163" s="48">
        <f>HEX2DEC(RIGHT(Table132321279[[#This Row],[h2]],8))</f>
        <v>0</v>
      </c>
    </row>
    <row r="164" spans="1:25" x14ac:dyDescent="0.3">
      <c r="A164" s="15" t="str">
        <f t="shared" si="7"/>
        <v>09A</v>
      </c>
      <c r="B164" s="15">
        <v>154</v>
      </c>
      <c r="C164" s="42"/>
      <c r="D164" s="15" t="s">
        <v>355</v>
      </c>
      <c r="E164" s="56">
        <v>700000</v>
      </c>
      <c r="F164" s="57">
        <v>11</v>
      </c>
      <c r="G164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88.285714285714292</v>
      </c>
      <c r="J164" s="24">
        <v>50000</v>
      </c>
      <c r="M164" s="24">
        <v>50000</v>
      </c>
      <c r="O164" s="48" t="s">
        <v>149</v>
      </c>
      <c r="P164" s="48">
        <f>HEX2DEC(RIGHT(Table132321279[[#This Row],[h1]],8))</f>
        <v>0</v>
      </c>
      <c r="Q164" s="48" t="s">
        <v>149</v>
      </c>
      <c r="R164" s="48">
        <f>HEX2DEC(RIGHT(Table132321279[[#This Row],[h2]],8))</f>
        <v>0</v>
      </c>
    </row>
    <row r="165" spans="1:25" x14ac:dyDescent="0.3">
      <c r="A165" s="15" t="str">
        <f t="shared" si="7"/>
        <v>09B</v>
      </c>
      <c r="B165" s="15">
        <v>155</v>
      </c>
      <c r="C165" s="42"/>
      <c r="D165" s="15" t="s">
        <v>356</v>
      </c>
      <c r="E165" s="56">
        <v>800000</v>
      </c>
      <c r="F165" s="57">
        <v>12</v>
      </c>
      <c r="G165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77.125</v>
      </c>
      <c r="J165" s="24">
        <v>50000</v>
      </c>
      <c r="M165" s="24">
        <v>50000</v>
      </c>
      <c r="O165" s="48" t="s">
        <v>149</v>
      </c>
      <c r="P165" s="48">
        <f>HEX2DEC(RIGHT(Table132321279[[#This Row],[h1]],8))</f>
        <v>0</v>
      </c>
      <c r="Q165" s="48" t="s">
        <v>149</v>
      </c>
      <c r="R165" s="48">
        <f>HEX2DEC(RIGHT(Table132321279[[#This Row],[h2]],8))</f>
        <v>0</v>
      </c>
    </row>
    <row r="166" spans="1:25" x14ac:dyDescent="0.3">
      <c r="A166" s="15" t="str">
        <f t="shared" si="7"/>
        <v>09C</v>
      </c>
      <c r="B166" s="15">
        <v>156</v>
      </c>
      <c r="C166" s="42"/>
      <c r="D166" s="15" t="s">
        <v>357</v>
      </c>
      <c r="E166" s="56">
        <v>900000</v>
      </c>
      <c r="F166" s="57">
        <v>13</v>
      </c>
      <c r="G166" s="58">
        <f>IF(IF(Table1319257[[#This Row],[value]]="",Table1319257[[#This Row],[dec val]],1/(2*Table1319257[[#This Row],[value]])*$E$152-1)&lt;0,0,IF(Table1319257[[#This Row],[value]]="",Table1319257[[#This Row],[dec val]],1/(2*Table1319257[[#This Row],[value]])*$E$152-1))</f>
        <v>68.444444444444443</v>
      </c>
      <c r="J166" s="24">
        <v>50000</v>
      </c>
      <c r="M166" s="24">
        <v>50000</v>
      </c>
      <c r="O166" s="48" t="s">
        <v>149</v>
      </c>
      <c r="P166" s="48">
        <f>HEX2DEC(RIGHT(Table132321279[[#This Row],[h1]],8))</f>
        <v>0</v>
      </c>
      <c r="Q166" s="48" t="s">
        <v>149</v>
      </c>
      <c r="R166" s="48">
        <f>HEX2DEC(RIGHT(Table132321279[[#This Row],[h2]],8))</f>
        <v>0</v>
      </c>
      <c r="Y166" s="15">
        <f>IF(Table1319257[[#This Row],[value]]="",  IF(Table1319257[[#This Row],[dec val]]="", $E$152/2-1, Table1319257[[#This Row],[dec val]]), IF( Table1319257[[#This Row],[value]] &lt; 1, $E$152/2-1, ((1/Table1319257[[#This Row],[value]])*$E$152-1)))</f>
        <v>137.88888888888889</v>
      </c>
    </row>
    <row r="167" spans="1:25" x14ac:dyDescent="0.3">
      <c r="A167" s="15" t="str">
        <f t="shared" si="7"/>
        <v>09D</v>
      </c>
      <c r="B167" s="15">
        <v>157</v>
      </c>
      <c r="C167" s="42"/>
      <c r="E167" s="25"/>
      <c r="F167" s="22"/>
      <c r="G167" s="23"/>
      <c r="J167" s="24">
        <v>50000</v>
      </c>
      <c r="M167" s="24">
        <v>50000</v>
      </c>
      <c r="O167" s="48" t="s">
        <v>149</v>
      </c>
      <c r="P167" s="48">
        <f>HEX2DEC(RIGHT(Table132321279[[#This Row],[h1]],8))</f>
        <v>0</v>
      </c>
      <c r="Q167" s="48" t="s">
        <v>149</v>
      </c>
      <c r="R167" s="48">
        <f>HEX2DEC(RIGHT(Table132321279[[#This Row],[h2]],8))</f>
        <v>0</v>
      </c>
    </row>
    <row r="168" spans="1:25" x14ac:dyDescent="0.3">
      <c r="A168" s="15" t="str">
        <f t="shared" si="7"/>
        <v>09E</v>
      </c>
      <c r="B168" s="15">
        <v>158</v>
      </c>
      <c r="C168" s="42"/>
      <c r="D168" s="15" t="s">
        <v>358</v>
      </c>
      <c r="G168" s="48" t="s">
        <v>94</v>
      </c>
      <c r="J168" s="24">
        <v>50000</v>
      </c>
      <c r="M168" s="24">
        <v>50000</v>
      </c>
      <c r="O168" s="48" t="s">
        <v>149</v>
      </c>
      <c r="P168" s="48">
        <f>HEX2DEC(RIGHT(Table132321279[[#This Row],[h1]],8))</f>
        <v>0</v>
      </c>
      <c r="Q168" s="48" t="s">
        <v>149</v>
      </c>
      <c r="R168" s="48">
        <f>HEX2DEC(RIGHT(Table132321279[[#This Row],[h2]],8))</f>
        <v>0</v>
      </c>
    </row>
    <row r="169" spans="1:25" x14ac:dyDescent="0.3">
      <c r="A169" s="15" t="str">
        <f t="shared" si="7"/>
        <v>09F</v>
      </c>
      <c r="B169" s="15">
        <v>159</v>
      </c>
      <c r="C169" s="42"/>
      <c r="D169" s="15" t="s">
        <v>359</v>
      </c>
      <c r="G169" s="48" t="s">
        <v>94</v>
      </c>
      <c r="J169" s="24">
        <v>50000</v>
      </c>
      <c r="M169" s="24">
        <v>50000</v>
      </c>
      <c r="O169" s="48" t="s">
        <v>149</v>
      </c>
      <c r="P169" s="48">
        <f>HEX2DEC(RIGHT(Table132321279[[#This Row],[h1]],8))</f>
        <v>0</v>
      </c>
      <c r="Q169" s="48" t="s">
        <v>149</v>
      </c>
      <c r="R169" s="48">
        <f>HEX2DEC(RIGHT(Table132321279[[#This Row],[h2]],8))</f>
        <v>0</v>
      </c>
    </row>
    <row r="170" spans="1:25" x14ac:dyDescent="0.3">
      <c r="A170" s="15" t="str">
        <f t="shared" si="7"/>
        <v>0A0</v>
      </c>
      <c r="B170" s="15">
        <v>160</v>
      </c>
      <c r="C170" s="42"/>
      <c r="D170" s="15" t="s">
        <v>360</v>
      </c>
      <c r="G170" s="48" t="s">
        <v>94</v>
      </c>
      <c r="J170" s="24">
        <v>50000</v>
      </c>
      <c r="M170" s="24">
        <v>50000</v>
      </c>
      <c r="O170" s="48" t="s">
        <v>149</v>
      </c>
      <c r="P170" s="48">
        <f>HEX2DEC(RIGHT(Table132321279[[#This Row],[h1]],8))</f>
        <v>0</v>
      </c>
      <c r="Q170" s="48" t="s">
        <v>149</v>
      </c>
      <c r="R170" s="48">
        <f>HEX2DEC(RIGHT(Table132321279[[#This Row],[h2]],8))</f>
        <v>0</v>
      </c>
    </row>
    <row r="171" spans="1:25" x14ac:dyDescent="0.3">
      <c r="A171" s="15" t="str">
        <f t="shared" si="7"/>
        <v>0A1</v>
      </c>
      <c r="B171" s="15">
        <v>161</v>
      </c>
      <c r="C171" s="42"/>
      <c r="D171" s="15" t="s">
        <v>361</v>
      </c>
      <c r="G171" s="48" t="s">
        <v>94</v>
      </c>
      <c r="J171" s="24">
        <v>50000</v>
      </c>
      <c r="M171" s="24">
        <v>50000</v>
      </c>
      <c r="O171" s="48" t="s">
        <v>149</v>
      </c>
      <c r="P171" s="48">
        <f>HEX2DEC(RIGHT(Table132321279[[#This Row],[h1]],8))</f>
        <v>0</v>
      </c>
      <c r="Q171" s="48" t="s">
        <v>149</v>
      </c>
      <c r="R171" s="48">
        <f>HEX2DEC(RIGHT(Table132321279[[#This Row],[h2]],8))</f>
        <v>0</v>
      </c>
    </row>
    <row r="172" spans="1:25" x14ac:dyDescent="0.3">
      <c r="A172" s="15" t="str">
        <f t="shared" si="7"/>
        <v>0A2</v>
      </c>
      <c r="B172" s="15">
        <v>162</v>
      </c>
      <c r="C172" s="42"/>
      <c r="D172" s="15" t="s">
        <v>362</v>
      </c>
      <c r="G172" s="48" t="s">
        <v>94</v>
      </c>
      <c r="J172" s="24">
        <v>50000</v>
      </c>
      <c r="M172" s="24">
        <v>50000</v>
      </c>
      <c r="O172" s="48" t="s">
        <v>149</v>
      </c>
      <c r="P172" s="48">
        <f>HEX2DEC(RIGHT(Table132321279[[#This Row],[h1]],8))</f>
        <v>0</v>
      </c>
      <c r="Q172" s="48" t="s">
        <v>149</v>
      </c>
      <c r="R172" s="48">
        <f>HEX2DEC(RIGHT(Table132321279[[#This Row],[h2]],8))</f>
        <v>0</v>
      </c>
    </row>
    <row r="173" spans="1:25" x14ac:dyDescent="0.3">
      <c r="A173" s="15" t="str">
        <f t="shared" si="7"/>
        <v>0A3</v>
      </c>
      <c r="B173" s="15">
        <v>163</v>
      </c>
      <c r="C173" s="42"/>
      <c r="D173" s="15" t="s">
        <v>363</v>
      </c>
      <c r="G173" s="48" t="s">
        <v>94</v>
      </c>
      <c r="J173" s="24">
        <v>50000</v>
      </c>
      <c r="M173" s="24">
        <v>50000</v>
      </c>
      <c r="O173" s="48" t="s">
        <v>149</v>
      </c>
      <c r="P173" s="48">
        <f>HEX2DEC(RIGHT(Table132321279[[#This Row],[h1]],8))</f>
        <v>0</v>
      </c>
      <c r="Q173" s="48" t="s">
        <v>149</v>
      </c>
      <c r="R173" s="48">
        <f>HEX2DEC(RIGHT(Table132321279[[#This Row],[h2]],8))</f>
        <v>0</v>
      </c>
    </row>
    <row r="174" spans="1:25" x14ac:dyDescent="0.3">
      <c r="A174" s="15" t="str">
        <f t="shared" si="7"/>
        <v>0A4</v>
      </c>
      <c r="B174" s="15">
        <v>164</v>
      </c>
      <c r="C174" s="42"/>
      <c r="D174" s="15" t="s">
        <v>364</v>
      </c>
      <c r="G174" s="48" t="s">
        <v>94</v>
      </c>
      <c r="J174" s="24">
        <v>50000</v>
      </c>
      <c r="M174" s="24">
        <v>50000</v>
      </c>
      <c r="O174" s="48" t="s">
        <v>149</v>
      </c>
      <c r="P174" s="48">
        <f>HEX2DEC(RIGHT(Table132321279[[#This Row],[h1]],8))</f>
        <v>0</v>
      </c>
      <c r="Q174" s="48" t="s">
        <v>149</v>
      </c>
      <c r="R174" s="48">
        <f>HEX2DEC(RIGHT(Table132321279[[#This Row],[h2]],8))</f>
        <v>0</v>
      </c>
    </row>
    <row r="175" spans="1:25" x14ac:dyDescent="0.3">
      <c r="A175" s="15" t="str">
        <f t="shared" si="7"/>
        <v>0A5</v>
      </c>
      <c r="B175" s="15">
        <v>165</v>
      </c>
      <c r="C175" s="42"/>
      <c r="D175" s="15" t="s">
        <v>365</v>
      </c>
      <c r="G175" s="48" t="s">
        <v>94</v>
      </c>
      <c r="J175" s="24">
        <v>50000</v>
      </c>
      <c r="M175" s="24">
        <v>50000</v>
      </c>
      <c r="O175" s="48" t="s">
        <v>149</v>
      </c>
      <c r="P175" s="48">
        <f>HEX2DEC(RIGHT(Table132321279[[#This Row],[h1]],8))</f>
        <v>0</v>
      </c>
      <c r="Q175" s="48" t="s">
        <v>149</v>
      </c>
      <c r="R175" s="48">
        <f>HEX2DEC(RIGHT(Table132321279[[#This Row],[h2]],8))</f>
        <v>0</v>
      </c>
    </row>
    <row r="176" spans="1:25" x14ac:dyDescent="0.3">
      <c r="A176" s="15" t="str">
        <f t="shared" si="7"/>
        <v>0A6</v>
      </c>
      <c r="B176" s="15">
        <v>166</v>
      </c>
      <c r="C176" s="42"/>
      <c r="G176" s="48"/>
      <c r="J176" s="24">
        <v>50000</v>
      </c>
      <c r="M176" s="24">
        <v>50000</v>
      </c>
      <c r="O176" s="48" t="s">
        <v>149</v>
      </c>
      <c r="P176" s="48">
        <f>HEX2DEC(RIGHT(Table132321279[[#This Row],[h1]],8))</f>
        <v>0</v>
      </c>
      <c r="Q176" s="48" t="s">
        <v>149</v>
      </c>
      <c r="R176" s="48">
        <f>HEX2DEC(RIGHT(Table132321279[[#This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366</v>
      </c>
      <c r="G177" s="48" t="s">
        <v>94</v>
      </c>
      <c r="J177" s="24">
        <v>50000</v>
      </c>
      <c r="M177" s="24">
        <v>50000</v>
      </c>
      <c r="O177" s="48" t="s">
        <v>149</v>
      </c>
      <c r="P177" s="48">
        <f>HEX2DEC(RIGHT(Table132321279[[#This Row],[h1]],8))</f>
        <v>0</v>
      </c>
      <c r="Q177" s="48" t="s">
        <v>149</v>
      </c>
      <c r="R177" s="48">
        <f>HEX2DEC(RIGHT(Table132321279[[#This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367</v>
      </c>
      <c r="G178" s="48" t="s">
        <v>94</v>
      </c>
      <c r="J178" s="24">
        <v>50000</v>
      </c>
      <c r="M178" s="24">
        <v>50000</v>
      </c>
      <c r="O178" s="48" t="s">
        <v>149</v>
      </c>
      <c r="P178" s="48">
        <f>HEX2DEC(RIGHT(Table132321279[[#This Row],[h1]],8))</f>
        <v>0</v>
      </c>
      <c r="Q178" s="48" t="s">
        <v>149</v>
      </c>
      <c r="R178" s="48">
        <f>HEX2DEC(RIGHT(Table132321279[[#This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368</v>
      </c>
      <c r="G179" s="48" t="s">
        <v>94</v>
      </c>
      <c r="J179" s="24">
        <v>50000</v>
      </c>
      <c r="M179" s="24">
        <v>50000</v>
      </c>
      <c r="O179" s="48" t="s">
        <v>149</v>
      </c>
      <c r="P179" s="48">
        <f>HEX2DEC(RIGHT(Table132321279[[#This Row],[h1]],8))</f>
        <v>0</v>
      </c>
      <c r="Q179" s="48" t="s">
        <v>149</v>
      </c>
      <c r="R179" s="48">
        <f>HEX2DEC(RIGHT(Table132321279[[#This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369</v>
      </c>
      <c r="G180" s="48" t="s">
        <v>94</v>
      </c>
      <c r="J180" s="24">
        <v>50000</v>
      </c>
      <c r="M180" s="24">
        <v>50000</v>
      </c>
      <c r="O180" s="48" t="s">
        <v>149</v>
      </c>
      <c r="P180" s="48">
        <f>HEX2DEC(RIGHT(Table132321279[[#This Row],[h1]],8))</f>
        <v>0</v>
      </c>
      <c r="Q180" s="48" t="s">
        <v>149</v>
      </c>
      <c r="R180" s="48">
        <f>HEX2DEC(RIGHT(Table132321279[[#This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370</v>
      </c>
      <c r="G181" s="48" t="s">
        <v>94</v>
      </c>
      <c r="J181" s="24">
        <v>50000</v>
      </c>
      <c r="M181" s="24">
        <v>50000</v>
      </c>
      <c r="O181" s="48" t="s">
        <v>149</v>
      </c>
      <c r="P181" s="48">
        <f>HEX2DEC(RIGHT(Table132321279[[#This Row],[h1]],8))</f>
        <v>0</v>
      </c>
      <c r="Q181" s="48" t="s">
        <v>149</v>
      </c>
      <c r="R181" s="48">
        <f>HEX2DEC(RIGHT(Table132321279[[#This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371</v>
      </c>
      <c r="G182" s="48" t="s">
        <v>94</v>
      </c>
      <c r="J182" s="24">
        <v>50000</v>
      </c>
      <c r="M182" s="24">
        <v>50000</v>
      </c>
      <c r="O182" s="48" t="s">
        <v>149</v>
      </c>
      <c r="P182" s="48">
        <f>HEX2DEC(RIGHT(Table132321279[[#This Row],[h1]],8))</f>
        <v>0</v>
      </c>
      <c r="Q182" s="48" t="s">
        <v>149</v>
      </c>
      <c r="R182" s="48">
        <f>HEX2DEC(RIGHT(Table132321279[[#This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372</v>
      </c>
      <c r="G183" s="48" t="s">
        <v>94</v>
      </c>
      <c r="J183" s="24">
        <v>50000</v>
      </c>
      <c r="M183" s="24">
        <v>50000</v>
      </c>
      <c r="O183" s="48" t="s">
        <v>149</v>
      </c>
      <c r="P183" s="48">
        <f>HEX2DEC(RIGHT(Table132321279[[#This Row],[h1]],8))</f>
        <v>0</v>
      </c>
      <c r="Q183" s="48" t="s">
        <v>149</v>
      </c>
      <c r="R183" s="48">
        <f>HEX2DEC(RIGHT(Table132321279[[#This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373</v>
      </c>
      <c r="G184" s="48" t="s">
        <v>94</v>
      </c>
      <c r="J184" s="24">
        <v>50000</v>
      </c>
      <c r="M184" s="24">
        <v>50000</v>
      </c>
      <c r="O184" s="48" t="s">
        <v>149</v>
      </c>
      <c r="P184" s="48">
        <f>HEX2DEC(RIGHT(Table132321279[[#This Row],[h1]],8))</f>
        <v>0</v>
      </c>
      <c r="Q184" s="48" t="s">
        <v>149</v>
      </c>
      <c r="R184" s="48">
        <f>HEX2DEC(RIGHT(Table132321279[[#This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374</v>
      </c>
      <c r="G185" s="48" t="s">
        <v>94</v>
      </c>
      <c r="J185" s="24">
        <v>50000</v>
      </c>
      <c r="M185" s="24">
        <v>50000</v>
      </c>
      <c r="O185" s="48" t="s">
        <v>149</v>
      </c>
      <c r="P185" s="48">
        <f>HEX2DEC(RIGHT(Table132321279[[#This Row],[h1]],8))</f>
        <v>0</v>
      </c>
      <c r="Q185" s="48" t="s">
        <v>149</v>
      </c>
      <c r="R185" s="48">
        <f>HEX2DEC(RIGHT(Table132321279[[#This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375</v>
      </c>
      <c r="G186" s="48" t="s">
        <v>94</v>
      </c>
      <c r="J186" s="24">
        <v>50000</v>
      </c>
      <c r="M186" s="24">
        <v>50000</v>
      </c>
      <c r="O186" s="48" t="s">
        <v>149</v>
      </c>
      <c r="P186" s="48">
        <f>HEX2DEC(RIGHT(Table132321279[[#This Row],[h1]],8))</f>
        <v>0</v>
      </c>
      <c r="Q186" s="48" t="s">
        <v>149</v>
      </c>
      <c r="R186" s="48">
        <f>HEX2DEC(RIGHT(Table132321279[[#This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376</v>
      </c>
      <c r="G187" s="48" t="s">
        <v>94</v>
      </c>
      <c r="J187" s="24">
        <v>50000</v>
      </c>
      <c r="M187" s="24">
        <v>50000</v>
      </c>
      <c r="O187" s="48" t="s">
        <v>149</v>
      </c>
      <c r="P187" s="48">
        <f>HEX2DEC(RIGHT(Table132321279[[#This Row],[h1]],8))</f>
        <v>0</v>
      </c>
      <c r="Q187" s="48" t="s">
        <v>149</v>
      </c>
      <c r="R187" s="48">
        <f>HEX2DEC(RIGHT(Table132321279[[#This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377</v>
      </c>
      <c r="G188" s="48" t="s">
        <v>94</v>
      </c>
      <c r="J188" s="24">
        <v>50000</v>
      </c>
      <c r="M188" s="24">
        <v>50000</v>
      </c>
      <c r="O188" s="48" t="s">
        <v>149</v>
      </c>
      <c r="P188" s="48">
        <f>HEX2DEC(RIGHT(Table132321279[[#This Row],[h1]],8))</f>
        <v>0</v>
      </c>
      <c r="Q188" s="48" t="s">
        <v>149</v>
      </c>
      <c r="R188" s="48">
        <f>HEX2DEC(RIGHT(Table132321279[[#This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378</v>
      </c>
      <c r="G189" s="48" t="s">
        <v>94</v>
      </c>
      <c r="J189" s="24">
        <v>50000</v>
      </c>
      <c r="M189" s="24">
        <v>50000</v>
      </c>
      <c r="O189" s="48" t="s">
        <v>149</v>
      </c>
      <c r="P189" s="48">
        <f>HEX2DEC(RIGHT(Table132321279[[#This Row],[h1]],8))</f>
        <v>0</v>
      </c>
      <c r="Q189" s="48" t="s">
        <v>149</v>
      </c>
      <c r="R189" s="48">
        <f>HEX2DEC(RIGHT(Table132321279[[#This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379</v>
      </c>
      <c r="G190" s="48" t="s">
        <v>94</v>
      </c>
      <c r="J190" s="24">
        <v>50000</v>
      </c>
      <c r="M190" s="24">
        <v>50000</v>
      </c>
      <c r="O190" s="48" t="s">
        <v>149</v>
      </c>
      <c r="P190" s="48">
        <f>HEX2DEC(RIGHT(Table132321279[[#This Row],[h1]],8))</f>
        <v>0</v>
      </c>
      <c r="Q190" s="48" t="s">
        <v>149</v>
      </c>
      <c r="R190" s="48">
        <f>HEX2DEC(RIGHT(Table132321279[[#This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380</v>
      </c>
      <c r="G191" s="48" t="s">
        <v>94</v>
      </c>
      <c r="J191" s="24">
        <v>50000</v>
      </c>
      <c r="M191" s="24">
        <v>50000</v>
      </c>
      <c r="O191" s="48" t="s">
        <v>149</v>
      </c>
      <c r="P191" s="48">
        <f>HEX2DEC(RIGHT(Table132321279[[#This Row],[h1]],8))</f>
        <v>0</v>
      </c>
      <c r="Q191" s="48" t="s">
        <v>149</v>
      </c>
      <c r="R191" s="48">
        <f>HEX2DEC(RIGHT(Table132321279[[#This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27" t="s">
        <v>381</v>
      </c>
      <c r="E192" s="27"/>
      <c r="F192" s="27"/>
      <c r="G192" s="48" t="s">
        <v>94</v>
      </c>
      <c r="J192" s="24">
        <v>50000</v>
      </c>
      <c r="M192" s="24">
        <v>50000</v>
      </c>
      <c r="O192" s="48" t="s">
        <v>149</v>
      </c>
      <c r="P192" s="48">
        <f>HEX2DEC(RIGHT(Table132321279[[#This Row],[h1]],8))</f>
        <v>0</v>
      </c>
      <c r="Q192" s="48" t="s">
        <v>149</v>
      </c>
      <c r="R192" s="48">
        <f>HEX2DEC(RIGHT(Table132321279[[#This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382</v>
      </c>
      <c r="G193" s="48" t="s">
        <v>94</v>
      </c>
      <c r="J193" s="24">
        <v>50000</v>
      </c>
      <c r="M193" s="24">
        <v>50000</v>
      </c>
      <c r="O193" s="48" t="s">
        <v>149</v>
      </c>
      <c r="P193" s="48">
        <f>HEX2DEC(RIGHT(Table132321279[[#This Row],[h1]],8))</f>
        <v>0</v>
      </c>
      <c r="Q193" s="48" t="s">
        <v>149</v>
      </c>
      <c r="R193" s="48">
        <f>HEX2DEC(RIGHT(Table132321279[[#This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383</v>
      </c>
      <c r="G194" s="48" t="s">
        <v>94</v>
      </c>
      <c r="J194" s="24">
        <v>50000</v>
      </c>
      <c r="M194" s="24">
        <v>50000</v>
      </c>
      <c r="O194" s="48" t="s">
        <v>149</v>
      </c>
      <c r="P194" s="48">
        <f>HEX2DEC(RIGHT(Table132321279[[#This Row],[h1]],8))</f>
        <v>0</v>
      </c>
      <c r="Q194" s="48" t="s">
        <v>149</v>
      </c>
      <c r="R194" s="48">
        <f>HEX2DEC(RIGHT(Table132321279[[#This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384</v>
      </c>
      <c r="G195" s="48" t="s">
        <v>94</v>
      </c>
      <c r="J195" s="24">
        <v>50000</v>
      </c>
      <c r="M195" s="24">
        <v>50000</v>
      </c>
      <c r="O195" s="48" t="s">
        <v>149</v>
      </c>
      <c r="P195" s="48">
        <f>HEX2DEC(RIGHT(Table132321279[[#This Row],[h1]],8))</f>
        <v>0</v>
      </c>
      <c r="Q195" s="48" t="s">
        <v>149</v>
      </c>
      <c r="R195" s="48">
        <f>HEX2DEC(RIGHT(Table132321279[[#This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385</v>
      </c>
      <c r="G196" s="48" t="s">
        <v>94</v>
      </c>
      <c r="J196" s="24">
        <v>50000</v>
      </c>
      <c r="M196" s="24">
        <v>50000</v>
      </c>
      <c r="O196" s="48" t="s">
        <v>149</v>
      </c>
      <c r="P196" s="48">
        <f>HEX2DEC(RIGHT(Table132321279[[#This Row],[h1]],8))</f>
        <v>0</v>
      </c>
      <c r="Q196" s="48" t="s">
        <v>149</v>
      </c>
      <c r="R196" s="48">
        <f>HEX2DEC(RIGHT(Table132321279[[#This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386</v>
      </c>
      <c r="G197" s="48" t="s">
        <v>94</v>
      </c>
      <c r="J197" s="24">
        <v>50000</v>
      </c>
      <c r="M197" s="24">
        <v>50000</v>
      </c>
      <c r="O197" s="48" t="s">
        <v>149</v>
      </c>
      <c r="P197" s="48">
        <f>HEX2DEC(RIGHT(Table132321279[[#This Row],[h1]],8))</f>
        <v>0</v>
      </c>
      <c r="Q197" s="48" t="s">
        <v>149</v>
      </c>
      <c r="R197" s="48">
        <f>HEX2DEC(RIGHT(Table132321279[[#This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387</v>
      </c>
      <c r="G198" s="48" t="s">
        <v>94</v>
      </c>
      <c r="J198" s="24">
        <v>50000</v>
      </c>
      <c r="M198" s="24">
        <v>50000</v>
      </c>
      <c r="O198" s="48" t="s">
        <v>149</v>
      </c>
      <c r="P198" s="48">
        <f>HEX2DEC(RIGHT(Table132321279[[#This Row],[h1]],8))</f>
        <v>0</v>
      </c>
      <c r="Q198" s="48" t="s">
        <v>149</v>
      </c>
      <c r="R198" s="48">
        <f>HEX2DEC(RIGHT(Table132321279[[#This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388</v>
      </c>
      <c r="G199" s="48" t="s">
        <v>94</v>
      </c>
      <c r="J199" s="24">
        <v>50000</v>
      </c>
      <c r="M199" s="24">
        <v>50000</v>
      </c>
      <c r="O199" s="48" t="s">
        <v>149</v>
      </c>
      <c r="P199" s="48">
        <f>HEX2DEC(RIGHT(Table132321279[[#This Row],[h1]],8))</f>
        <v>0</v>
      </c>
      <c r="Q199" s="48" t="s">
        <v>149</v>
      </c>
      <c r="R199" s="48">
        <f>HEX2DEC(RIGHT(Table132321279[[#This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389</v>
      </c>
      <c r="G200" s="48" t="s">
        <v>94</v>
      </c>
      <c r="J200" s="24">
        <v>50000</v>
      </c>
      <c r="M200" s="24">
        <v>50000</v>
      </c>
      <c r="O200" s="48" t="s">
        <v>149</v>
      </c>
      <c r="P200" s="48">
        <f>HEX2DEC(RIGHT(Table132321279[[#This Row],[h1]],8))</f>
        <v>0</v>
      </c>
      <c r="Q200" s="48" t="s">
        <v>149</v>
      </c>
      <c r="R200" s="48">
        <f>HEX2DEC(RIGHT(Table132321279[[#This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390</v>
      </c>
      <c r="G201" s="48" t="s">
        <v>94</v>
      </c>
      <c r="J201" s="24">
        <v>50000</v>
      </c>
      <c r="M201" s="24">
        <v>50000</v>
      </c>
      <c r="O201" s="48" t="s">
        <v>149</v>
      </c>
      <c r="P201" s="48">
        <f>HEX2DEC(RIGHT(Table132321279[[#This Row],[h1]],8))</f>
        <v>0</v>
      </c>
      <c r="Q201" s="48" t="s">
        <v>149</v>
      </c>
      <c r="R201" s="48">
        <f>HEX2DEC(RIGHT(Table132321279[[#This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391</v>
      </c>
      <c r="G202" s="48" t="s">
        <v>94</v>
      </c>
      <c r="J202" s="24">
        <v>50000</v>
      </c>
      <c r="M202" s="24">
        <v>50000</v>
      </c>
      <c r="O202" s="48" t="s">
        <v>149</v>
      </c>
      <c r="P202" s="48">
        <f>HEX2DEC(RIGHT(Table132321279[[#This Row],[h1]],8))</f>
        <v>0</v>
      </c>
      <c r="Q202" s="48" t="s">
        <v>149</v>
      </c>
      <c r="R202" s="48">
        <f>HEX2DEC(RIGHT(Table132321279[[#This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392</v>
      </c>
      <c r="G203" s="48" t="s">
        <v>94</v>
      </c>
      <c r="J203" s="24">
        <v>50000</v>
      </c>
      <c r="M203" s="24">
        <v>50000</v>
      </c>
      <c r="O203" s="48" t="s">
        <v>149</v>
      </c>
      <c r="P203" s="48">
        <f>HEX2DEC(RIGHT(Table132321279[[#This Row],[h1]],8))</f>
        <v>0</v>
      </c>
      <c r="Q203" s="48" t="s">
        <v>149</v>
      </c>
      <c r="R203" s="48">
        <f>HEX2DEC(RIGHT(Table132321279[[#This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393</v>
      </c>
      <c r="G204" s="48" t="s">
        <v>94</v>
      </c>
      <c r="J204" s="24">
        <v>50000</v>
      </c>
      <c r="M204" s="24">
        <v>50000</v>
      </c>
      <c r="O204" s="48" t="s">
        <v>149</v>
      </c>
      <c r="P204" s="48">
        <f>HEX2DEC(RIGHT(Table132321279[[#This Row],[h1]],8))</f>
        <v>0</v>
      </c>
      <c r="Q204" s="48" t="s">
        <v>149</v>
      </c>
      <c r="R204" s="48">
        <f>HEX2DEC(RIGHT(Table132321279[[#This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394</v>
      </c>
      <c r="G205" s="48" t="s">
        <v>94</v>
      </c>
      <c r="J205" s="24">
        <v>50000</v>
      </c>
      <c r="M205" s="24">
        <v>50000</v>
      </c>
      <c r="O205" s="48" t="s">
        <v>149</v>
      </c>
      <c r="P205" s="48">
        <f>HEX2DEC(RIGHT(Table132321279[[#This Row],[h1]],8))</f>
        <v>0</v>
      </c>
      <c r="Q205" s="48" t="s">
        <v>149</v>
      </c>
      <c r="R205" s="48">
        <f>HEX2DEC(RIGHT(Table132321279[[#This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395</v>
      </c>
      <c r="G206" s="48" t="s">
        <v>94</v>
      </c>
      <c r="J206" s="24">
        <v>50000</v>
      </c>
      <c r="M206" s="24">
        <v>50000</v>
      </c>
      <c r="O206" s="48" t="s">
        <v>149</v>
      </c>
      <c r="P206" s="48">
        <f>HEX2DEC(RIGHT(Table132321279[[#This Row],[h1]],8))</f>
        <v>0</v>
      </c>
      <c r="Q206" s="48" t="s">
        <v>149</v>
      </c>
      <c r="R206" s="48">
        <f>HEX2DEC(RIGHT(Table132321279[[#This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396</v>
      </c>
      <c r="G207" s="48" t="s">
        <v>94</v>
      </c>
      <c r="J207" s="24">
        <v>50000</v>
      </c>
      <c r="M207" s="24">
        <v>50000</v>
      </c>
      <c r="O207" s="48" t="s">
        <v>149</v>
      </c>
      <c r="P207" s="48">
        <f>HEX2DEC(RIGHT(Table132321279[[#This Row],[h1]],8))</f>
        <v>0</v>
      </c>
      <c r="Q207" s="48" t="s">
        <v>149</v>
      </c>
      <c r="R207" s="48">
        <f>HEX2DEC(RIGHT(Table132321279[[#This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J208" s="24">
        <v>50000</v>
      </c>
      <c r="M208" s="24">
        <v>50000</v>
      </c>
      <c r="O208" s="48" t="s">
        <v>149</v>
      </c>
      <c r="P208" s="48">
        <f>HEX2DEC(RIGHT(Table132321279[[#This Row],[h1]],8))</f>
        <v>0</v>
      </c>
      <c r="Q208" s="48" t="s">
        <v>149</v>
      </c>
      <c r="R208" s="48">
        <f>HEX2DEC(RIGHT(Table132321279[[#This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397</v>
      </c>
      <c r="G209" s="48">
        <v>1</v>
      </c>
      <c r="J209" s="24">
        <v>50000</v>
      </c>
      <c r="M209" s="24">
        <v>50000</v>
      </c>
      <c r="O209" s="48" t="s">
        <v>149</v>
      </c>
      <c r="P209" s="48">
        <f>HEX2DEC(RIGHT(Table132321279[[#This Row],[h1]],8))</f>
        <v>0</v>
      </c>
      <c r="Q209" s="48" t="s">
        <v>149</v>
      </c>
      <c r="R209" s="48">
        <f>HEX2DEC(RIGHT(Table132321279[[#This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398</v>
      </c>
      <c r="G210" s="48">
        <v>0</v>
      </c>
      <c r="J210" s="24">
        <v>50000</v>
      </c>
      <c r="M210" s="24">
        <v>50000</v>
      </c>
      <c r="O210" s="48" t="s">
        <v>149</v>
      </c>
      <c r="P210" s="48">
        <f>HEX2DEC(RIGHT(Table132321279[[#This Row],[h1]],8))</f>
        <v>0</v>
      </c>
      <c r="Q210" s="48" t="s">
        <v>149</v>
      </c>
      <c r="R210" s="48">
        <f>HEX2DEC(RIGHT(Table132321279[[#This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399</v>
      </c>
      <c r="G211" s="48">
        <v>0</v>
      </c>
      <c r="J211" s="24">
        <v>50000</v>
      </c>
      <c r="M211" s="24">
        <v>50000</v>
      </c>
      <c r="O211" s="48" t="s">
        <v>149</v>
      </c>
      <c r="P211" s="48">
        <f>HEX2DEC(RIGHT(Table132321279[[#This Row],[h1]],8))</f>
        <v>0</v>
      </c>
      <c r="Q211" s="48" t="s">
        <v>149</v>
      </c>
      <c r="R211" s="48">
        <f>HEX2DEC(RIGHT(Table132321279[[#This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400</v>
      </c>
      <c r="G212" s="48">
        <v>0</v>
      </c>
      <c r="J212" s="24">
        <v>50000</v>
      </c>
      <c r="M212" s="24">
        <v>50000</v>
      </c>
      <c r="O212" s="48" t="s">
        <v>149</v>
      </c>
      <c r="P212" s="48">
        <f>HEX2DEC(RIGHT(Table132321279[[#This Row],[h1]],8))</f>
        <v>0</v>
      </c>
      <c r="Q212" s="48" t="s">
        <v>149</v>
      </c>
      <c r="R212" s="48">
        <f>HEX2DEC(RIGHT(Table132321279[[#This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401</v>
      </c>
      <c r="G213" s="48">
        <v>0</v>
      </c>
      <c r="J213" s="24">
        <v>50000</v>
      </c>
      <c r="M213" s="24">
        <v>50000</v>
      </c>
      <c r="O213" s="48" t="s">
        <v>149</v>
      </c>
      <c r="P213" s="48">
        <f>HEX2DEC(RIGHT(Table132321279[[#This Row],[h1]],8))</f>
        <v>0</v>
      </c>
      <c r="Q213" s="48" t="s">
        <v>149</v>
      </c>
      <c r="R213" s="48">
        <f>HEX2DEC(RIGHT(Table132321279[[#This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402</v>
      </c>
      <c r="G214" s="48">
        <v>0</v>
      </c>
      <c r="J214" s="24">
        <v>50000</v>
      </c>
      <c r="M214" s="24">
        <v>50000</v>
      </c>
      <c r="O214" s="48" t="s">
        <v>149</v>
      </c>
      <c r="P214" s="48">
        <f>HEX2DEC(RIGHT(Table132321279[[#This Row],[h1]],8))</f>
        <v>0</v>
      </c>
      <c r="Q214" s="48" t="s">
        <v>149</v>
      </c>
      <c r="R214" s="48">
        <f>HEX2DEC(RIGHT(Table132321279[[#This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403</v>
      </c>
      <c r="G215" s="48">
        <v>0</v>
      </c>
      <c r="J215" s="24">
        <v>50000</v>
      </c>
      <c r="M215" s="24">
        <v>50000</v>
      </c>
      <c r="O215" s="48" t="s">
        <v>149</v>
      </c>
      <c r="P215" s="48">
        <f>HEX2DEC(RIGHT(Table132321279[[#This Row],[h1]],8))</f>
        <v>0</v>
      </c>
      <c r="Q215" s="48" t="s">
        <v>149</v>
      </c>
      <c r="R215" s="48">
        <f>HEX2DEC(RIGHT(Table132321279[[#This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404</v>
      </c>
      <c r="G216" s="48">
        <v>0</v>
      </c>
      <c r="J216" s="24">
        <v>50000</v>
      </c>
      <c r="M216" s="24">
        <v>50000</v>
      </c>
      <c r="O216" s="48" t="s">
        <v>149</v>
      </c>
      <c r="P216" s="48">
        <f>HEX2DEC(RIGHT(Table132321279[[#This Row],[h1]],8))</f>
        <v>0</v>
      </c>
      <c r="Q216" s="48" t="s">
        <v>149</v>
      </c>
      <c r="R216" s="48">
        <f>HEX2DEC(RIGHT(Table132321279[[#This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405</v>
      </c>
      <c r="G217" s="48">
        <v>0</v>
      </c>
      <c r="J217" s="24">
        <v>50000</v>
      </c>
      <c r="M217" s="24">
        <v>50000</v>
      </c>
      <c r="O217" s="48" t="s">
        <v>149</v>
      </c>
      <c r="P217" s="48">
        <f>HEX2DEC(RIGHT(Table132321279[[#This Row],[h1]],8))</f>
        <v>0</v>
      </c>
      <c r="Q217" s="48" t="s">
        <v>149</v>
      </c>
      <c r="R217" s="48">
        <f>HEX2DEC(RIGHT(Table132321279[[#This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406</v>
      </c>
      <c r="G218" s="48">
        <v>0</v>
      </c>
      <c r="J218" s="24">
        <v>50000</v>
      </c>
      <c r="M218" s="24">
        <v>50000</v>
      </c>
      <c r="O218" s="48" t="s">
        <v>149</v>
      </c>
      <c r="P218" s="48">
        <f>HEX2DEC(RIGHT(Table132321279[[#This Row],[h1]],8))</f>
        <v>0</v>
      </c>
      <c r="Q218" s="48" t="s">
        <v>149</v>
      </c>
      <c r="R218" s="48">
        <f>HEX2DEC(RIGHT(Table132321279[[#This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407</v>
      </c>
      <c r="G219" s="48">
        <v>0</v>
      </c>
      <c r="J219" s="24">
        <v>50000</v>
      </c>
      <c r="M219" s="24">
        <v>50000</v>
      </c>
      <c r="O219" s="48" t="s">
        <v>149</v>
      </c>
      <c r="P219" s="48">
        <f>HEX2DEC(RIGHT(Table132321279[[#This Row],[h1]],8))</f>
        <v>0</v>
      </c>
      <c r="Q219" s="48" t="s">
        <v>149</v>
      </c>
      <c r="R219" s="48">
        <f>HEX2DEC(RIGHT(Table132321279[[#This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408</v>
      </c>
      <c r="G220" s="48">
        <v>0</v>
      </c>
      <c r="J220" s="24">
        <v>50000</v>
      </c>
      <c r="M220" s="24">
        <v>50000</v>
      </c>
      <c r="O220" s="48" t="s">
        <v>149</v>
      </c>
      <c r="P220" s="48">
        <f>HEX2DEC(RIGHT(Table132321279[[#This Row],[h1]],8))</f>
        <v>0</v>
      </c>
      <c r="Q220" s="48" t="s">
        <v>149</v>
      </c>
      <c r="R220" s="48">
        <f>HEX2DEC(RIGHT(Table132321279[[#This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409</v>
      </c>
      <c r="G221" s="48">
        <v>0</v>
      </c>
      <c r="J221" s="24">
        <v>50000</v>
      </c>
      <c r="M221" s="24">
        <v>50000</v>
      </c>
      <c r="O221" s="48" t="s">
        <v>149</v>
      </c>
      <c r="P221" s="48">
        <f>HEX2DEC(RIGHT(Table132321279[[#This Row],[h1]],8))</f>
        <v>0</v>
      </c>
      <c r="Q221" s="48" t="s">
        <v>149</v>
      </c>
      <c r="R221" s="48">
        <f>HEX2DEC(RIGHT(Table132321279[[#This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410</v>
      </c>
      <c r="G222" s="48">
        <v>0</v>
      </c>
      <c r="J222" s="24">
        <v>50000</v>
      </c>
      <c r="M222" s="24">
        <v>50000</v>
      </c>
      <c r="O222" s="48" t="s">
        <v>149</v>
      </c>
      <c r="P222" s="48">
        <f>HEX2DEC(RIGHT(Table132321279[[#This Row],[h1]],8))</f>
        <v>0</v>
      </c>
      <c r="Q222" s="48" t="s">
        <v>149</v>
      </c>
      <c r="R222" s="48">
        <f>HEX2DEC(RIGHT(Table132321279[[#This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411</v>
      </c>
      <c r="G223" s="48">
        <v>0</v>
      </c>
      <c r="J223" s="24">
        <v>50000</v>
      </c>
      <c r="M223" s="24">
        <v>50000</v>
      </c>
      <c r="O223" s="48" t="s">
        <v>149</v>
      </c>
      <c r="P223" s="48">
        <f>HEX2DEC(RIGHT(Table132321279[[#This Row],[h1]],8))</f>
        <v>0</v>
      </c>
      <c r="Q223" s="48" t="s">
        <v>149</v>
      </c>
      <c r="R223" s="48">
        <f>HEX2DEC(RIGHT(Table132321279[[#This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412</v>
      </c>
      <c r="G224" s="48">
        <v>0</v>
      </c>
      <c r="J224" s="24">
        <v>50000</v>
      </c>
      <c r="M224" s="24">
        <v>50000</v>
      </c>
      <c r="O224" s="48" t="s">
        <v>149</v>
      </c>
      <c r="P224" s="48">
        <f>HEX2DEC(RIGHT(Table132321279[[#This Row],[h1]],8))</f>
        <v>0</v>
      </c>
      <c r="Q224" s="48" t="s">
        <v>149</v>
      </c>
      <c r="R224" s="48">
        <f>HEX2DEC(RIGHT(Table132321279[[#This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413</v>
      </c>
      <c r="G225" s="48">
        <v>0</v>
      </c>
      <c r="J225" s="24">
        <v>50000</v>
      </c>
      <c r="M225" s="24">
        <v>50000</v>
      </c>
      <c r="O225" s="48" t="s">
        <v>149</v>
      </c>
      <c r="P225" s="48">
        <f>HEX2DEC(RIGHT(Table132321279[[#This Row],[h1]],8))</f>
        <v>0</v>
      </c>
      <c r="Q225" s="48" t="s">
        <v>149</v>
      </c>
      <c r="R225" s="48">
        <f>HEX2DEC(RIGHT(Table132321279[[#This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414</v>
      </c>
      <c r="G226" s="48">
        <v>0</v>
      </c>
      <c r="J226" s="24">
        <v>50000</v>
      </c>
      <c r="M226" s="24">
        <v>50000</v>
      </c>
      <c r="O226" s="48" t="s">
        <v>149</v>
      </c>
      <c r="P226" s="48">
        <f>HEX2DEC(RIGHT(Table132321279[[#This Row],[h1]],8))</f>
        <v>0</v>
      </c>
      <c r="Q226" s="48" t="s">
        <v>149</v>
      </c>
      <c r="R226" s="48">
        <f>HEX2DEC(RIGHT(Table132321279[[#This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415</v>
      </c>
      <c r="G227" s="48">
        <v>0</v>
      </c>
      <c r="J227" s="24">
        <v>50000</v>
      </c>
      <c r="M227" s="24">
        <v>50000</v>
      </c>
      <c r="O227" s="48" t="s">
        <v>149</v>
      </c>
      <c r="P227" s="48">
        <f>HEX2DEC(RIGHT(Table132321279[[#This Row],[h1]],8))</f>
        <v>0</v>
      </c>
      <c r="Q227" s="48" t="s">
        <v>149</v>
      </c>
      <c r="R227" s="48">
        <f>HEX2DEC(RIGHT(Table132321279[[#This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416</v>
      </c>
      <c r="G228" s="48">
        <v>0</v>
      </c>
      <c r="J228" s="24">
        <v>50000</v>
      </c>
      <c r="M228" s="24">
        <v>50000</v>
      </c>
      <c r="O228" s="48" t="s">
        <v>149</v>
      </c>
      <c r="P228" s="48">
        <f>HEX2DEC(RIGHT(Table132321279[[#This Row],[h1]],8))</f>
        <v>0</v>
      </c>
      <c r="Q228" s="48" t="s">
        <v>149</v>
      </c>
      <c r="R228" s="48">
        <f>HEX2DEC(RIGHT(Table132321279[[#This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417</v>
      </c>
      <c r="G229" s="48">
        <v>0</v>
      </c>
      <c r="J229" s="24">
        <v>50000</v>
      </c>
      <c r="M229" s="24">
        <v>50000</v>
      </c>
      <c r="O229" s="48" t="s">
        <v>149</v>
      </c>
      <c r="P229" s="48">
        <f>HEX2DEC(RIGHT(Table132321279[[#This Row],[h1]],8))</f>
        <v>0</v>
      </c>
      <c r="Q229" s="48" t="s">
        <v>149</v>
      </c>
      <c r="R229" s="48">
        <f>HEX2DEC(RIGHT(Table132321279[[#This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418</v>
      </c>
      <c r="G230" s="48">
        <v>0</v>
      </c>
      <c r="J230" s="24">
        <v>50000</v>
      </c>
      <c r="M230" s="24">
        <v>50000</v>
      </c>
      <c r="O230" s="48" t="s">
        <v>149</v>
      </c>
      <c r="P230" s="48">
        <f>HEX2DEC(RIGHT(Table132321279[[#This Row],[h1]],8))</f>
        <v>0</v>
      </c>
      <c r="Q230" s="48" t="s">
        <v>149</v>
      </c>
      <c r="R230" s="48">
        <f>HEX2DEC(RIGHT(Table132321279[[#This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419</v>
      </c>
      <c r="G231" s="48">
        <v>0</v>
      </c>
      <c r="J231" s="24">
        <v>50000</v>
      </c>
      <c r="M231" s="24">
        <v>50000</v>
      </c>
      <c r="O231" s="48" t="s">
        <v>149</v>
      </c>
      <c r="P231" s="48">
        <f>HEX2DEC(RIGHT(Table132321279[[#This Row],[h1]],8))</f>
        <v>0</v>
      </c>
      <c r="Q231" s="48" t="s">
        <v>149</v>
      </c>
      <c r="R231" s="48">
        <f>HEX2DEC(RIGHT(Table132321279[[#This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420</v>
      </c>
      <c r="G232" s="48">
        <v>0</v>
      </c>
      <c r="J232" s="24">
        <v>50000</v>
      </c>
      <c r="M232" s="24">
        <v>50000</v>
      </c>
      <c r="O232" s="48" t="s">
        <v>149</v>
      </c>
      <c r="P232" s="48">
        <f>HEX2DEC(RIGHT(Table132321279[[#This Row],[h1]],8))</f>
        <v>0</v>
      </c>
      <c r="Q232" s="48" t="s">
        <v>149</v>
      </c>
      <c r="R232" s="48">
        <f>HEX2DEC(RIGHT(Table132321279[[#This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421</v>
      </c>
      <c r="G233" s="48">
        <v>0</v>
      </c>
      <c r="J233" s="24">
        <v>50000</v>
      </c>
      <c r="M233" s="24">
        <v>50000</v>
      </c>
      <c r="O233" s="48" t="s">
        <v>149</v>
      </c>
      <c r="P233" s="48">
        <f>HEX2DEC(RIGHT(Table132321279[[#This Row],[h1]],8))</f>
        <v>0</v>
      </c>
      <c r="Q233" s="48" t="s">
        <v>149</v>
      </c>
      <c r="R233" s="48">
        <f>HEX2DEC(RIGHT(Table132321279[[#This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422</v>
      </c>
      <c r="G234" s="48">
        <v>0</v>
      </c>
      <c r="J234" s="24">
        <v>50000</v>
      </c>
      <c r="M234" s="24">
        <v>50000</v>
      </c>
      <c r="O234" s="48" t="s">
        <v>149</v>
      </c>
      <c r="P234" s="48">
        <f>HEX2DEC(RIGHT(Table132321279[[#This Row],[h1]],8))</f>
        <v>0</v>
      </c>
      <c r="Q234" s="48" t="s">
        <v>149</v>
      </c>
      <c r="R234" s="48">
        <f>HEX2DEC(RIGHT(Table132321279[[#This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423</v>
      </c>
      <c r="G235" s="48">
        <v>0</v>
      </c>
      <c r="J235" s="24">
        <v>50000</v>
      </c>
      <c r="M235" s="24">
        <v>50000</v>
      </c>
      <c r="O235" s="48" t="s">
        <v>149</v>
      </c>
      <c r="P235" s="48">
        <f>HEX2DEC(RIGHT(Table132321279[[#This Row],[h1]],8))</f>
        <v>0</v>
      </c>
      <c r="Q235" s="48" t="s">
        <v>149</v>
      </c>
      <c r="R235" s="48">
        <f>HEX2DEC(RIGHT(Table132321279[[#This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424</v>
      </c>
      <c r="G236" s="48">
        <v>0</v>
      </c>
      <c r="J236" s="24">
        <v>50000</v>
      </c>
      <c r="M236" s="24">
        <v>50000</v>
      </c>
      <c r="O236" s="48" t="s">
        <v>149</v>
      </c>
      <c r="P236" s="48">
        <f>HEX2DEC(RIGHT(Table132321279[[#This Row],[h1]],8))</f>
        <v>0</v>
      </c>
      <c r="Q236" s="48" t="s">
        <v>149</v>
      </c>
      <c r="R236" s="48">
        <f>HEX2DEC(RIGHT(Table132321279[[#This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425</v>
      </c>
      <c r="G237" s="48">
        <v>0</v>
      </c>
      <c r="J237" s="24">
        <v>50000</v>
      </c>
      <c r="M237" s="24">
        <v>50000</v>
      </c>
      <c r="O237" s="48" t="s">
        <v>149</v>
      </c>
      <c r="P237" s="48">
        <f>HEX2DEC(RIGHT(Table132321279[[#This Row],[h1]],8))</f>
        <v>0</v>
      </c>
      <c r="Q237" s="48" t="s">
        <v>149</v>
      </c>
      <c r="R237" s="48">
        <f>HEX2DEC(RIGHT(Table132321279[[#This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426</v>
      </c>
      <c r="G238" s="48">
        <v>0</v>
      </c>
      <c r="J238" s="24">
        <v>50000</v>
      </c>
      <c r="M238" s="24">
        <v>50000</v>
      </c>
      <c r="O238" s="48" t="s">
        <v>149</v>
      </c>
      <c r="P238" s="48">
        <f>HEX2DEC(RIGHT(Table132321279[[#This Row],[h1]],8))</f>
        <v>0</v>
      </c>
      <c r="Q238" s="48" t="s">
        <v>149</v>
      </c>
      <c r="R238" s="48">
        <f>HEX2DEC(RIGHT(Table132321279[[#This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427</v>
      </c>
      <c r="G239" s="48">
        <v>0</v>
      </c>
      <c r="J239" s="24">
        <v>50000</v>
      </c>
      <c r="M239" s="24">
        <v>50000</v>
      </c>
      <c r="O239" s="48" t="s">
        <v>149</v>
      </c>
      <c r="P239" s="48">
        <f>HEX2DEC(RIGHT(Table132321279[[#This Row],[h1]],8))</f>
        <v>0</v>
      </c>
      <c r="Q239" s="48" t="s">
        <v>149</v>
      </c>
      <c r="R239" s="48">
        <f>HEX2DEC(RIGHT(Table132321279[[#This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8" t="s">
        <v>149</v>
      </c>
      <c r="P240" s="48">
        <f>HEX2DEC(RIGHT(Table132321279[[#This Row],[h1]],8))</f>
        <v>0</v>
      </c>
      <c r="Q240" s="48" t="s">
        <v>149</v>
      </c>
      <c r="R240" s="48">
        <f>HEX2DEC(RIGHT(Table132321279[[#This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J241" s="24">
        <v>50000</v>
      </c>
      <c r="M241" s="24">
        <v>50000</v>
      </c>
      <c r="O241" s="48" t="s">
        <v>149</v>
      </c>
      <c r="P241" s="48">
        <f>HEX2DEC(RIGHT(Table132321279[[#This Row],[h1]],8))</f>
        <v>0</v>
      </c>
      <c r="Q241" s="48" t="s">
        <v>149</v>
      </c>
      <c r="R241" s="48">
        <f>HEX2DEC(RIGHT(Table132321279[[#This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G242" s="35" t="s">
        <v>46</v>
      </c>
      <c r="J242" s="24">
        <v>50000</v>
      </c>
      <c r="M242" s="24">
        <v>50000</v>
      </c>
      <c r="O242" s="48" t="s">
        <v>149</v>
      </c>
      <c r="P242" s="48">
        <f>HEX2DEC(RIGHT(Table132321279[[#This Row],[h1]],8))</f>
        <v>0</v>
      </c>
      <c r="Q242" s="48" t="s">
        <v>149</v>
      </c>
      <c r="R242" s="48">
        <f>HEX2DEC(RIGHT(Table132321279[[#This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F243" s="26"/>
      <c r="G243" s="37" t="s">
        <v>101</v>
      </c>
      <c r="J243" s="24">
        <v>50000</v>
      </c>
      <c r="M243" s="24">
        <v>50000</v>
      </c>
      <c r="O243" s="48" t="s">
        <v>149</v>
      </c>
      <c r="P243" s="48">
        <f>HEX2DEC(RIGHT(Table132321279[[#This Row],[h1]],8))</f>
        <v>0</v>
      </c>
      <c r="Q243" s="48" t="s">
        <v>149</v>
      </c>
      <c r="R243" s="48">
        <f>HEX2DEC(RIGHT(Table132321279[[#This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428</v>
      </c>
      <c r="F244" s="26"/>
      <c r="G244" s="15">
        <v>-1</v>
      </c>
      <c r="J244" s="24">
        <v>50000</v>
      </c>
      <c r="M244" s="24">
        <v>50000</v>
      </c>
      <c r="O244" s="48" t="s">
        <v>149</v>
      </c>
      <c r="P244" s="48">
        <f>HEX2DEC(RIGHT(Table132321279[[#This Row],[h1]],8))</f>
        <v>0</v>
      </c>
      <c r="Q244" s="48" t="s">
        <v>149</v>
      </c>
      <c r="R244" s="48">
        <f>HEX2DEC(RIGHT(Table132321279[[#This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429</v>
      </c>
      <c r="G245" s="15">
        <v>1000</v>
      </c>
      <c r="J245" s="24">
        <v>50000</v>
      </c>
      <c r="M245" s="24">
        <v>50000</v>
      </c>
      <c r="O245" s="48" t="s">
        <v>149</v>
      </c>
      <c r="P245" s="48">
        <f>HEX2DEC(RIGHT(Table132321279[[#This Row],[h1]],8))</f>
        <v>0</v>
      </c>
      <c r="Q245" s="48" t="s">
        <v>149</v>
      </c>
      <c r="R245" s="48">
        <f>HEX2DEC(RIGHT(Table132321279[[#This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8" t="s">
        <v>149</v>
      </c>
      <c r="P246" s="48">
        <f>HEX2DEC(RIGHT(Table132321279[[#This Row],[h1]],8))</f>
        <v>0</v>
      </c>
      <c r="Q246" s="48" t="s">
        <v>149</v>
      </c>
      <c r="R246" s="48">
        <f>HEX2DEC(RIGHT(Table132321279[[#This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J247" s="24">
        <v>50000</v>
      </c>
      <c r="M247" s="24">
        <v>50000</v>
      </c>
      <c r="O247" s="48" t="s">
        <v>149</v>
      </c>
      <c r="P247" s="48">
        <f>HEX2DEC(RIGHT(Table132321279[[#This Row],[h1]],8))</f>
        <v>0</v>
      </c>
      <c r="Q247" s="48" t="s">
        <v>149</v>
      </c>
      <c r="R247" s="48">
        <f>HEX2DEC(RIGHT(Table132321279[[#This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430</v>
      </c>
      <c r="G248" s="15" t="s">
        <v>154</v>
      </c>
      <c r="J248" s="24">
        <v>50000</v>
      </c>
      <c r="M248" s="24">
        <v>50000</v>
      </c>
      <c r="O248" s="48" t="s">
        <v>149</v>
      </c>
      <c r="P248" s="48">
        <f>HEX2DEC(RIGHT(Table132321279[[#This Row],[h1]],8))</f>
        <v>0</v>
      </c>
      <c r="Q248" s="48" t="s">
        <v>149</v>
      </c>
      <c r="R248" s="48">
        <f>HEX2DEC(RIGHT(Table132321279[[#This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431</v>
      </c>
      <c r="G249" s="15" t="s">
        <v>146</v>
      </c>
      <c r="J249" s="24">
        <v>50000</v>
      </c>
      <c r="M249" s="24">
        <v>50000</v>
      </c>
      <c r="O249" s="48" t="s">
        <v>149</v>
      </c>
      <c r="P249" s="48">
        <f>HEX2DEC(RIGHT(Table132321279[[#This Row],[h1]],8))</f>
        <v>0</v>
      </c>
      <c r="Q249" s="48" t="s">
        <v>149</v>
      </c>
      <c r="R249" s="48">
        <f>HEX2DEC(RIGHT(Table132321279[[#This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8" t="s">
        <v>149</v>
      </c>
      <c r="P250" s="48">
        <f>HEX2DEC(RIGHT(Table132321279[[#This Row],[h1]],8))</f>
        <v>0</v>
      </c>
      <c r="Q250" s="48" t="s">
        <v>149</v>
      </c>
      <c r="R250" s="48">
        <f>HEX2DEC(RIGHT(Table132321279[[#This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J251" s="24">
        <v>50000</v>
      </c>
      <c r="M251" s="24">
        <v>50000</v>
      </c>
      <c r="O251" s="48" t="s">
        <v>149</v>
      </c>
      <c r="P251" s="48">
        <f>HEX2DEC(RIGHT(Table132321279[[#This Row],[h1]],8))</f>
        <v>0</v>
      </c>
      <c r="Q251" s="48" t="s">
        <v>149</v>
      </c>
      <c r="R251" s="48">
        <f>HEX2DEC(RIGHT(Table132321279[[#This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F252" s="35" t="s">
        <v>45</v>
      </c>
      <c r="J252" s="24">
        <v>50000</v>
      </c>
      <c r="M252" s="24">
        <v>50000</v>
      </c>
      <c r="O252" s="48" t="s">
        <v>149</v>
      </c>
      <c r="P252" s="48">
        <f>HEX2DEC(RIGHT(Table132321279[[#This Row],[h1]],8))</f>
        <v>0</v>
      </c>
      <c r="Q252" s="48" t="s">
        <v>149</v>
      </c>
      <c r="R252" s="48">
        <f>HEX2DEC(RIGHT(Table132321279[[#This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432</v>
      </c>
      <c r="E253" s="15" t="s">
        <v>106</v>
      </c>
      <c r="G253" s="15">
        <f>IF(Table1319257[[#This Row],[dec val]]="",0,1)</f>
        <v>0</v>
      </c>
      <c r="J253" s="24">
        <v>50000</v>
      </c>
      <c r="M253" s="24">
        <v>50000</v>
      </c>
      <c r="O253" s="48" t="s">
        <v>149</v>
      </c>
      <c r="P253" s="48">
        <f>HEX2DEC(RIGHT(Table132321279[[#This Row],[h1]],8))</f>
        <v>0</v>
      </c>
      <c r="Q253" s="48" t="s">
        <v>149</v>
      </c>
      <c r="R253" s="48">
        <f>HEX2DEC(RIGHT(Table132321279[[#This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433</v>
      </c>
      <c r="E254" s="15" t="s">
        <v>107</v>
      </c>
      <c r="G254" s="15">
        <f>IF(Table1319257[[#This Row],[dec val]]="",0,1)</f>
        <v>0</v>
      </c>
      <c r="J254" s="24">
        <v>50000</v>
      </c>
      <c r="M254" s="24">
        <v>50000</v>
      </c>
      <c r="O254" s="48" t="s">
        <v>149</v>
      </c>
      <c r="P254" s="48">
        <f>HEX2DEC(RIGHT(Table132321279[[#This Row],[h1]],8))</f>
        <v>0</v>
      </c>
      <c r="Q254" s="48" t="s">
        <v>149</v>
      </c>
      <c r="R254" s="48">
        <f>HEX2DEC(RIGHT(Table132321279[[#This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434</v>
      </c>
      <c r="E255" s="15" t="s">
        <v>108</v>
      </c>
      <c r="G255" s="15">
        <f>IF(Table1319257[[#This Row],[dec val]]="",0,1)</f>
        <v>0</v>
      </c>
      <c r="J255" s="24">
        <v>50000</v>
      </c>
      <c r="M255" s="24">
        <v>50000</v>
      </c>
      <c r="O255" s="48" t="s">
        <v>149</v>
      </c>
      <c r="P255" s="48">
        <f>HEX2DEC(RIGHT(Table132321279[[#This Row],[h1]],8))</f>
        <v>0</v>
      </c>
      <c r="Q255" s="48" t="s">
        <v>149</v>
      </c>
      <c r="R255" s="48">
        <f>HEX2DEC(RIGHT(Table132321279[[#This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435</v>
      </c>
      <c r="E256" s="15" t="s">
        <v>109</v>
      </c>
      <c r="G256" s="15">
        <f>IF(Table1319257[[#This Row],[dec val]]="",0,1)</f>
        <v>0</v>
      </c>
      <c r="J256" s="24">
        <v>50000</v>
      </c>
      <c r="M256" s="24">
        <v>50000</v>
      </c>
      <c r="O256" s="48" t="s">
        <v>149</v>
      </c>
      <c r="P256" s="48">
        <f>HEX2DEC(RIGHT(Table132321279[[#This Row],[h1]],8))</f>
        <v>0</v>
      </c>
      <c r="Q256" s="48" t="s">
        <v>149</v>
      </c>
      <c r="R256" s="48">
        <f>HEX2DEC(RIGHT(Table132321279[[#This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436</v>
      </c>
      <c r="E257" s="15" t="s">
        <v>110</v>
      </c>
      <c r="G257" s="15">
        <f>IF(Table1319257[[#This Row],[dec val]]="",0,1)</f>
        <v>0</v>
      </c>
      <c r="J257" s="24">
        <v>50000</v>
      </c>
      <c r="M257" s="24">
        <v>50000</v>
      </c>
      <c r="O257" s="48" t="s">
        <v>149</v>
      </c>
      <c r="P257" s="48">
        <f>HEX2DEC(RIGHT(Table132321279[[#This Row],[h1]],8))</f>
        <v>0</v>
      </c>
      <c r="Q257" s="48" t="s">
        <v>149</v>
      </c>
      <c r="R257" s="48">
        <f>HEX2DEC(RIGHT(Table132321279[[#This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437</v>
      </c>
      <c r="E258" s="15" t="s">
        <v>111</v>
      </c>
      <c r="G258" s="15">
        <f>IF(Table1319257[[#This Row],[dec val]]="",0,1)</f>
        <v>0</v>
      </c>
      <c r="J258" s="24">
        <v>50000</v>
      </c>
      <c r="M258" s="24">
        <v>50000</v>
      </c>
      <c r="O258" s="48" t="s">
        <v>149</v>
      </c>
      <c r="P258" s="48">
        <f>HEX2DEC(RIGHT(Table132321279[[#This Row],[h1]],8))</f>
        <v>0</v>
      </c>
      <c r="Q258" s="48" t="s">
        <v>149</v>
      </c>
      <c r="R258" s="48">
        <f>HEX2DEC(RIGHT(Table132321279[[#This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438</v>
      </c>
      <c r="E259" s="15" t="s">
        <v>112</v>
      </c>
      <c r="G259" s="15">
        <f>IF(Table1319257[[#This Row],[dec val]]="",0,1)</f>
        <v>0</v>
      </c>
      <c r="J259" s="24">
        <v>50000</v>
      </c>
      <c r="M259" s="24">
        <v>50000</v>
      </c>
      <c r="O259" s="48" t="s">
        <v>149</v>
      </c>
      <c r="P259" s="48">
        <f>HEX2DEC(RIGHT(Table132321279[[#This Row],[h1]],8))</f>
        <v>0</v>
      </c>
      <c r="Q259" s="48" t="s">
        <v>149</v>
      </c>
      <c r="R259" s="48">
        <f>HEX2DEC(RIGHT(Table132321279[[#This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439</v>
      </c>
      <c r="E260" s="15" t="s">
        <v>113</v>
      </c>
      <c r="G260" s="15">
        <f>IF(Table1319257[[#This Row],[dec val]]="",0,1)</f>
        <v>0</v>
      </c>
      <c r="J260" s="24">
        <v>50000</v>
      </c>
      <c r="M260" s="24">
        <v>50000</v>
      </c>
      <c r="O260" s="48" t="s">
        <v>149</v>
      </c>
      <c r="P260" s="48">
        <f>HEX2DEC(RIGHT(Table132321279[[#This Row],[h1]],8))</f>
        <v>0</v>
      </c>
      <c r="Q260" s="48" t="s">
        <v>149</v>
      </c>
      <c r="R260" s="48">
        <f>HEX2DEC(RIGHT(Table132321279[[#This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440</v>
      </c>
      <c r="E261" s="15" t="s">
        <v>114</v>
      </c>
      <c r="G261" s="15">
        <f>IF(Table1319257[[#This Row],[dec val]]="",0,1)</f>
        <v>0</v>
      </c>
      <c r="J261" s="24">
        <v>50000</v>
      </c>
      <c r="M261" s="24">
        <v>50000</v>
      </c>
      <c r="O261" s="48" t="s">
        <v>149</v>
      </c>
      <c r="P261" s="48">
        <f>HEX2DEC(RIGHT(Table132321279[[#This Row],[h1]],8))</f>
        <v>0</v>
      </c>
      <c r="Q261" s="48" t="s">
        <v>149</v>
      </c>
      <c r="R261" s="48">
        <f>HEX2DEC(RIGHT(Table132321279[[#This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441</v>
      </c>
      <c r="E262" s="15" t="s">
        <v>115</v>
      </c>
      <c r="G262" s="15">
        <f>IF(Table1319257[[#This Row],[dec val]]="",0,1)</f>
        <v>0</v>
      </c>
      <c r="J262" s="24">
        <v>50000</v>
      </c>
      <c r="M262" s="24">
        <v>50000</v>
      </c>
      <c r="O262" s="48" t="s">
        <v>149</v>
      </c>
      <c r="P262" s="48">
        <f>HEX2DEC(RIGHT(Table132321279[[#This Row],[h1]],8))</f>
        <v>0</v>
      </c>
      <c r="Q262" s="48" t="s">
        <v>149</v>
      </c>
      <c r="R262" s="48">
        <f>HEX2DEC(RIGHT(Table132321279[[#This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442</v>
      </c>
      <c r="E263" s="15" t="s">
        <v>116</v>
      </c>
      <c r="G263" s="15">
        <f>IF(Table1319257[[#This Row],[dec val]]="",0,1)</f>
        <v>0</v>
      </c>
      <c r="J263" s="24">
        <v>50000</v>
      </c>
      <c r="M263" s="24">
        <v>50000</v>
      </c>
      <c r="O263" s="48" t="s">
        <v>149</v>
      </c>
      <c r="P263" s="48">
        <f>HEX2DEC(RIGHT(Table132321279[[#This Row],[h1]],8))</f>
        <v>0</v>
      </c>
      <c r="Q263" s="48" t="s">
        <v>149</v>
      </c>
      <c r="R263" s="48">
        <f>HEX2DEC(RIGHT(Table132321279[[#This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443</v>
      </c>
      <c r="E264" s="15" t="s">
        <v>117</v>
      </c>
      <c r="G264" s="15">
        <f>IF(Table1319257[[#This Row],[dec val]]="",0,1)</f>
        <v>0</v>
      </c>
      <c r="J264" s="24">
        <v>50000</v>
      </c>
      <c r="M264" s="24">
        <v>50000</v>
      </c>
      <c r="O264" s="48" t="s">
        <v>149</v>
      </c>
      <c r="P264" s="48">
        <f>HEX2DEC(RIGHT(Table132321279[[#This Row],[h1]],8))</f>
        <v>0</v>
      </c>
      <c r="Q264" s="48" t="s">
        <v>149</v>
      </c>
      <c r="R264" s="48">
        <f>HEX2DEC(RIGHT(Table132321279[[#This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444</v>
      </c>
      <c r="E265" s="15" t="s">
        <v>118</v>
      </c>
      <c r="G265" s="15">
        <f>IF(Table1319257[[#This Row],[dec val]]="",0,1)</f>
        <v>0</v>
      </c>
      <c r="J265" s="24">
        <v>50000</v>
      </c>
      <c r="M265" s="24">
        <v>50000</v>
      </c>
      <c r="O265" s="48" t="s">
        <v>149</v>
      </c>
      <c r="P265" s="48">
        <f>HEX2DEC(RIGHT(Table132321279[[#This Row],[h1]],8))</f>
        <v>0</v>
      </c>
      <c r="Q265" s="48" t="s">
        <v>149</v>
      </c>
      <c r="R265" s="48">
        <f>HEX2DEC(RIGHT(Table132321279[[#This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445</v>
      </c>
      <c r="E266" s="15" t="s">
        <v>119</v>
      </c>
      <c r="G266" s="15">
        <f>IF(Table1319257[[#This Row],[dec val]]="",0,1)</f>
        <v>0</v>
      </c>
      <c r="J266" s="24">
        <v>50000</v>
      </c>
      <c r="M266" s="24">
        <v>50000</v>
      </c>
      <c r="O266" s="48" t="s">
        <v>149</v>
      </c>
      <c r="P266" s="48">
        <f>HEX2DEC(RIGHT(Table132321279[[#This Row],[h1]],8))</f>
        <v>0</v>
      </c>
      <c r="Q266" s="48" t="s">
        <v>149</v>
      </c>
      <c r="R266" s="48">
        <f>HEX2DEC(RIGHT(Table132321279[[#This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446</v>
      </c>
      <c r="E267" s="15" t="s">
        <v>120</v>
      </c>
      <c r="G267" s="15">
        <f>IF(Table1319257[[#This Row],[dec val]]="",0,1)</f>
        <v>0</v>
      </c>
      <c r="J267" s="24">
        <v>50000</v>
      </c>
      <c r="M267" s="24">
        <v>50000</v>
      </c>
      <c r="O267" s="48" t="s">
        <v>149</v>
      </c>
      <c r="P267" s="48">
        <f>HEX2DEC(RIGHT(Table132321279[[#This Row],[h1]],8))</f>
        <v>0</v>
      </c>
      <c r="Q267" s="48" t="s">
        <v>149</v>
      </c>
      <c r="R267" s="48">
        <f>HEX2DEC(RIGHT(Table132321279[[#This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447</v>
      </c>
      <c r="E268" s="15" t="s">
        <v>121</v>
      </c>
      <c r="G268" s="15">
        <f>IF(Table1319257[[#This Row],[dec val]]="",0,1)</f>
        <v>0</v>
      </c>
      <c r="J268" s="24">
        <v>50000</v>
      </c>
      <c r="M268" s="24">
        <v>50000</v>
      </c>
      <c r="O268" s="48" t="s">
        <v>149</v>
      </c>
      <c r="P268" s="48">
        <f>HEX2DEC(RIGHT(Table132321279[[#This Row],[h1]],8))</f>
        <v>0</v>
      </c>
      <c r="Q268" s="48" t="s">
        <v>149</v>
      </c>
      <c r="R268" s="48">
        <f>HEX2DEC(RIGHT(Table132321279[[#This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448</v>
      </c>
      <c r="E269" s="15" t="s">
        <v>122</v>
      </c>
      <c r="G269" s="15">
        <f>IF(Table1319257[[#This Row],[dec val]]="",0,1)</f>
        <v>0</v>
      </c>
      <c r="J269" s="24">
        <v>50000</v>
      </c>
      <c r="M269" s="24">
        <v>50000</v>
      </c>
      <c r="O269" s="48" t="s">
        <v>149</v>
      </c>
      <c r="P269" s="48">
        <f>HEX2DEC(RIGHT(Table132321279[[#This Row],[h1]],8))</f>
        <v>0</v>
      </c>
      <c r="Q269" s="48" t="s">
        <v>149</v>
      </c>
      <c r="R269" s="48">
        <f>HEX2DEC(RIGHT(Table132321279[[#This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449</v>
      </c>
      <c r="E270" s="15" t="s">
        <v>123</v>
      </c>
      <c r="G270" s="15">
        <f>IF(Table1319257[[#This Row],[dec val]]="",0,1)</f>
        <v>0</v>
      </c>
      <c r="J270" s="24">
        <v>50000</v>
      </c>
      <c r="M270" s="24">
        <v>50000</v>
      </c>
      <c r="O270" s="48" t="s">
        <v>149</v>
      </c>
      <c r="P270" s="48">
        <f>HEX2DEC(RIGHT(Table132321279[[#This Row],[h1]],8))</f>
        <v>0</v>
      </c>
      <c r="Q270" s="48" t="s">
        <v>149</v>
      </c>
      <c r="R270" s="48">
        <f>HEX2DEC(RIGHT(Table132321279[[#This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450</v>
      </c>
      <c r="E271" s="15" t="s">
        <v>124</v>
      </c>
      <c r="G271" s="15">
        <f>IF(Table1319257[[#This Row],[dec val]]="",0,1)</f>
        <v>0</v>
      </c>
      <c r="J271" s="24">
        <v>50000</v>
      </c>
      <c r="M271" s="24">
        <v>50000</v>
      </c>
      <c r="O271" s="48" t="s">
        <v>149</v>
      </c>
      <c r="P271" s="48">
        <f>HEX2DEC(RIGHT(Table132321279[[#This Row],[h1]],8))</f>
        <v>0</v>
      </c>
      <c r="Q271" s="48" t="s">
        <v>149</v>
      </c>
      <c r="R271" s="48">
        <f>HEX2DEC(RIGHT(Table132321279[[#This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451</v>
      </c>
      <c r="E272" s="15" t="s">
        <v>125</v>
      </c>
      <c r="G272" s="15">
        <f>IF(Table1319257[[#This Row],[dec val]]="",0,1)</f>
        <v>0</v>
      </c>
      <c r="J272" s="24">
        <v>50000</v>
      </c>
      <c r="M272" s="24">
        <v>50000</v>
      </c>
      <c r="O272" s="48" t="s">
        <v>149</v>
      </c>
      <c r="P272" s="48">
        <f>HEX2DEC(RIGHT(Table132321279[[#This Row],[h1]],8))</f>
        <v>0</v>
      </c>
      <c r="Q272" s="48" t="s">
        <v>149</v>
      </c>
      <c r="R272" s="48">
        <f>HEX2DEC(RIGHT(Table132321279[[#This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452</v>
      </c>
      <c r="E273" s="15" t="s">
        <v>126</v>
      </c>
      <c r="G273" s="15">
        <f>IF(Table1319257[[#This Row],[dec val]]="",0,1)</f>
        <v>0</v>
      </c>
      <c r="J273" s="24">
        <v>50000</v>
      </c>
      <c r="M273" s="24">
        <v>50000</v>
      </c>
      <c r="O273" s="48" t="s">
        <v>149</v>
      </c>
      <c r="P273" s="48">
        <f>HEX2DEC(RIGHT(Table132321279[[#This Row],[h1]],8))</f>
        <v>0</v>
      </c>
      <c r="Q273" s="48" t="s">
        <v>149</v>
      </c>
      <c r="R273" s="48">
        <f>HEX2DEC(RIGHT(Table132321279[[#This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453</v>
      </c>
      <c r="E274" s="15" t="s">
        <v>127</v>
      </c>
      <c r="G274" s="15">
        <f>IF(Table1319257[[#This Row],[dec val]]="",0,1)</f>
        <v>0</v>
      </c>
      <c r="J274" s="24">
        <v>50000</v>
      </c>
      <c r="M274" s="24">
        <v>50000</v>
      </c>
      <c r="O274" s="48" t="s">
        <v>149</v>
      </c>
      <c r="P274" s="48">
        <f>HEX2DEC(RIGHT(Table132321279[[#This Row],[h1]],8))</f>
        <v>0</v>
      </c>
      <c r="Q274" s="48" t="s">
        <v>149</v>
      </c>
      <c r="R274" s="48">
        <f>HEX2DEC(RIGHT(Table132321279[[#This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454</v>
      </c>
      <c r="E275" s="15" t="s">
        <v>128</v>
      </c>
      <c r="G275" s="15">
        <f>IF(Table1319257[[#This Row],[dec val]]="",0,1)</f>
        <v>0</v>
      </c>
      <c r="J275" s="24">
        <v>50000</v>
      </c>
      <c r="M275" s="24">
        <v>50000</v>
      </c>
      <c r="O275" s="48" t="s">
        <v>149</v>
      </c>
      <c r="P275" s="48">
        <f>HEX2DEC(RIGHT(Table132321279[[#This Row],[h1]],8))</f>
        <v>0</v>
      </c>
      <c r="Q275" s="48" t="s">
        <v>149</v>
      </c>
      <c r="R275" s="48">
        <f>HEX2DEC(RIGHT(Table132321279[[#This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455</v>
      </c>
      <c r="E276" s="15" t="s">
        <v>129</v>
      </c>
      <c r="G276" s="15">
        <f>IF(Table1319257[[#This Row],[dec val]]="",0,1)</f>
        <v>0</v>
      </c>
      <c r="J276" s="24">
        <v>50000</v>
      </c>
      <c r="M276" s="24">
        <v>50000</v>
      </c>
      <c r="O276" s="48" t="s">
        <v>149</v>
      </c>
      <c r="P276" s="48">
        <f>HEX2DEC(RIGHT(Table132321279[[#This Row],[h1]],8))</f>
        <v>0</v>
      </c>
      <c r="Q276" s="48" t="s">
        <v>149</v>
      </c>
      <c r="R276" s="48">
        <f>HEX2DEC(RIGHT(Table132321279[[#This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456</v>
      </c>
      <c r="E277" s="15" t="s">
        <v>130</v>
      </c>
      <c r="G277" s="15">
        <f>IF(Table1319257[[#This Row],[dec val]]="",0,1)</f>
        <v>0</v>
      </c>
      <c r="J277" s="24">
        <v>50000</v>
      </c>
      <c r="M277" s="24">
        <v>50000</v>
      </c>
      <c r="O277" s="48" t="s">
        <v>149</v>
      </c>
      <c r="P277" s="48">
        <f>HEX2DEC(RIGHT(Table132321279[[#This Row],[h1]],8))</f>
        <v>0</v>
      </c>
      <c r="Q277" s="48" t="s">
        <v>149</v>
      </c>
      <c r="R277" s="48">
        <f>HEX2DEC(RIGHT(Table132321279[[#This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457</v>
      </c>
      <c r="E278" s="15" t="s">
        <v>131</v>
      </c>
      <c r="G278" s="15">
        <f>IF(Table1319257[[#This Row],[dec val]]="",0,1)</f>
        <v>0</v>
      </c>
      <c r="J278" s="24">
        <v>50000</v>
      </c>
      <c r="M278" s="24">
        <v>50000</v>
      </c>
      <c r="O278" s="48" t="s">
        <v>149</v>
      </c>
      <c r="P278" s="48">
        <f>HEX2DEC(RIGHT(Table132321279[[#This Row],[h1]],8))</f>
        <v>0</v>
      </c>
      <c r="Q278" s="48" t="s">
        <v>149</v>
      </c>
      <c r="R278" s="48">
        <f>HEX2DEC(RIGHT(Table132321279[[#This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458</v>
      </c>
      <c r="E279" s="15" t="s">
        <v>132</v>
      </c>
      <c r="G279" s="15">
        <f>IF(Table1319257[[#This Row],[dec val]]="",0,1)</f>
        <v>0</v>
      </c>
      <c r="J279" s="24">
        <v>50000</v>
      </c>
      <c r="M279" s="24">
        <v>50000</v>
      </c>
      <c r="O279" s="48" t="s">
        <v>149</v>
      </c>
      <c r="P279" s="48">
        <f>HEX2DEC(RIGHT(Table132321279[[#This Row],[h1]],8))</f>
        <v>0</v>
      </c>
      <c r="Q279" s="48" t="s">
        <v>149</v>
      </c>
      <c r="R279" s="48">
        <f>HEX2DEC(RIGHT(Table132321279[[#This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459</v>
      </c>
      <c r="E280" s="15" t="s">
        <v>133</v>
      </c>
      <c r="G280" s="15">
        <f>IF(Table1319257[[#This Row],[dec val]]="",0,1)</f>
        <v>0</v>
      </c>
      <c r="J280" s="24">
        <v>50000</v>
      </c>
      <c r="M280" s="24">
        <v>50000</v>
      </c>
      <c r="O280" s="48" t="s">
        <v>149</v>
      </c>
      <c r="P280" s="48">
        <f>HEX2DEC(RIGHT(Table132321279[[#This Row],[h1]],8))</f>
        <v>0</v>
      </c>
      <c r="Q280" s="48" t="s">
        <v>149</v>
      </c>
      <c r="R280" s="48">
        <f>HEX2DEC(RIGHT(Table132321279[[#This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460</v>
      </c>
      <c r="E281" s="15" t="s">
        <v>134</v>
      </c>
      <c r="G281" s="15">
        <f>IF(Table1319257[[#This Row],[dec val]]="",0,1)</f>
        <v>0</v>
      </c>
      <c r="J281" s="24">
        <v>50000</v>
      </c>
      <c r="M281" s="24">
        <v>50000</v>
      </c>
      <c r="O281" s="48" t="s">
        <v>149</v>
      </c>
      <c r="P281" s="48">
        <f>HEX2DEC(RIGHT(Table132321279[[#This Row],[h1]],8))</f>
        <v>0</v>
      </c>
      <c r="Q281" s="48" t="s">
        <v>149</v>
      </c>
      <c r="R281" s="48">
        <f>HEX2DEC(RIGHT(Table132321279[[#This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461</v>
      </c>
      <c r="E282" s="15" t="s">
        <v>135</v>
      </c>
      <c r="G282" s="15">
        <f>IF(Table1319257[[#This Row],[dec val]]="",0,1)</f>
        <v>0</v>
      </c>
      <c r="J282" s="24">
        <v>50000</v>
      </c>
      <c r="M282" s="24">
        <v>50000</v>
      </c>
      <c r="O282" s="48" t="s">
        <v>149</v>
      </c>
      <c r="P282" s="48">
        <f>HEX2DEC(RIGHT(Table132321279[[#This Row],[h1]],8))</f>
        <v>0</v>
      </c>
      <c r="Q282" s="48" t="s">
        <v>149</v>
      </c>
      <c r="R282" s="48">
        <f>HEX2DEC(RIGHT(Table132321279[[#This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462</v>
      </c>
      <c r="E283" s="15" t="s">
        <v>136</v>
      </c>
      <c r="G283" s="15">
        <f>IF(Table1319257[[#This Row],[dec val]]="",0,1)</f>
        <v>0</v>
      </c>
      <c r="J283" s="24">
        <v>50000</v>
      </c>
      <c r="M283" s="24">
        <v>50000</v>
      </c>
      <c r="O283" s="48" t="s">
        <v>149</v>
      </c>
      <c r="P283" s="48">
        <f>HEX2DEC(RIGHT(Table132321279[[#This Row],[h1]],8))</f>
        <v>0</v>
      </c>
      <c r="Q283" s="48" t="s">
        <v>149</v>
      </c>
      <c r="R283" s="48">
        <f>HEX2DEC(RIGHT(Table132321279[[#This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J284" s="24">
        <v>50000</v>
      </c>
      <c r="M284" s="24">
        <v>50000</v>
      </c>
      <c r="O284" s="48" t="s">
        <v>149</v>
      </c>
      <c r="P284" s="48">
        <f>HEX2DEC(RIGHT(Table132321279[[#This Row],[h1]],8))</f>
        <v>0</v>
      </c>
      <c r="Q284" s="48" t="s">
        <v>149</v>
      </c>
      <c r="R284" s="48">
        <f>HEX2DEC(RIGHT(Table132321279[[#This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463</v>
      </c>
      <c r="E285" s="15" t="s">
        <v>106</v>
      </c>
      <c r="G285" s="15">
        <f>IF(Table1319257[[#This Row],[dec val]]="",0,1)</f>
        <v>0</v>
      </c>
      <c r="J285" s="24">
        <v>50000</v>
      </c>
      <c r="M285" s="24">
        <v>50000</v>
      </c>
      <c r="O285" s="48" t="s">
        <v>149</v>
      </c>
      <c r="P285" s="48">
        <f>HEX2DEC(RIGHT(Table132321279[[#This Row],[h1]],8))</f>
        <v>0</v>
      </c>
      <c r="Q285" s="48" t="s">
        <v>149</v>
      </c>
      <c r="R285" s="48">
        <f>HEX2DEC(RIGHT(Table132321279[[#This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464</v>
      </c>
      <c r="E286" s="15" t="s">
        <v>107</v>
      </c>
      <c r="G286" s="15">
        <f>IF(Table1319257[[#This Row],[dec val]]="",0,1)</f>
        <v>0</v>
      </c>
      <c r="J286" s="24">
        <v>50000</v>
      </c>
      <c r="M286" s="24">
        <v>50000</v>
      </c>
      <c r="O286" s="48" t="s">
        <v>149</v>
      </c>
      <c r="P286" s="48">
        <f>HEX2DEC(RIGHT(Table132321279[[#This Row],[h1]],8))</f>
        <v>0</v>
      </c>
      <c r="Q286" s="48" t="s">
        <v>149</v>
      </c>
      <c r="R286" s="48">
        <f>HEX2DEC(RIGHT(Table132321279[[#This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465</v>
      </c>
      <c r="E287" s="15" t="s">
        <v>108</v>
      </c>
      <c r="G287" s="15">
        <f>IF(Table1319257[[#This Row],[dec val]]="",0,1)</f>
        <v>0</v>
      </c>
      <c r="J287" s="24">
        <v>50000</v>
      </c>
      <c r="M287" s="24">
        <v>50000</v>
      </c>
      <c r="O287" s="48" t="s">
        <v>149</v>
      </c>
      <c r="P287" s="48">
        <f>HEX2DEC(RIGHT(Table132321279[[#This Row],[h1]],8))</f>
        <v>0</v>
      </c>
      <c r="Q287" s="48" t="s">
        <v>149</v>
      </c>
      <c r="R287" s="48">
        <f>HEX2DEC(RIGHT(Table132321279[[#This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466</v>
      </c>
      <c r="E288" s="15" t="s">
        <v>109</v>
      </c>
      <c r="G288" s="15">
        <f>IF(Table1319257[[#This Row],[dec val]]="",0,1)</f>
        <v>0</v>
      </c>
      <c r="J288" s="24">
        <v>50000</v>
      </c>
      <c r="M288" s="24">
        <v>50000</v>
      </c>
      <c r="O288" s="48" t="s">
        <v>149</v>
      </c>
      <c r="P288" s="48">
        <f>HEX2DEC(RIGHT(Table132321279[[#This Row],[h1]],8))</f>
        <v>0</v>
      </c>
      <c r="Q288" s="48" t="s">
        <v>149</v>
      </c>
      <c r="R288" s="48">
        <f>HEX2DEC(RIGHT(Table132321279[[#This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467</v>
      </c>
      <c r="E289" s="15" t="s">
        <v>110</v>
      </c>
      <c r="G289" s="15">
        <f>IF(Table1319257[[#This Row],[dec val]]="",0,1)</f>
        <v>0</v>
      </c>
      <c r="J289" s="24">
        <v>50000</v>
      </c>
      <c r="M289" s="24">
        <v>50000</v>
      </c>
      <c r="O289" s="48" t="s">
        <v>149</v>
      </c>
      <c r="P289" s="48">
        <f>HEX2DEC(RIGHT(Table132321279[[#This Row],[h1]],8))</f>
        <v>0</v>
      </c>
      <c r="Q289" s="48" t="s">
        <v>149</v>
      </c>
      <c r="R289" s="48">
        <f>HEX2DEC(RIGHT(Table132321279[[#This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468</v>
      </c>
      <c r="E290" s="15" t="s">
        <v>111</v>
      </c>
      <c r="G290" s="15">
        <f>IF(Table1319257[[#This Row],[dec val]]="",0,1)</f>
        <v>0</v>
      </c>
      <c r="J290" s="24">
        <v>50000</v>
      </c>
      <c r="M290" s="24">
        <v>50000</v>
      </c>
      <c r="O290" s="48" t="s">
        <v>149</v>
      </c>
      <c r="P290" s="48">
        <f>HEX2DEC(RIGHT(Table132321279[[#This Row],[h1]],8))</f>
        <v>0</v>
      </c>
      <c r="Q290" s="48" t="s">
        <v>149</v>
      </c>
      <c r="R290" s="48">
        <f>HEX2DEC(RIGHT(Table132321279[[#This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469</v>
      </c>
      <c r="E291" s="15" t="s">
        <v>112</v>
      </c>
      <c r="G291" s="15">
        <f>IF(Table1319257[[#This Row],[dec val]]="",0,1)</f>
        <v>0</v>
      </c>
      <c r="J291" s="24">
        <v>50000</v>
      </c>
      <c r="M291" s="24">
        <v>50000</v>
      </c>
      <c r="O291" s="48" t="s">
        <v>149</v>
      </c>
      <c r="P291" s="48">
        <f>HEX2DEC(RIGHT(Table132321279[[#This Row],[h1]],8))</f>
        <v>0</v>
      </c>
      <c r="Q291" s="48" t="s">
        <v>149</v>
      </c>
      <c r="R291" s="48">
        <f>HEX2DEC(RIGHT(Table132321279[[#This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470</v>
      </c>
      <c r="E292" s="15" t="s">
        <v>113</v>
      </c>
      <c r="G292" s="15">
        <f>IF(Table1319257[[#This Row],[dec val]]="",0,1)</f>
        <v>0</v>
      </c>
      <c r="J292" s="24">
        <v>50000</v>
      </c>
      <c r="M292" s="24">
        <v>50000</v>
      </c>
      <c r="O292" s="48" t="s">
        <v>149</v>
      </c>
      <c r="P292" s="48">
        <f>HEX2DEC(RIGHT(Table132321279[[#This Row],[h1]],8))</f>
        <v>0</v>
      </c>
      <c r="Q292" s="48" t="s">
        <v>149</v>
      </c>
      <c r="R292" s="48">
        <f>HEX2DEC(RIGHT(Table132321279[[#This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471</v>
      </c>
      <c r="E293" s="15" t="s">
        <v>114</v>
      </c>
      <c r="G293" s="15">
        <f>IF(Table1319257[[#This Row],[dec val]]="",0,1)</f>
        <v>0</v>
      </c>
      <c r="J293" s="24">
        <v>50000</v>
      </c>
      <c r="M293" s="24">
        <v>50000</v>
      </c>
      <c r="O293" s="48" t="s">
        <v>149</v>
      </c>
      <c r="P293" s="48">
        <f>HEX2DEC(RIGHT(Table132321279[[#This Row],[h1]],8))</f>
        <v>0</v>
      </c>
      <c r="Q293" s="48" t="s">
        <v>149</v>
      </c>
      <c r="R293" s="48">
        <f>HEX2DEC(RIGHT(Table132321279[[#This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472</v>
      </c>
      <c r="E294" s="15" t="s">
        <v>115</v>
      </c>
      <c r="G294" s="15">
        <f>IF(Table1319257[[#This Row],[dec val]]="",0,1)</f>
        <v>0</v>
      </c>
      <c r="J294" s="24">
        <v>50000</v>
      </c>
      <c r="M294" s="24">
        <v>50000</v>
      </c>
      <c r="O294" s="48" t="s">
        <v>149</v>
      </c>
      <c r="P294" s="48">
        <f>HEX2DEC(RIGHT(Table132321279[[#This Row],[h1]],8))</f>
        <v>0</v>
      </c>
      <c r="Q294" s="48" t="s">
        <v>149</v>
      </c>
      <c r="R294" s="48">
        <f>HEX2DEC(RIGHT(Table132321279[[#This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473</v>
      </c>
      <c r="E295" s="15" t="s">
        <v>116</v>
      </c>
      <c r="G295" s="15">
        <f>IF(Table1319257[[#This Row],[dec val]]="",0,1)</f>
        <v>0</v>
      </c>
      <c r="J295" s="24">
        <v>50000</v>
      </c>
      <c r="M295" s="24">
        <v>50000</v>
      </c>
      <c r="O295" s="48" t="s">
        <v>149</v>
      </c>
      <c r="P295" s="48">
        <f>HEX2DEC(RIGHT(Table132321279[[#This Row],[h1]],8))</f>
        <v>0</v>
      </c>
      <c r="Q295" s="48" t="s">
        <v>149</v>
      </c>
      <c r="R295" s="48">
        <f>HEX2DEC(RIGHT(Table132321279[[#This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474</v>
      </c>
      <c r="E296" s="15" t="s">
        <v>117</v>
      </c>
      <c r="G296" s="15">
        <f>IF(Table1319257[[#This Row],[dec val]]="",0,1)</f>
        <v>0</v>
      </c>
      <c r="J296" s="24">
        <v>50000</v>
      </c>
      <c r="M296" s="24">
        <v>50000</v>
      </c>
      <c r="O296" s="48" t="s">
        <v>149</v>
      </c>
      <c r="P296" s="48">
        <f>HEX2DEC(RIGHT(Table132321279[[#This Row],[h1]],8))</f>
        <v>0</v>
      </c>
      <c r="Q296" s="48" t="s">
        <v>149</v>
      </c>
      <c r="R296" s="48">
        <f>HEX2DEC(RIGHT(Table132321279[[#This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475</v>
      </c>
      <c r="E297" s="15" t="s">
        <v>118</v>
      </c>
      <c r="G297" s="15">
        <f>IF(Table1319257[[#This Row],[dec val]]="",0,1)</f>
        <v>0</v>
      </c>
      <c r="J297" s="24">
        <v>50000</v>
      </c>
      <c r="M297" s="24">
        <v>50000</v>
      </c>
      <c r="O297" s="48" t="s">
        <v>149</v>
      </c>
      <c r="P297" s="48">
        <f>HEX2DEC(RIGHT(Table132321279[[#This Row],[h1]],8))</f>
        <v>0</v>
      </c>
      <c r="Q297" s="48" t="s">
        <v>149</v>
      </c>
      <c r="R297" s="48">
        <f>HEX2DEC(RIGHT(Table132321279[[#This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476</v>
      </c>
      <c r="E298" s="15" t="s">
        <v>119</v>
      </c>
      <c r="G298" s="15">
        <f>IF(Table1319257[[#This Row],[dec val]]="",0,1)</f>
        <v>0</v>
      </c>
      <c r="J298" s="24">
        <v>50000</v>
      </c>
      <c r="M298" s="24">
        <v>50000</v>
      </c>
      <c r="O298" s="48" t="s">
        <v>149</v>
      </c>
      <c r="P298" s="48">
        <f>HEX2DEC(RIGHT(Table132321279[[#This Row],[h1]],8))</f>
        <v>0</v>
      </c>
      <c r="Q298" s="48" t="s">
        <v>149</v>
      </c>
      <c r="R298" s="48">
        <f>HEX2DEC(RIGHT(Table132321279[[#This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477</v>
      </c>
      <c r="E299" s="15" t="s">
        <v>120</v>
      </c>
      <c r="G299" s="15">
        <f>IF(Table1319257[[#This Row],[dec val]]="",0,1)</f>
        <v>0</v>
      </c>
      <c r="J299" s="24">
        <v>50000</v>
      </c>
      <c r="M299" s="24">
        <v>50000</v>
      </c>
      <c r="O299" s="48" t="s">
        <v>149</v>
      </c>
      <c r="P299" s="48">
        <f>HEX2DEC(RIGHT(Table132321279[[#This Row],[h1]],8))</f>
        <v>0</v>
      </c>
      <c r="Q299" s="48" t="s">
        <v>149</v>
      </c>
      <c r="R299" s="48">
        <f>HEX2DEC(RIGHT(Table132321279[[#This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478</v>
      </c>
      <c r="E300" s="15" t="s">
        <v>121</v>
      </c>
      <c r="G300" s="15">
        <f>IF(Table1319257[[#This Row],[dec val]]="",0,1)</f>
        <v>0</v>
      </c>
      <c r="J300" s="24">
        <v>50000</v>
      </c>
      <c r="M300" s="24">
        <v>50000</v>
      </c>
      <c r="O300" s="48" t="s">
        <v>149</v>
      </c>
      <c r="P300" s="48">
        <f>HEX2DEC(RIGHT(Table132321279[[#This Row],[h1]],8))</f>
        <v>0</v>
      </c>
      <c r="Q300" s="48" t="s">
        <v>149</v>
      </c>
      <c r="R300" s="48">
        <f>HEX2DEC(RIGHT(Table132321279[[#This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479</v>
      </c>
      <c r="E301" s="15" t="s">
        <v>122</v>
      </c>
      <c r="G301" s="15">
        <f>IF(Table1319257[[#This Row],[dec val]]="",0,1)</f>
        <v>0</v>
      </c>
      <c r="J301" s="24">
        <v>50000</v>
      </c>
      <c r="M301" s="24">
        <v>50000</v>
      </c>
      <c r="O301" s="48" t="s">
        <v>149</v>
      </c>
      <c r="P301" s="48">
        <f>HEX2DEC(RIGHT(Table132321279[[#This Row],[h1]],8))</f>
        <v>0</v>
      </c>
      <c r="Q301" s="48" t="s">
        <v>149</v>
      </c>
      <c r="R301" s="48">
        <f>HEX2DEC(RIGHT(Table132321279[[#This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480</v>
      </c>
      <c r="E302" s="15" t="s">
        <v>123</v>
      </c>
      <c r="G302" s="15">
        <f>IF(Table1319257[[#This Row],[dec val]]="",0,1)</f>
        <v>0</v>
      </c>
      <c r="J302" s="24">
        <v>50000</v>
      </c>
      <c r="M302" s="24">
        <v>50000</v>
      </c>
      <c r="O302" s="48" t="s">
        <v>149</v>
      </c>
      <c r="P302" s="48">
        <f>HEX2DEC(RIGHT(Table132321279[[#This Row],[h1]],8))</f>
        <v>0</v>
      </c>
      <c r="Q302" s="48" t="s">
        <v>149</v>
      </c>
      <c r="R302" s="48">
        <f>HEX2DEC(RIGHT(Table132321279[[#This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481</v>
      </c>
      <c r="E303" s="15" t="s">
        <v>124</v>
      </c>
      <c r="G303" s="15">
        <f>IF(Table1319257[[#This Row],[dec val]]="",0,1)</f>
        <v>0</v>
      </c>
      <c r="J303" s="24">
        <v>50000</v>
      </c>
      <c r="M303" s="24">
        <v>50000</v>
      </c>
      <c r="O303" s="48" t="s">
        <v>149</v>
      </c>
      <c r="P303" s="48">
        <f>HEX2DEC(RIGHT(Table132321279[[#This Row],[h1]],8))</f>
        <v>0</v>
      </c>
      <c r="Q303" s="48" t="s">
        <v>149</v>
      </c>
      <c r="R303" s="48">
        <f>HEX2DEC(RIGHT(Table132321279[[#This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482</v>
      </c>
      <c r="E304" s="15" t="s">
        <v>125</v>
      </c>
      <c r="G304" s="15">
        <f>IF(Table1319257[[#This Row],[dec val]]="",0,1)</f>
        <v>0</v>
      </c>
      <c r="J304" s="24">
        <v>50000</v>
      </c>
      <c r="M304" s="24">
        <v>50000</v>
      </c>
      <c r="O304" s="48" t="s">
        <v>149</v>
      </c>
      <c r="P304" s="48">
        <f>HEX2DEC(RIGHT(Table132321279[[#This Row],[h1]],8))</f>
        <v>0</v>
      </c>
      <c r="Q304" s="48" t="s">
        <v>149</v>
      </c>
      <c r="R304" s="48">
        <f>HEX2DEC(RIGHT(Table132321279[[#This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483</v>
      </c>
      <c r="E305" s="15" t="s">
        <v>126</v>
      </c>
      <c r="G305" s="15">
        <f>IF(Table1319257[[#This Row],[dec val]]="",0,1)</f>
        <v>0</v>
      </c>
      <c r="J305" s="24">
        <v>50000</v>
      </c>
      <c r="M305" s="24">
        <v>50000</v>
      </c>
      <c r="O305" s="48" t="s">
        <v>149</v>
      </c>
      <c r="P305" s="48">
        <f>HEX2DEC(RIGHT(Table132321279[[#This Row],[h1]],8))</f>
        <v>0</v>
      </c>
      <c r="Q305" s="48" t="s">
        <v>149</v>
      </c>
      <c r="R305" s="48">
        <f>HEX2DEC(RIGHT(Table132321279[[#This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484</v>
      </c>
      <c r="E306" s="15" t="s">
        <v>127</v>
      </c>
      <c r="G306" s="15">
        <f>IF(Table1319257[[#This Row],[dec val]]="",0,1)</f>
        <v>0</v>
      </c>
      <c r="J306" s="24">
        <v>50000</v>
      </c>
      <c r="M306" s="24">
        <v>50000</v>
      </c>
      <c r="O306" s="48" t="s">
        <v>149</v>
      </c>
      <c r="P306" s="48">
        <f>HEX2DEC(RIGHT(Table132321279[[#This Row],[h1]],8))</f>
        <v>0</v>
      </c>
      <c r="Q306" s="48" t="s">
        <v>149</v>
      </c>
      <c r="R306" s="48">
        <f>HEX2DEC(RIGHT(Table132321279[[#This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485</v>
      </c>
      <c r="E307" s="15" t="s">
        <v>128</v>
      </c>
      <c r="G307" s="15">
        <f>IF(Table1319257[[#This Row],[dec val]]="",0,1)</f>
        <v>0</v>
      </c>
      <c r="J307" s="24">
        <v>50000</v>
      </c>
      <c r="M307" s="24">
        <v>50000</v>
      </c>
      <c r="O307" s="48" t="s">
        <v>149</v>
      </c>
      <c r="P307" s="48">
        <f>HEX2DEC(RIGHT(Table132321279[[#This Row],[h1]],8))</f>
        <v>0</v>
      </c>
      <c r="Q307" s="48" t="s">
        <v>149</v>
      </c>
      <c r="R307" s="48">
        <f>HEX2DEC(RIGHT(Table132321279[[#This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486</v>
      </c>
      <c r="E308" s="15" t="s">
        <v>129</v>
      </c>
      <c r="G308" s="15">
        <f>IF(Table1319257[[#This Row],[dec val]]="",0,1)</f>
        <v>0</v>
      </c>
      <c r="J308" s="24">
        <v>50000</v>
      </c>
      <c r="M308" s="24">
        <v>50000</v>
      </c>
      <c r="O308" s="48" t="s">
        <v>149</v>
      </c>
      <c r="P308" s="48">
        <f>HEX2DEC(RIGHT(Table132321279[[#This Row],[h1]],8))</f>
        <v>0</v>
      </c>
      <c r="Q308" s="48" t="s">
        <v>149</v>
      </c>
      <c r="R308" s="48">
        <f>HEX2DEC(RIGHT(Table132321279[[#This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487</v>
      </c>
      <c r="E309" s="15" t="s">
        <v>130</v>
      </c>
      <c r="G309" s="15">
        <f>IF(Table1319257[[#This Row],[dec val]]="",0,1)</f>
        <v>0</v>
      </c>
      <c r="J309" s="24">
        <v>50000</v>
      </c>
      <c r="M309" s="24">
        <v>50000</v>
      </c>
      <c r="O309" s="48" t="s">
        <v>149</v>
      </c>
      <c r="P309" s="48">
        <f>HEX2DEC(RIGHT(Table132321279[[#This Row],[h1]],8))</f>
        <v>0</v>
      </c>
      <c r="Q309" s="48" t="s">
        <v>149</v>
      </c>
      <c r="R309" s="48">
        <f>HEX2DEC(RIGHT(Table132321279[[#This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488</v>
      </c>
      <c r="E310" s="15" t="s">
        <v>131</v>
      </c>
      <c r="G310" s="15">
        <f>IF(Table1319257[[#This Row],[dec val]]="",0,1)</f>
        <v>0</v>
      </c>
      <c r="J310" s="24">
        <v>50000</v>
      </c>
      <c r="M310" s="24">
        <v>50000</v>
      </c>
      <c r="O310" s="48" t="s">
        <v>149</v>
      </c>
      <c r="P310" s="48">
        <f>HEX2DEC(RIGHT(Table132321279[[#This Row],[h1]],8))</f>
        <v>0</v>
      </c>
      <c r="Q310" s="48" t="s">
        <v>149</v>
      </c>
      <c r="R310" s="48">
        <f>HEX2DEC(RIGHT(Table132321279[[#This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489</v>
      </c>
      <c r="E311" s="15" t="s">
        <v>132</v>
      </c>
      <c r="G311" s="15">
        <f>IF(Table1319257[[#This Row],[dec val]]="",0,1)</f>
        <v>0</v>
      </c>
      <c r="J311" s="24">
        <v>50000</v>
      </c>
      <c r="M311" s="24">
        <v>50000</v>
      </c>
      <c r="O311" s="48" t="s">
        <v>149</v>
      </c>
      <c r="P311" s="48">
        <f>HEX2DEC(RIGHT(Table132321279[[#This Row],[h1]],8))</f>
        <v>0</v>
      </c>
      <c r="Q311" s="48" t="s">
        <v>149</v>
      </c>
      <c r="R311" s="48">
        <f>HEX2DEC(RIGHT(Table132321279[[#This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490</v>
      </c>
      <c r="E312" s="15" t="s">
        <v>133</v>
      </c>
      <c r="G312" s="15">
        <f>IF(Table1319257[[#This Row],[dec val]]="",0,1)</f>
        <v>0</v>
      </c>
      <c r="J312" s="24">
        <v>50000</v>
      </c>
      <c r="M312" s="24">
        <v>50000</v>
      </c>
      <c r="O312" s="48" t="s">
        <v>149</v>
      </c>
      <c r="P312" s="48">
        <f>HEX2DEC(RIGHT(Table132321279[[#This Row],[h1]],8))</f>
        <v>0</v>
      </c>
      <c r="Q312" s="48" t="s">
        <v>149</v>
      </c>
      <c r="R312" s="48">
        <f>HEX2DEC(RIGHT(Table132321279[[#This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491</v>
      </c>
      <c r="E313" s="15" t="s">
        <v>134</v>
      </c>
      <c r="G313" s="15">
        <f>IF(Table1319257[[#This Row],[dec val]]="",0,1)</f>
        <v>0</v>
      </c>
      <c r="J313" s="24">
        <v>50000</v>
      </c>
      <c r="M313" s="24">
        <v>50000</v>
      </c>
      <c r="O313" s="48" t="s">
        <v>149</v>
      </c>
      <c r="P313" s="48">
        <f>HEX2DEC(RIGHT(Table132321279[[#This Row],[h1]],8))</f>
        <v>0</v>
      </c>
      <c r="Q313" s="48" t="s">
        <v>149</v>
      </c>
      <c r="R313" s="48">
        <f>HEX2DEC(RIGHT(Table132321279[[#This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492</v>
      </c>
      <c r="E314" s="15" t="s">
        <v>135</v>
      </c>
      <c r="G314" s="15">
        <f>IF(Table1319257[[#This Row],[dec val]]="",0,1)</f>
        <v>0</v>
      </c>
      <c r="J314" s="24">
        <v>50000</v>
      </c>
      <c r="M314" s="24">
        <v>50000</v>
      </c>
      <c r="O314" s="48" t="s">
        <v>149</v>
      </c>
      <c r="P314" s="48">
        <f>HEX2DEC(RIGHT(Table132321279[[#This Row],[h1]],8))</f>
        <v>0</v>
      </c>
      <c r="Q314" s="48" t="s">
        <v>149</v>
      </c>
      <c r="R314" s="48">
        <f>HEX2DEC(RIGHT(Table132321279[[#This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493</v>
      </c>
      <c r="E315" s="15" t="s">
        <v>136</v>
      </c>
      <c r="G315" s="15">
        <f>IF(Table1319257[[#This Row],[dec val]]="",0,1)</f>
        <v>0</v>
      </c>
      <c r="J315" s="24">
        <v>50000</v>
      </c>
      <c r="M315" s="24">
        <v>50000</v>
      </c>
      <c r="O315" s="48" t="s">
        <v>149</v>
      </c>
      <c r="P315" s="48">
        <f>HEX2DEC(RIGHT(Table132321279[[#This Row],[h1]],8))</f>
        <v>0</v>
      </c>
      <c r="Q315" s="48" t="s">
        <v>149</v>
      </c>
      <c r="R315" s="48">
        <f>HEX2DEC(RIGHT(Table132321279[[#This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J316" s="24">
        <v>50000</v>
      </c>
      <c r="M316" s="24">
        <v>50000</v>
      </c>
      <c r="O316" s="48" t="s">
        <v>149</v>
      </c>
      <c r="P316" s="48">
        <f>HEX2DEC(RIGHT(Table132321279[[#This Row],[h1]],8))</f>
        <v>0</v>
      </c>
      <c r="Q316" s="48" t="s">
        <v>149</v>
      </c>
      <c r="R316" s="48">
        <f>HEX2DEC(RIGHT(Table132321279[[#This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494</v>
      </c>
      <c r="E317" s="15" t="s">
        <v>106</v>
      </c>
      <c r="G317" s="15">
        <f>IF(Table1319257[[#This Row],[dec val]]="",0,1)</f>
        <v>0</v>
      </c>
      <c r="J317" s="24">
        <v>50000</v>
      </c>
      <c r="M317" s="24">
        <v>50000</v>
      </c>
      <c r="O317" s="48" t="s">
        <v>149</v>
      </c>
      <c r="P317" s="48">
        <f>HEX2DEC(RIGHT(Table132321279[[#This Row],[h1]],8))</f>
        <v>0</v>
      </c>
      <c r="Q317" s="48" t="s">
        <v>149</v>
      </c>
      <c r="R317" s="48">
        <f>HEX2DEC(RIGHT(Table132321279[[#This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495</v>
      </c>
      <c r="E318" s="15" t="s">
        <v>107</v>
      </c>
      <c r="G318" s="15">
        <f>IF(Table1319257[[#This Row],[dec val]]="",0,1)</f>
        <v>0</v>
      </c>
      <c r="J318" s="24">
        <v>50000</v>
      </c>
      <c r="M318" s="24">
        <v>50000</v>
      </c>
      <c r="O318" s="48" t="s">
        <v>149</v>
      </c>
      <c r="P318" s="48">
        <f>HEX2DEC(RIGHT(Table132321279[[#This Row],[h1]],8))</f>
        <v>0</v>
      </c>
      <c r="Q318" s="48" t="s">
        <v>149</v>
      </c>
      <c r="R318" s="48">
        <f>HEX2DEC(RIGHT(Table132321279[[#This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496</v>
      </c>
      <c r="E319" s="15" t="s">
        <v>108</v>
      </c>
      <c r="G319" s="15">
        <f>IF(Table1319257[[#This Row],[dec val]]="",0,1)</f>
        <v>0</v>
      </c>
      <c r="J319" s="24">
        <v>50000</v>
      </c>
      <c r="M319" s="24">
        <v>50000</v>
      </c>
      <c r="O319" s="48" t="s">
        <v>149</v>
      </c>
      <c r="P319" s="48">
        <f>HEX2DEC(RIGHT(Table132321279[[#This Row],[h1]],8))</f>
        <v>0</v>
      </c>
      <c r="Q319" s="48" t="s">
        <v>149</v>
      </c>
      <c r="R319" s="48">
        <f>HEX2DEC(RIGHT(Table132321279[[#This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497</v>
      </c>
      <c r="E320" s="15" t="s">
        <v>109</v>
      </c>
      <c r="G320" s="15">
        <f>IF(Table1319257[[#This Row],[dec val]]="",0,1)</f>
        <v>0</v>
      </c>
      <c r="J320" s="24">
        <v>50000</v>
      </c>
      <c r="M320" s="24">
        <v>50000</v>
      </c>
      <c r="O320" s="48" t="s">
        <v>149</v>
      </c>
      <c r="P320" s="48">
        <f>HEX2DEC(RIGHT(Table132321279[[#This Row],[h1]],8))</f>
        <v>0</v>
      </c>
      <c r="Q320" s="48" t="s">
        <v>149</v>
      </c>
      <c r="R320" s="48">
        <f>HEX2DEC(RIGHT(Table132321279[[#This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498</v>
      </c>
      <c r="E321" s="15" t="s">
        <v>110</v>
      </c>
      <c r="G321" s="15">
        <f>IF(Table1319257[[#This Row],[dec val]]="",0,1)</f>
        <v>0</v>
      </c>
      <c r="J321" s="24">
        <v>50000</v>
      </c>
      <c r="M321" s="24">
        <v>50000</v>
      </c>
      <c r="O321" s="48" t="s">
        <v>149</v>
      </c>
      <c r="P321" s="48">
        <f>HEX2DEC(RIGHT(Table132321279[[#This Row],[h1]],8))</f>
        <v>0</v>
      </c>
      <c r="Q321" s="48" t="s">
        <v>149</v>
      </c>
      <c r="R321" s="48">
        <f>HEX2DEC(RIGHT(Table132321279[[#This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499</v>
      </c>
      <c r="E322" s="15" t="s">
        <v>111</v>
      </c>
      <c r="G322" s="15">
        <f>IF(Table1319257[[#This Row],[dec val]]="",0,1)</f>
        <v>0</v>
      </c>
      <c r="J322" s="24">
        <v>50000</v>
      </c>
      <c r="M322" s="24">
        <v>50000</v>
      </c>
      <c r="O322" s="48" t="s">
        <v>149</v>
      </c>
      <c r="P322" s="48">
        <f>HEX2DEC(RIGHT(Table132321279[[#This Row],[h1]],8))</f>
        <v>0</v>
      </c>
      <c r="Q322" s="48" t="s">
        <v>149</v>
      </c>
      <c r="R322" s="48">
        <f>HEX2DEC(RIGHT(Table132321279[[#This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500</v>
      </c>
      <c r="E323" s="15" t="s">
        <v>112</v>
      </c>
      <c r="G323" s="15">
        <f>IF(Table1319257[[#This Row],[dec val]]="",0,1)</f>
        <v>0</v>
      </c>
      <c r="J323" s="24">
        <v>50000</v>
      </c>
      <c r="M323" s="24">
        <v>50000</v>
      </c>
      <c r="O323" s="48" t="s">
        <v>149</v>
      </c>
      <c r="P323" s="48">
        <f>HEX2DEC(RIGHT(Table132321279[[#This Row],[h1]],8))</f>
        <v>0</v>
      </c>
      <c r="Q323" s="48" t="s">
        <v>149</v>
      </c>
      <c r="R323" s="48">
        <f>HEX2DEC(RIGHT(Table132321279[[#This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501</v>
      </c>
      <c r="E324" s="15" t="s">
        <v>113</v>
      </c>
      <c r="G324" s="15">
        <f>IF(Table1319257[[#This Row],[dec val]]="",0,1)</f>
        <v>0</v>
      </c>
      <c r="J324" s="24">
        <v>50000</v>
      </c>
      <c r="M324" s="24">
        <v>50000</v>
      </c>
      <c r="O324" s="48" t="s">
        <v>149</v>
      </c>
      <c r="P324" s="48">
        <f>HEX2DEC(RIGHT(Table132321279[[#This Row],[h1]],8))</f>
        <v>0</v>
      </c>
      <c r="Q324" s="48" t="s">
        <v>149</v>
      </c>
      <c r="R324" s="48">
        <f>HEX2DEC(RIGHT(Table132321279[[#This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502</v>
      </c>
      <c r="E325" s="15" t="s">
        <v>114</v>
      </c>
      <c r="G325" s="15">
        <f>IF(Table1319257[[#This Row],[dec val]]="",0,1)</f>
        <v>0</v>
      </c>
      <c r="J325" s="24">
        <v>50000</v>
      </c>
      <c r="M325" s="24">
        <v>50000</v>
      </c>
      <c r="O325" s="48" t="s">
        <v>149</v>
      </c>
      <c r="P325" s="48">
        <f>HEX2DEC(RIGHT(Table132321279[[#This Row],[h1]],8))</f>
        <v>0</v>
      </c>
      <c r="Q325" s="48" t="s">
        <v>149</v>
      </c>
      <c r="R325" s="48">
        <f>HEX2DEC(RIGHT(Table132321279[[#This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503</v>
      </c>
      <c r="E326" s="15" t="s">
        <v>115</v>
      </c>
      <c r="G326" s="15">
        <f>IF(Table1319257[[#This Row],[dec val]]="",0,1)</f>
        <v>0</v>
      </c>
      <c r="J326" s="24">
        <v>50000</v>
      </c>
      <c r="M326" s="24">
        <v>50000</v>
      </c>
      <c r="O326" s="48" t="s">
        <v>149</v>
      </c>
      <c r="P326" s="48">
        <f>HEX2DEC(RIGHT(Table132321279[[#This Row],[h1]],8))</f>
        <v>0</v>
      </c>
      <c r="Q326" s="48" t="s">
        <v>149</v>
      </c>
      <c r="R326" s="48">
        <f>HEX2DEC(RIGHT(Table132321279[[#This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504</v>
      </c>
      <c r="E327" s="15" t="s">
        <v>116</v>
      </c>
      <c r="G327" s="15">
        <f>IF(Table1319257[[#This Row],[dec val]]="",0,1)</f>
        <v>0</v>
      </c>
      <c r="J327" s="24">
        <v>50000</v>
      </c>
      <c r="M327" s="24">
        <v>50000</v>
      </c>
      <c r="O327" s="48" t="s">
        <v>149</v>
      </c>
      <c r="P327" s="48">
        <f>HEX2DEC(RIGHT(Table132321279[[#This Row],[h1]],8))</f>
        <v>0</v>
      </c>
      <c r="Q327" s="48" t="s">
        <v>149</v>
      </c>
      <c r="R327" s="48">
        <f>HEX2DEC(RIGHT(Table132321279[[#This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505</v>
      </c>
      <c r="E328" s="15" t="s">
        <v>117</v>
      </c>
      <c r="G328" s="15">
        <f>IF(Table1319257[[#This Row],[dec val]]="",0,1)</f>
        <v>0</v>
      </c>
      <c r="J328" s="24">
        <v>50000</v>
      </c>
      <c r="M328" s="24">
        <v>50000</v>
      </c>
      <c r="O328" s="48" t="s">
        <v>149</v>
      </c>
      <c r="P328" s="48">
        <f>HEX2DEC(RIGHT(Table132321279[[#This Row],[h1]],8))</f>
        <v>0</v>
      </c>
      <c r="Q328" s="48" t="s">
        <v>149</v>
      </c>
      <c r="R328" s="48">
        <f>HEX2DEC(RIGHT(Table132321279[[#This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506</v>
      </c>
      <c r="E329" s="15" t="s">
        <v>118</v>
      </c>
      <c r="G329" s="15">
        <f>IF(Table1319257[[#This Row],[dec val]]="",0,1)</f>
        <v>0</v>
      </c>
      <c r="J329" s="24">
        <v>50000</v>
      </c>
      <c r="M329" s="24">
        <v>50000</v>
      </c>
      <c r="O329" s="48" t="s">
        <v>149</v>
      </c>
      <c r="P329" s="48">
        <f>HEX2DEC(RIGHT(Table132321279[[#This Row],[h1]],8))</f>
        <v>0</v>
      </c>
      <c r="Q329" s="48" t="s">
        <v>149</v>
      </c>
      <c r="R329" s="48">
        <f>HEX2DEC(RIGHT(Table132321279[[#This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507</v>
      </c>
      <c r="E330" s="15" t="s">
        <v>119</v>
      </c>
      <c r="G330" s="15">
        <f>IF(Table1319257[[#This Row],[dec val]]="",0,1)</f>
        <v>0</v>
      </c>
      <c r="J330" s="24">
        <v>50000</v>
      </c>
      <c r="M330" s="24">
        <v>50000</v>
      </c>
      <c r="O330" s="48" t="s">
        <v>149</v>
      </c>
      <c r="P330" s="48">
        <f>HEX2DEC(RIGHT(Table132321279[[#This Row],[h1]],8))</f>
        <v>0</v>
      </c>
      <c r="Q330" s="48" t="s">
        <v>149</v>
      </c>
      <c r="R330" s="48">
        <f>HEX2DEC(RIGHT(Table132321279[[#This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508</v>
      </c>
      <c r="E331" s="15" t="s">
        <v>120</v>
      </c>
      <c r="G331" s="15">
        <f>IF(Table1319257[[#This Row],[dec val]]="",0,1)</f>
        <v>0</v>
      </c>
      <c r="J331" s="24">
        <v>50000</v>
      </c>
      <c r="M331" s="24">
        <v>50000</v>
      </c>
      <c r="O331" s="48" t="s">
        <v>149</v>
      </c>
      <c r="P331" s="48">
        <f>HEX2DEC(RIGHT(Table132321279[[#This Row],[h1]],8))</f>
        <v>0</v>
      </c>
      <c r="Q331" s="48" t="s">
        <v>149</v>
      </c>
      <c r="R331" s="48">
        <f>HEX2DEC(RIGHT(Table132321279[[#This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509</v>
      </c>
      <c r="E332" s="15" t="s">
        <v>121</v>
      </c>
      <c r="G332" s="15">
        <f>IF(Table1319257[[#This Row],[dec val]]="",0,1)</f>
        <v>0</v>
      </c>
      <c r="J332" s="24">
        <v>50000</v>
      </c>
      <c r="M332" s="24">
        <v>50000</v>
      </c>
      <c r="O332" s="48" t="s">
        <v>149</v>
      </c>
      <c r="P332" s="48">
        <f>HEX2DEC(RIGHT(Table132321279[[#This Row],[h1]],8))</f>
        <v>0</v>
      </c>
      <c r="Q332" s="48" t="s">
        <v>149</v>
      </c>
      <c r="R332" s="48">
        <f>HEX2DEC(RIGHT(Table132321279[[#This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510</v>
      </c>
      <c r="E333" s="15" t="s">
        <v>122</v>
      </c>
      <c r="G333" s="15">
        <f>IF(Table1319257[[#This Row],[dec val]]="",0,1)</f>
        <v>0</v>
      </c>
      <c r="J333" s="24">
        <v>50000</v>
      </c>
      <c r="M333" s="24">
        <v>50000</v>
      </c>
      <c r="O333" s="48" t="s">
        <v>149</v>
      </c>
      <c r="P333" s="48">
        <f>HEX2DEC(RIGHT(Table132321279[[#This Row],[h1]],8))</f>
        <v>0</v>
      </c>
      <c r="Q333" s="48" t="s">
        <v>149</v>
      </c>
      <c r="R333" s="48">
        <f>HEX2DEC(RIGHT(Table132321279[[#This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511</v>
      </c>
      <c r="E334" s="15" t="s">
        <v>123</v>
      </c>
      <c r="G334" s="15">
        <f>IF(Table1319257[[#This Row],[dec val]]="",0,1)</f>
        <v>0</v>
      </c>
      <c r="J334" s="24">
        <v>50000</v>
      </c>
      <c r="M334" s="24">
        <v>50000</v>
      </c>
      <c r="O334" s="48" t="s">
        <v>149</v>
      </c>
      <c r="P334" s="48">
        <f>HEX2DEC(RIGHT(Table132321279[[#This Row],[h1]],8))</f>
        <v>0</v>
      </c>
      <c r="Q334" s="48" t="s">
        <v>149</v>
      </c>
      <c r="R334" s="48">
        <f>HEX2DEC(RIGHT(Table132321279[[#This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512</v>
      </c>
      <c r="E335" s="15" t="s">
        <v>124</v>
      </c>
      <c r="G335" s="15">
        <f>IF(Table1319257[[#This Row],[dec val]]="",0,1)</f>
        <v>0</v>
      </c>
      <c r="J335" s="24">
        <v>50000</v>
      </c>
      <c r="M335" s="24">
        <v>50000</v>
      </c>
      <c r="O335" s="48" t="s">
        <v>149</v>
      </c>
      <c r="P335" s="48">
        <f>HEX2DEC(RIGHT(Table132321279[[#This Row],[h1]],8))</f>
        <v>0</v>
      </c>
      <c r="Q335" s="48" t="s">
        <v>149</v>
      </c>
      <c r="R335" s="48">
        <f>HEX2DEC(RIGHT(Table132321279[[#This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513</v>
      </c>
      <c r="E336" s="15" t="s">
        <v>125</v>
      </c>
      <c r="G336" s="15">
        <f>IF(Table1319257[[#This Row],[dec val]]="",0,1)</f>
        <v>0</v>
      </c>
      <c r="J336" s="24">
        <v>50000</v>
      </c>
      <c r="M336" s="24">
        <v>50000</v>
      </c>
      <c r="O336" s="48" t="s">
        <v>149</v>
      </c>
      <c r="P336" s="48">
        <f>HEX2DEC(RIGHT(Table132321279[[#This Row],[h1]],8))</f>
        <v>0</v>
      </c>
      <c r="Q336" s="48" t="s">
        <v>149</v>
      </c>
      <c r="R336" s="48">
        <f>HEX2DEC(RIGHT(Table132321279[[#This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514</v>
      </c>
      <c r="E337" s="15" t="s">
        <v>126</v>
      </c>
      <c r="G337" s="15">
        <f>IF(Table1319257[[#This Row],[dec val]]="",0,1)</f>
        <v>0</v>
      </c>
      <c r="J337" s="24">
        <v>50000</v>
      </c>
      <c r="M337" s="24">
        <v>50000</v>
      </c>
      <c r="O337" s="48" t="s">
        <v>149</v>
      </c>
      <c r="P337" s="48">
        <f>HEX2DEC(RIGHT(Table132321279[[#This Row],[h1]],8))</f>
        <v>0</v>
      </c>
      <c r="Q337" s="48" t="s">
        <v>149</v>
      </c>
      <c r="R337" s="48">
        <f>HEX2DEC(RIGHT(Table132321279[[#This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515</v>
      </c>
      <c r="E338" s="15" t="s">
        <v>127</v>
      </c>
      <c r="G338" s="15">
        <f>IF(Table1319257[[#This Row],[dec val]]="",0,1)</f>
        <v>0</v>
      </c>
      <c r="J338" s="24">
        <v>50000</v>
      </c>
      <c r="M338" s="24">
        <v>50000</v>
      </c>
      <c r="O338" s="48" t="s">
        <v>149</v>
      </c>
      <c r="P338" s="48">
        <f>HEX2DEC(RIGHT(Table132321279[[#This Row],[h1]],8))</f>
        <v>0</v>
      </c>
      <c r="Q338" s="48" t="s">
        <v>149</v>
      </c>
      <c r="R338" s="48">
        <f>HEX2DEC(RIGHT(Table132321279[[#This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516</v>
      </c>
      <c r="E339" s="15" t="s">
        <v>128</v>
      </c>
      <c r="G339" s="15">
        <f>IF(Table1319257[[#This Row],[dec val]]="",0,1)</f>
        <v>0</v>
      </c>
      <c r="J339" s="24">
        <v>50000</v>
      </c>
      <c r="M339" s="24">
        <v>50000</v>
      </c>
      <c r="O339" s="48" t="s">
        <v>149</v>
      </c>
      <c r="P339" s="48">
        <f>HEX2DEC(RIGHT(Table132321279[[#This Row],[h1]],8))</f>
        <v>0</v>
      </c>
      <c r="Q339" s="48" t="s">
        <v>149</v>
      </c>
      <c r="R339" s="48">
        <f>HEX2DEC(RIGHT(Table132321279[[#This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517</v>
      </c>
      <c r="E340" s="15" t="s">
        <v>129</v>
      </c>
      <c r="G340" s="15">
        <f>IF(Table1319257[[#This Row],[dec val]]="",0,1)</f>
        <v>0</v>
      </c>
      <c r="J340" s="24">
        <v>50000</v>
      </c>
      <c r="M340" s="24">
        <v>50000</v>
      </c>
      <c r="O340" s="48" t="s">
        <v>149</v>
      </c>
      <c r="P340" s="48">
        <f>HEX2DEC(RIGHT(Table132321279[[#This Row],[h1]],8))</f>
        <v>0</v>
      </c>
      <c r="Q340" s="48" t="s">
        <v>149</v>
      </c>
      <c r="R340" s="48">
        <f>HEX2DEC(RIGHT(Table132321279[[#This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518</v>
      </c>
      <c r="E341" s="15" t="s">
        <v>130</v>
      </c>
      <c r="G341" s="15">
        <f>IF(Table1319257[[#This Row],[dec val]]="",0,1)</f>
        <v>0</v>
      </c>
      <c r="J341" s="24">
        <v>50000</v>
      </c>
      <c r="M341" s="24">
        <v>50000</v>
      </c>
      <c r="O341" s="48" t="s">
        <v>149</v>
      </c>
      <c r="P341" s="48">
        <f>HEX2DEC(RIGHT(Table132321279[[#This Row],[h1]],8))</f>
        <v>0</v>
      </c>
      <c r="Q341" s="48" t="s">
        <v>149</v>
      </c>
      <c r="R341" s="48">
        <f>HEX2DEC(RIGHT(Table132321279[[#This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519</v>
      </c>
      <c r="E342" s="15" t="s">
        <v>131</v>
      </c>
      <c r="G342" s="15">
        <f>IF(Table1319257[[#This Row],[dec val]]="",0,1)</f>
        <v>0</v>
      </c>
      <c r="J342" s="24">
        <v>50000</v>
      </c>
      <c r="M342" s="24">
        <v>50000</v>
      </c>
      <c r="O342" s="48" t="s">
        <v>149</v>
      </c>
      <c r="P342" s="48">
        <f>HEX2DEC(RIGHT(Table132321279[[#This Row],[h1]],8))</f>
        <v>0</v>
      </c>
      <c r="Q342" s="48" t="s">
        <v>149</v>
      </c>
      <c r="R342" s="48">
        <f>HEX2DEC(RIGHT(Table132321279[[#This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520</v>
      </c>
      <c r="E343" s="15" t="s">
        <v>132</v>
      </c>
      <c r="G343" s="15">
        <f>IF(Table1319257[[#This Row],[dec val]]="",0,1)</f>
        <v>0</v>
      </c>
      <c r="J343" s="24">
        <v>50000</v>
      </c>
      <c r="M343" s="24">
        <v>50000</v>
      </c>
      <c r="O343" s="48" t="s">
        <v>149</v>
      </c>
      <c r="P343" s="48">
        <f>HEX2DEC(RIGHT(Table132321279[[#This Row],[h1]],8))</f>
        <v>0</v>
      </c>
      <c r="Q343" s="48" t="s">
        <v>149</v>
      </c>
      <c r="R343" s="48">
        <f>HEX2DEC(RIGHT(Table132321279[[#This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521</v>
      </c>
      <c r="E344" s="15" t="s">
        <v>133</v>
      </c>
      <c r="G344" s="15">
        <f>IF(Table1319257[[#This Row],[dec val]]="",0,1)</f>
        <v>0</v>
      </c>
      <c r="J344" s="24">
        <v>50000</v>
      </c>
      <c r="M344" s="24">
        <v>50000</v>
      </c>
      <c r="O344" s="48" t="s">
        <v>149</v>
      </c>
      <c r="P344" s="48">
        <f>HEX2DEC(RIGHT(Table132321279[[#This Row],[h1]],8))</f>
        <v>0</v>
      </c>
      <c r="Q344" s="48" t="s">
        <v>149</v>
      </c>
      <c r="R344" s="48">
        <f>HEX2DEC(RIGHT(Table132321279[[#This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522</v>
      </c>
      <c r="E345" s="15" t="s">
        <v>134</v>
      </c>
      <c r="G345" s="15">
        <f>IF(Table1319257[[#This Row],[dec val]]="",0,1)</f>
        <v>0</v>
      </c>
      <c r="J345" s="24">
        <v>50000</v>
      </c>
      <c r="M345" s="24">
        <v>50000</v>
      </c>
      <c r="O345" s="48" t="s">
        <v>149</v>
      </c>
      <c r="P345" s="48">
        <f>HEX2DEC(RIGHT(Table132321279[[#This Row],[h1]],8))</f>
        <v>0</v>
      </c>
      <c r="Q345" s="48" t="s">
        <v>149</v>
      </c>
      <c r="R345" s="48">
        <f>HEX2DEC(RIGHT(Table132321279[[#This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523</v>
      </c>
      <c r="E346" s="15" t="s">
        <v>135</v>
      </c>
      <c r="G346" s="15">
        <f>IF(Table1319257[[#This Row],[dec val]]="",0,1)</f>
        <v>0</v>
      </c>
      <c r="J346" s="24">
        <v>50000</v>
      </c>
      <c r="M346" s="24">
        <v>50000</v>
      </c>
      <c r="O346" s="48" t="s">
        <v>149</v>
      </c>
      <c r="P346" s="48">
        <f>HEX2DEC(RIGHT(Table132321279[[#This Row],[h1]],8))</f>
        <v>0</v>
      </c>
      <c r="Q346" s="48" t="s">
        <v>149</v>
      </c>
      <c r="R346" s="48">
        <f>HEX2DEC(RIGHT(Table132321279[[#This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524</v>
      </c>
      <c r="E347" s="15" t="s">
        <v>136</v>
      </c>
      <c r="G347" s="15">
        <f>IF(Table1319257[[#This Row],[dec val]]="",0,1)</f>
        <v>0</v>
      </c>
      <c r="J347" s="24">
        <v>50000</v>
      </c>
      <c r="M347" s="24">
        <v>50000</v>
      </c>
      <c r="O347" s="48" t="s">
        <v>149</v>
      </c>
      <c r="P347" s="48">
        <f>HEX2DEC(RIGHT(Table132321279[[#This Row],[h1]],8))</f>
        <v>0</v>
      </c>
      <c r="Q347" s="48" t="s">
        <v>149</v>
      </c>
      <c r="R347" s="48">
        <f>HEX2DEC(RIGHT(Table132321279[[#This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J348" s="24">
        <v>50000</v>
      </c>
      <c r="M348" s="24">
        <v>50000</v>
      </c>
      <c r="O348" s="48" t="s">
        <v>149</v>
      </c>
      <c r="P348" s="48">
        <f>HEX2DEC(RIGHT(Table132321279[[#This Row],[h1]],8))</f>
        <v>0</v>
      </c>
      <c r="Q348" s="48" t="s">
        <v>149</v>
      </c>
      <c r="R348" s="48">
        <f>HEX2DEC(RIGHT(Table132321279[[#This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525</v>
      </c>
      <c r="E349" s="15" t="s">
        <v>106</v>
      </c>
      <c r="G349" s="15">
        <f>IF(Table1319257[[#This Row],[dec val]]="",0,1)</f>
        <v>0</v>
      </c>
      <c r="J349" s="24">
        <v>50000</v>
      </c>
      <c r="M349" s="24">
        <v>50000</v>
      </c>
      <c r="O349" s="48" t="s">
        <v>149</v>
      </c>
      <c r="P349" s="48">
        <f>HEX2DEC(RIGHT(Table132321279[[#This Row],[h1]],8))</f>
        <v>0</v>
      </c>
      <c r="Q349" s="48" t="s">
        <v>149</v>
      </c>
      <c r="R349" s="48">
        <f>HEX2DEC(RIGHT(Table132321279[[#This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526</v>
      </c>
      <c r="E350" s="15" t="s">
        <v>107</v>
      </c>
      <c r="G350" s="15">
        <f>IF(Table1319257[[#This Row],[dec val]]="",0,1)</f>
        <v>0</v>
      </c>
      <c r="J350" s="24">
        <v>50000</v>
      </c>
      <c r="M350" s="24">
        <v>50000</v>
      </c>
      <c r="O350" s="48" t="s">
        <v>149</v>
      </c>
      <c r="P350" s="48">
        <f>HEX2DEC(RIGHT(Table132321279[[#This Row],[h1]],8))</f>
        <v>0</v>
      </c>
      <c r="Q350" s="48" t="s">
        <v>149</v>
      </c>
      <c r="R350" s="48">
        <f>HEX2DEC(RIGHT(Table132321279[[#This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527</v>
      </c>
      <c r="E351" s="15" t="s">
        <v>108</v>
      </c>
      <c r="G351" s="15">
        <f>IF(Table1319257[[#This Row],[dec val]]="",0,1)</f>
        <v>0</v>
      </c>
      <c r="J351" s="24">
        <v>50000</v>
      </c>
      <c r="M351" s="24">
        <v>50000</v>
      </c>
      <c r="O351" s="48" t="s">
        <v>149</v>
      </c>
      <c r="P351" s="48">
        <f>HEX2DEC(RIGHT(Table132321279[[#This Row],[h1]],8))</f>
        <v>0</v>
      </c>
      <c r="Q351" s="48" t="s">
        <v>149</v>
      </c>
      <c r="R351" s="48">
        <f>HEX2DEC(RIGHT(Table132321279[[#This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528</v>
      </c>
      <c r="E352" s="15" t="s">
        <v>109</v>
      </c>
      <c r="G352" s="15">
        <f>IF(Table1319257[[#This Row],[dec val]]="",0,1)</f>
        <v>0</v>
      </c>
      <c r="J352" s="24">
        <v>50000</v>
      </c>
      <c r="M352" s="24">
        <v>50000</v>
      </c>
      <c r="O352" s="48" t="s">
        <v>149</v>
      </c>
      <c r="P352" s="48">
        <f>HEX2DEC(RIGHT(Table132321279[[#This Row],[h1]],8))</f>
        <v>0</v>
      </c>
      <c r="Q352" s="48" t="s">
        <v>149</v>
      </c>
      <c r="R352" s="48">
        <f>HEX2DEC(RIGHT(Table132321279[[#This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529</v>
      </c>
      <c r="E353" s="15" t="s">
        <v>110</v>
      </c>
      <c r="G353" s="15">
        <f>IF(Table1319257[[#This Row],[dec val]]="",0,1)</f>
        <v>0</v>
      </c>
      <c r="J353" s="24">
        <v>50000</v>
      </c>
      <c r="M353" s="24">
        <v>50000</v>
      </c>
      <c r="O353" s="48" t="s">
        <v>149</v>
      </c>
      <c r="P353" s="48">
        <f>HEX2DEC(RIGHT(Table132321279[[#This Row],[h1]],8))</f>
        <v>0</v>
      </c>
      <c r="Q353" s="48" t="s">
        <v>149</v>
      </c>
      <c r="R353" s="48">
        <f>HEX2DEC(RIGHT(Table132321279[[#This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530</v>
      </c>
      <c r="E354" s="15" t="s">
        <v>111</v>
      </c>
      <c r="G354" s="15">
        <f>IF(Table1319257[[#This Row],[dec val]]="",0,1)</f>
        <v>0</v>
      </c>
      <c r="J354" s="24">
        <v>50000</v>
      </c>
      <c r="M354" s="24">
        <v>50000</v>
      </c>
      <c r="O354" s="48" t="s">
        <v>149</v>
      </c>
      <c r="P354" s="48">
        <f>HEX2DEC(RIGHT(Table132321279[[#This Row],[h1]],8))</f>
        <v>0</v>
      </c>
      <c r="Q354" s="48" t="s">
        <v>149</v>
      </c>
      <c r="R354" s="48">
        <f>HEX2DEC(RIGHT(Table132321279[[#This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531</v>
      </c>
      <c r="E355" s="15" t="s">
        <v>112</v>
      </c>
      <c r="G355" s="15">
        <f>IF(Table1319257[[#This Row],[dec val]]="",0,1)</f>
        <v>0</v>
      </c>
      <c r="J355" s="24">
        <v>50000</v>
      </c>
      <c r="M355" s="24">
        <v>50000</v>
      </c>
      <c r="O355" s="48" t="s">
        <v>149</v>
      </c>
      <c r="P355" s="48">
        <f>HEX2DEC(RIGHT(Table132321279[[#This Row],[h1]],8))</f>
        <v>0</v>
      </c>
      <c r="Q355" s="48" t="s">
        <v>149</v>
      </c>
      <c r="R355" s="48">
        <f>HEX2DEC(RIGHT(Table132321279[[#This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532</v>
      </c>
      <c r="E356" s="15" t="s">
        <v>113</v>
      </c>
      <c r="G356" s="15">
        <f>IF(Table1319257[[#This Row],[dec val]]="",0,1)</f>
        <v>0</v>
      </c>
      <c r="J356" s="24">
        <v>50000</v>
      </c>
      <c r="M356" s="24">
        <v>50000</v>
      </c>
      <c r="O356" s="48" t="s">
        <v>149</v>
      </c>
      <c r="P356" s="48">
        <f>HEX2DEC(RIGHT(Table132321279[[#This Row],[h1]],8))</f>
        <v>0</v>
      </c>
      <c r="Q356" s="48" t="s">
        <v>149</v>
      </c>
      <c r="R356" s="48">
        <f>HEX2DEC(RIGHT(Table132321279[[#This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533</v>
      </c>
      <c r="E357" s="15" t="s">
        <v>114</v>
      </c>
      <c r="G357" s="15">
        <f>IF(Table1319257[[#This Row],[dec val]]="",0,1)</f>
        <v>0</v>
      </c>
      <c r="J357" s="24">
        <v>50000</v>
      </c>
      <c r="M357" s="24">
        <v>50000</v>
      </c>
      <c r="O357" s="48" t="s">
        <v>149</v>
      </c>
      <c r="P357" s="48">
        <f>HEX2DEC(RIGHT(Table132321279[[#This Row],[h1]],8))</f>
        <v>0</v>
      </c>
      <c r="Q357" s="48" t="s">
        <v>149</v>
      </c>
      <c r="R357" s="48">
        <f>HEX2DEC(RIGHT(Table132321279[[#This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534</v>
      </c>
      <c r="E358" s="15" t="s">
        <v>115</v>
      </c>
      <c r="G358" s="15">
        <f>IF(Table1319257[[#This Row],[dec val]]="",0,1)</f>
        <v>0</v>
      </c>
      <c r="J358" s="24">
        <v>50000</v>
      </c>
      <c r="M358" s="24">
        <v>50000</v>
      </c>
      <c r="O358" s="48" t="s">
        <v>149</v>
      </c>
      <c r="P358" s="48">
        <f>HEX2DEC(RIGHT(Table132321279[[#This Row],[h1]],8))</f>
        <v>0</v>
      </c>
      <c r="Q358" s="48" t="s">
        <v>149</v>
      </c>
      <c r="R358" s="48">
        <f>HEX2DEC(RIGHT(Table132321279[[#This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535</v>
      </c>
      <c r="E359" s="15" t="s">
        <v>116</v>
      </c>
      <c r="G359" s="15">
        <f>IF(Table1319257[[#This Row],[dec val]]="",0,1)</f>
        <v>0</v>
      </c>
      <c r="J359" s="24">
        <v>50000</v>
      </c>
      <c r="M359" s="24">
        <v>50000</v>
      </c>
      <c r="O359" s="48" t="s">
        <v>149</v>
      </c>
      <c r="P359" s="48">
        <f>HEX2DEC(RIGHT(Table132321279[[#This Row],[h1]],8))</f>
        <v>0</v>
      </c>
      <c r="Q359" s="48" t="s">
        <v>149</v>
      </c>
      <c r="R359" s="48">
        <f>HEX2DEC(RIGHT(Table132321279[[#This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536</v>
      </c>
      <c r="E360" s="15" t="s">
        <v>117</v>
      </c>
      <c r="G360" s="15">
        <f>IF(Table1319257[[#This Row],[dec val]]="",0,1)</f>
        <v>0</v>
      </c>
      <c r="J360" s="24">
        <v>50000</v>
      </c>
      <c r="M360" s="24">
        <v>50000</v>
      </c>
      <c r="O360" s="48" t="s">
        <v>149</v>
      </c>
      <c r="P360" s="48">
        <f>HEX2DEC(RIGHT(Table132321279[[#This Row],[h1]],8))</f>
        <v>0</v>
      </c>
      <c r="Q360" s="48" t="s">
        <v>149</v>
      </c>
      <c r="R360" s="48">
        <f>HEX2DEC(RIGHT(Table132321279[[#This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537</v>
      </c>
      <c r="E361" s="15" t="s">
        <v>118</v>
      </c>
      <c r="G361" s="15">
        <f>IF(Table1319257[[#This Row],[dec val]]="",0,1)</f>
        <v>0</v>
      </c>
      <c r="J361" s="24">
        <v>50000</v>
      </c>
      <c r="M361" s="24">
        <v>50000</v>
      </c>
      <c r="O361" s="48" t="s">
        <v>149</v>
      </c>
      <c r="P361" s="48">
        <f>HEX2DEC(RIGHT(Table132321279[[#This Row],[h1]],8))</f>
        <v>0</v>
      </c>
      <c r="Q361" s="48" t="s">
        <v>149</v>
      </c>
      <c r="R361" s="48">
        <f>HEX2DEC(RIGHT(Table132321279[[#This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538</v>
      </c>
      <c r="E362" s="15" t="s">
        <v>119</v>
      </c>
      <c r="G362" s="15">
        <f>IF(Table1319257[[#This Row],[dec val]]="",0,1)</f>
        <v>0</v>
      </c>
      <c r="J362" s="24">
        <v>50000</v>
      </c>
      <c r="M362" s="24">
        <v>50000</v>
      </c>
      <c r="O362" s="48" t="s">
        <v>149</v>
      </c>
      <c r="P362" s="48">
        <f>HEX2DEC(RIGHT(Table132321279[[#This Row],[h1]],8))</f>
        <v>0</v>
      </c>
      <c r="Q362" s="48" t="s">
        <v>149</v>
      </c>
      <c r="R362" s="48">
        <f>HEX2DEC(RIGHT(Table132321279[[#This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539</v>
      </c>
      <c r="E363" s="15" t="s">
        <v>120</v>
      </c>
      <c r="G363" s="15">
        <f>IF(Table1319257[[#This Row],[dec val]]="",0,1)</f>
        <v>0</v>
      </c>
      <c r="J363" s="24">
        <v>50000</v>
      </c>
      <c r="M363" s="24">
        <v>50000</v>
      </c>
      <c r="O363" s="48" t="s">
        <v>149</v>
      </c>
      <c r="P363" s="48">
        <f>HEX2DEC(RIGHT(Table132321279[[#This Row],[h1]],8))</f>
        <v>0</v>
      </c>
      <c r="Q363" s="48" t="s">
        <v>149</v>
      </c>
      <c r="R363" s="48">
        <f>HEX2DEC(RIGHT(Table132321279[[#This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540</v>
      </c>
      <c r="E364" s="15" t="s">
        <v>121</v>
      </c>
      <c r="G364" s="15">
        <f>IF(Table1319257[[#This Row],[dec val]]="",0,1)</f>
        <v>0</v>
      </c>
      <c r="J364" s="24">
        <v>50000</v>
      </c>
      <c r="M364" s="24">
        <v>50000</v>
      </c>
      <c r="O364" s="48" t="s">
        <v>149</v>
      </c>
      <c r="P364" s="48">
        <f>HEX2DEC(RIGHT(Table132321279[[#This Row],[h1]],8))</f>
        <v>0</v>
      </c>
      <c r="Q364" s="48" t="s">
        <v>149</v>
      </c>
      <c r="R364" s="48">
        <f>HEX2DEC(RIGHT(Table132321279[[#This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541</v>
      </c>
      <c r="E365" s="15" t="s">
        <v>122</v>
      </c>
      <c r="G365" s="15">
        <f>IF(Table1319257[[#This Row],[dec val]]="",0,1)</f>
        <v>0</v>
      </c>
      <c r="J365" s="24">
        <v>50000</v>
      </c>
      <c r="M365" s="24">
        <v>50000</v>
      </c>
      <c r="O365" s="48" t="s">
        <v>149</v>
      </c>
      <c r="P365" s="48">
        <f>HEX2DEC(RIGHT(Table132321279[[#This Row],[h1]],8))</f>
        <v>0</v>
      </c>
      <c r="Q365" s="48" t="s">
        <v>149</v>
      </c>
      <c r="R365" s="48">
        <f>HEX2DEC(RIGHT(Table132321279[[#This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542</v>
      </c>
      <c r="E366" s="15" t="s">
        <v>123</v>
      </c>
      <c r="G366" s="15">
        <f>IF(Table1319257[[#This Row],[dec val]]="",0,1)</f>
        <v>0</v>
      </c>
      <c r="J366" s="24">
        <v>50000</v>
      </c>
      <c r="M366" s="24">
        <v>50000</v>
      </c>
      <c r="O366" s="48" t="s">
        <v>149</v>
      </c>
      <c r="P366" s="48">
        <f>HEX2DEC(RIGHT(Table132321279[[#This Row],[h1]],8))</f>
        <v>0</v>
      </c>
      <c r="Q366" s="48" t="s">
        <v>149</v>
      </c>
      <c r="R366" s="48">
        <f>HEX2DEC(RIGHT(Table132321279[[#This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543</v>
      </c>
      <c r="E367" s="15" t="s">
        <v>124</v>
      </c>
      <c r="G367" s="15">
        <f>IF(Table1319257[[#This Row],[dec val]]="",0,1)</f>
        <v>0</v>
      </c>
      <c r="J367" s="24">
        <v>50000</v>
      </c>
      <c r="M367" s="24">
        <v>50000</v>
      </c>
      <c r="O367" s="48" t="s">
        <v>149</v>
      </c>
      <c r="P367" s="48">
        <f>HEX2DEC(RIGHT(Table132321279[[#This Row],[h1]],8))</f>
        <v>0</v>
      </c>
      <c r="Q367" s="48" t="s">
        <v>149</v>
      </c>
      <c r="R367" s="48">
        <f>HEX2DEC(RIGHT(Table132321279[[#This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544</v>
      </c>
      <c r="E368" s="15" t="s">
        <v>125</v>
      </c>
      <c r="G368" s="15">
        <f>IF(Table1319257[[#This Row],[dec val]]="",0,1)</f>
        <v>0</v>
      </c>
      <c r="J368" s="24">
        <v>50000</v>
      </c>
      <c r="M368" s="24">
        <v>50000</v>
      </c>
      <c r="O368" s="48" t="s">
        <v>149</v>
      </c>
      <c r="P368" s="48">
        <f>HEX2DEC(RIGHT(Table132321279[[#This Row],[h1]],8))</f>
        <v>0</v>
      </c>
      <c r="Q368" s="48" t="s">
        <v>149</v>
      </c>
      <c r="R368" s="48">
        <f>HEX2DEC(RIGHT(Table132321279[[#This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545</v>
      </c>
      <c r="E369" s="15" t="s">
        <v>126</v>
      </c>
      <c r="G369" s="15">
        <f>IF(Table1319257[[#This Row],[dec val]]="",0,1)</f>
        <v>0</v>
      </c>
      <c r="J369" s="24">
        <v>50000</v>
      </c>
      <c r="M369" s="24">
        <v>50000</v>
      </c>
      <c r="O369" s="48" t="s">
        <v>149</v>
      </c>
      <c r="P369" s="48">
        <f>HEX2DEC(RIGHT(Table132321279[[#This Row],[h1]],8))</f>
        <v>0</v>
      </c>
      <c r="Q369" s="48" t="s">
        <v>149</v>
      </c>
      <c r="R369" s="48">
        <f>HEX2DEC(RIGHT(Table132321279[[#This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546</v>
      </c>
      <c r="E370" s="15" t="s">
        <v>127</v>
      </c>
      <c r="G370" s="15">
        <f>IF(Table1319257[[#This Row],[dec val]]="",0,1)</f>
        <v>0</v>
      </c>
      <c r="J370" s="24">
        <v>50000</v>
      </c>
      <c r="M370" s="24">
        <v>50000</v>
      </c>
      <c r="O370" s="48" t="s">
        <v>149</v>
      </c>
      <c r="P370" s="48">
        <f>HEX2DEC(RIGHT(Table132321279[[#This Row],[h1]],8))</f>
        <v>0</v>
      </c>
      <c r="Q370" s="48" t="s">
        <v>149</v>
      </c>
      <c r="R370" s="48">
        <f>HEX2DEC(RIGHT(Table132321279[[#This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547</v>
      </c>
      <c r="E371" s="15" t="s">
        <v>128</v>
      </c>
      <c r="G371" s="15">
        <f>IF(Table1319257[[#This Row],[dec val]]="",0,1)</f>
        <v>0</v>
      </c>
      <c r="J371" s="24">
        <v>50000</v>
      </c>
      <c r="M371" s="24">
        <v>50000</v>
      </c>
      <c r="O371" s="48" t="s">
        <v>149</v>
      </c>
      <c r="P371" s="48">
        <f>HEX2DEC(RIGHT(Table132321279[[#This Row],[h1]],8))</f>
        <v>0</v>
      </c>
      <c r="Q371" s="48" t="s">
        <v>149</v>
      </c>
      <c r="R371" s="48">
        <f>HEX2DEC(RIGHT(Table132321279[[#This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548</v>
      </c>
      <c r="E372" s="15" t="s">
        <v>129</v>
      </c>
      <c r="G372" s="15">
        <f>IF(Table1319257[[#This Row],[dec val]]="",0,1)</f>
        <v>0</v>
      </c>
      <c r="J372" s="24">
        <v>50000</v>
      </c>
      <c r="M372" s="24">
        <v>50000</v>
      </c>
      <c r="O372" s="48" t="s">
        <v>149</v>
      </c>
      <c r="P372" s="48">
        <f>HEX2DEC(RIGHT(Table132321279[[#This Row],[h1]],8))</f>
        <v>0</v>
      </c>
      <c r="Q372" s="48" t="s">
        <v>149</v>
      </c>
      <c r="R372" s="48">
        <f>HEX2DEC(RIGHT(Table132321279[[#This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549</v>
      </c>
      <c r="E373" s="15" t="s">
        <v>130</v>
      </c>
      <c r="G373" s="15">
        <f>IF(Table1319257[[#This Row],[dec val]]="",0,1)</f>
        <v>0</v>
      </c>
      <c r="J373" s="24">
        <v>50000</v>
      </c>
      <c r="M373" s="24">
        <v>50000</v>
      </c>
      <c r="O373" s="48" t="s">
        <v>149</v>
      </c>
      <c r="P373" s="48">
        <f>HEX2DEC(RIGHT(Table132321279[[#This Row],[h1]],8))</f>
        <v>0</v>
      </c>
      <c r="Q373" s="48" t="s">
        <v>149</v>
      </c>
      <c r="R373" s="48">
        <f>HEX2DEC(RIGHT(Table132321279[[#This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550</v>
      </c>
      <c r="E374" s="15" t="s">
        <v>131</v>
      </c>
      <c r="G374" s="15">
        <f>IF(Table1319257[[#This Row],[dec val]]="",0,1)</f>
        <v>0</v>
      </c>
      <c r="J374" s="24">
        <v>50000</v>
      </c>
      <c r="M374" s="24">
        <v>50000</v>
      </c>
      <c r="O374" s="48" t="s">
        <v>149</v>
      </c>
      <c r="P374" s="48">
        <f>HEX2DEC(RIGHT(Table132321279[[#This Row],[h1]],8))</f>
        <v>0</v>
      </c>
      <c r="Q374" s="48" t="s">
        <v>149</v>
      </c>
      <c r="R374" s="48">
        <f>HEX2DEC(RIGHT(Table132321279[[#This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551</v>
      </c>
      <c r="E375" s="15" t="s">
        <v>132</v>
      </c>
      <c r="G375" s="15">
        <f>IF(Table1319257[[#This Row],[dec val]]="",0,1)</f>
        <v>0</v>
      </c>
      <c r="J375" s="24">
        <v>50000</v>
      </c>
      <c r="M375" s="24">
        <v>50000</v>
      </c>
      <c r="O375" s="48" t="s">
        <v>149</v>
      </c>
      <c r="P375" s="48">
        <f>HEX2DEC(RIGHT(Table132321279[[#This Row],[h1]],8))</f>
        <v>0</v>
      </c>
      <c r="Q375" s="48" t="s">
        <v>149</v>
      </c>
      <c r="R375" s="48">
        <f>HEX2DEC(RIGHT(Table132321279[[#This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552</v>
      </c>
      <c r="E376" s="15" t="s">
        <v>133</v>
      </c>
      <c r="G376" s="15">
        <f>IF(Table1319257[[#This Row],[dec val]]="",0,1)</f>
        <v>0</v>
      </c>
      <c r="J376" s="24">
        <v>50000</v>
      </c>
      <c r="M376" s="24">
        <v>50000</v>
      </c>
      <c r="O376" s="48" t="s">
        <v>149</v>
      </c>
      <c r="P376" s="48">
        <f>HEX2DEC(RIGHT(Table132321279[[#This Row],[h1]],8))</f>
        <v>0</v>
      </c>
      <c r="Q376" s="48" t="s">
        <v>149</v>
      </c>
      <c r="R376" s="48">
        <f>HEX2DEC(RIGHT(Table132321279[[#This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553</v>
      </c>
      <c r="E377" s="15" t="s">
        <v>134</v>
      </c>
      <c r="G377" s="15">
        <f>IF(Table1319257[[#This Row],[dec val]]="",0,1)</f>
        <v>0</v>
      </c>
      <c r="J377" s="24">
        <v>50000</v>
      </c>
      <c r="M377" s="24">
        <v>50000</v>
      </c>
      <c r="O377" s="48" t="s">
        <v>149</v>
      </c>
      <c r="P377" s="48">
        <f>HEX2DEC(RIGHT(Table132321279[[#This Row],[h1]],8))</f>
        <v>0</v>
      </c>
      <c r="Q377" s="48" t="s">
        <v>149</v>
      </c>
      <c r="R377" s="48">
        <f>HEX2DEC(RIGHT(Table132321279[[#This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554</v>
      </c>
      <c r="E378" s="15" t="s">
        <v>135</v>
      </c>
      <c r="G378" s="15">
        <f>IF(Table1319257[[#This Row],[dec val]]="",0,1)</f>
        <v>0</v>
      </c>
      <c r="J378" s="24">
        <v>50000</v>
      </c>
      <c r="M378" s="24">
        <v>50000</v>
      </c>
      <c r="O378" s="48" t="s">
        <v>149</v>
      </c>
      <c r="P378" s="48">
        <f>HEX2DEC(RIGHT(Table132321279[[#This Row],[h1]],8))</f>
        <v>0</v>
      </c>
      <c r="Q378" s="48" t="s">
        <v>149</v>
      </c>
      <c r="R378" s="48">
        <f>HEX2DEC(RIGHT(Table132321279[[#This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555</v>
      </c>
      <c r="E379" s="15" t="s">
        <v>136</v>
      </c>
      <c r="G379" s="15">
        <f>IF(Table1319257[[#This Row],[dec val]]="",0,1)</f>
        <v>0</v>
      </c>
      <c r="J379" s="24">
        <v>50000</v>
      </c>
      <c r="M379" s="24">
        <v>50000</v>
      </c>
      <c r="O379" s="48" t="s">
        <v>149</v>
      </c>
      <c r="P379" s="48">
        <f>HEX2DEC(RIGHT(Table132321279[[#This Row],[h1]],8))</f>
        <v>0</v>
      </c>
      <c r="Q379" s="48" t="s">
        <v>149</v>
      </c>
      <c r="R379" s="48">
        <f>HEX2DEC(RIGHT(Table132321279[[#This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738</v>
      </c>
      <c r="G380" s="15">
        <v>0</v>
      </c>
      <c r="J380" s="24">
        <v>50000</v>
      </c>
      <c r="M380" s="24">
        <v>50000</v>
      </c>
      <c r="O380" s="48" t="s">
        <v>149</v>
      </c>
      <c r="P380" s="48">
        <f>HEX2DEC(RIGHT(Table132321279[[#This Row],[h1]],8))</f>
        <v>0</v>
      </c>
      <c r="Q380" s="48" t="s">
        <v>149</v>
      </c>
      <c r="R380" s="48">
        <f>HEX2DEC(RIGHT(Table132321279[[#This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J381" s="24">
        <v>50000</v>
      </c>
      <c r="M381" s="24">
        <v>50000</v>
      </c>
      <c r="O381" s="48" t="s">
        <v>149</v>
      </c>
      <c r="P381" s="48">
        <f>HEX2DEC(RIGHT(Table132321279[[#This Row],[h1]],8))</f>
        <v>0</v>
      </c>
      <c r="Q381" s="48" t="s">
        <v>149</v>
      </c>
      <c r="R381" s="48">
        <f>HEX2DEC(RIGHT(Table132321279[[#This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556</v>
      </c>
      <c r="G382" s="15">
        <v>0</v>
      </c>
      <c r="J382" s="24">
        <v>50000</v>
      </c>
      <c r="M382" s="24">
        <v>50000</v>
      </c>
      <c r="O382" s="48" t="s">
        <v>149</v>
      </c>
      <c r="P382" s="48">
        <f>HEX2DEC(RIGHT(Table132321279[[#This Row],[h1]],8))</f>
        <v>0</v>
      </c>
      <c r="Q382" s="48" t="s">
        <v>149</v>
      </c>
      <c r="R382" s="48">
        <f>HEX2DEC(RIGHT(Table132321279[[#This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557</v>
      </c>
      <c r="G383" s="15">
        <v>0</v>
      </c>
      <c r="J383" s="24">
        <v>50000</v>
      </c>
      <c r="M383" s="24">
        <v>50000</v>
      </c>
      <c r="O383" s="48" t="s">
        <v>149</v>
      </c>
      <c r="P383" s="48">
        <f>HEX2DEC(RIGHT(Table132321279[[#This Row],[h1]],8))</f>
        <v>0</v>
      </c>
      <c r="Q383" s="48" t="s">
        <v>149</v>
      </c>
      <c r="R383" s="48">
        <f>HEX2DEC(RIGHT(Table132321279[[#This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558</v>
      </c>
      <c r="G384" s="15">
        <v>0</v>
      </c>
      <c r="J384" s="24">
        <v>50000</v>
      </c>
      <c r="M384" s="24">
        <v>50000</v>
      </c>
      <c r="O384" s="48" t="s">
        <v>149</v>
      </c>
      <c r="P384" s="48">
        <f>HEX2DEC(RIGHT(Table132321279[[#This Row],[h1]],8))</f>
        <v>0</v>
      </c>
      <c r="Q384" s="48" t="s">
        <v>149</v>
      </c>
      <c r="R384" s="48">
        <f>HEX2DEC(RIGHT(Table132321279[[#This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559</v>
      </c>
      <c r="G385" s="15">
        <v>0</v>
      </c>
      <c r="J385" s="24">
        <v>50000</v>
      </c>
      <c r="M385" s="24">
        <v>50000</v>
      </c>
      <c r="O385" s="48" t="s">
        <v>149</v>
      </c>
      <c r="P385" s="48">
        <f>HEX2DEC(RIGHT(Table132321279[[#This Row],[h1]],8))</f>
        <v>0</v>
      </c>
      <c r="Q385" s="48" t="s">
        <v>149</v>
      </c>
      <c r="R385" s="48">
        <f>HEX2DEC(RIGHT(Table132321279[[#This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560</v>
      </c>
      <c r="G386" s="15">
        <v>0</v>
      </c>
      <c r="J386" s="24">
        <v>50000</v>
      </c>
      <c r="M386" s="24">
        <v>50000</v>
      </c>
      <c r="O386" s="48" t="s">
        <v>149</v>
      </c>
      <c r="P386" s="48">
        <f>HEX2DEC(RIGHT(Table132321279[[#This Row],[h1]],8))</f>
        <v>0</v>
      </c>
      <c r="Q386" s="48" t="s">
        <v>149</v>
      </c>
      <c r="R386" s="48">
        <f>HEX2DEC(RIGHT(Table132321279[[#This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561</v>
      </c>
      <c r="G387" s="15">
        <v>0</v>
      </c>
      <c r="J387" s="24">
        <v>50000</v>
      </c>
      <c r="M387" s="24">
        <v>50000</v>
      </c>
      <c r="O387" s="48" t="s">
        <v>149</v>
      </c>
      <c r="P387" s="48">
        <f>HEX2DEC(RIGHT(Table132321279[[#This Row],[h1]],8))</f>
        <v>0</v>
      </c>
      <c r="Q387" s="48" t="s">
        <v>149</v>
      </c>
      <c r="R387" s="48">
        <f>HEX2DEC(RIGHT(Table132321279[[#This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562</v>
      </c>
      <c r="G388" s="15">
        <v>0</v>
      </c>
      <c r="J388" s="24">
        <v>50000</v>
      </c>
      <c r="M388" s="24">
        <v>50000</v>
      </c>
      <c r="O388" s="48" t="s">
        <v>149</v>
      </c>
      <c r="P388" s="48">
        <f>HEX2DEC(RIGHT(Table132321279[[#This Row],[h1]],8))</f>
        <v>0</v>
      </c>
      <c r="Q388" s="48" t="s">
        <v>149</v>
      </c>
      <c r="R388" s="48">
        <f>HEX2DEC(RIGHT(Table132321279[[#This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G389" s="33"/>
      <c r="J389" s="24">
        <v>50000</v>
      </c>
      <c r="M389" s="24">
        <v>50000</v>
      </c>
      <c r="O389" s="48" t="s">
        <v>149</v>
      </c>
      <c r="P389" s="48">
        <f>HEX2DEC(RIGHT(Table132321279[[#This Row],[h1]],8))</f>
        <v>0</v>
      </c>
      <c r="Q389" s="48" t="s">
        <v>149</v>
      </c>
      <c r="R389" s="48">
        <f>HEX2DEC(RIGHT(Table132321279[[#This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165</v>
      </c>
      <c r="G390" s="33" t="s">
        <v>206</v>
      </c>
      <c r="J390" s="24">
        <v>50000</v>
      </c>
      <c r="M390" s="24">
        <v>50000</v>
      </c>
      <c r="O390" s="48" t="s">
        <v>149</v>
      </c>
      <c r="P390" s="48">
        <f>HEX2DEC(RIGHT(Table132321279[[#This Row],[h1]],8))</f>
        <v>0</v>
      </c>
      <c r="Q390" s="48" t="s">
        <v>149</v>
      </c>
      <c r="R390" s="48">
        <f>HEX2DEC(RIGHT(Table132321279[[#This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166</v>
      </c>
      <c r="G391" s="33" t="s">
        <v>207</v>
      </c>
      <c r="J391" s="24">
        <v>50000</v>
      </c>
      <c r="M391" s="24">
        <v>50000</v>
      </c>
      <c r="O391" s="48" t="s">
        <v>149</v>
      </c>
      <c r="P391" s="48">
        <f>HEX2DEC(RIGHT(Table132321279[[#This Row],[h1]],8))</f>
        <v>0</v>
      </c>
      <c r="Q391" s="48" t="s">
        <v>149</v>
      </c>
      <c r="R391" s="48">
        <f>HEX2DEC(RIGHT(Table132321279[[#This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167</v>
      </c>
      <c r="G392" s="33" t="s">
        <v>207</v>
      </c>
      <c r="J392" s="24">
        <v>50000</v>
      </c>
      <c r="M392" s="24">
        <v>50000</v>
      </c>
      <c r="O392" s="48" t="s">
        <v>149</v>
      </c>
      <c r="P392" s="48">
        <f>HEX2DEC(RIGHT(Table132321279[[#This Row],[h1]],8))</f>
        <v>0</v>
      </c>
      <c r="Q392" s="48" t="s">
        <v>149</v>
      </c>
      <c r="R392" s="48">
        <f>HEX2DEC(RIGHT(Table132321279[[#This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168</v>
      </c>
      <c r="G393" s="33" t="s">
        <v>207</v>
      </c>
      <c r="J393" s="24">
        <v>50000</v>
      </c>
      <c r="M393" s="24">
        <v>50000</v>
      </c>
      <c r="O393" s="48" t="s">
        <v>149</v>
      </c>
      <c r="P393" s="48">
        <f>HEX2DEC(RIGHT(Table132321279[[#This Row],[h1]],8))</f>
        <v>0</v>
      </c>
      <c r="Q393" s="48" t="s">
        <v>149</v>
      </c>
      <c r="R393" s="48">
        <f>HEX2DEC(RIGHT(Table132321279[[#This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169</v>
      </c>
      <c r="G394" s="33" t="s">
        <v>207</v>
      </c>
      <c r="J394" s="24">
        <v>50000</v>
      </c>
      <c r="M394" s="24">
        <v>50000</v>
      </c>
      <c r="O394" s="48" t="s">
        <v>149</v>
      </c>
      <c r="P394" s="48">
        <f>HEX2DEC(RIGHT(Table132321279[[#This Row],[h1]],8))</f>
        <v>0</v>
      </c>
      <c r="Q394" s="48" t="s">
        <v>149</v>
      </c>
      <c r="R394" s="48">
        <f>HEX2DEC(RIGHT(Table132321279[[#This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170</v>
      </c>
      <c r="G395" s="33" t="s">
        <v>207</v>
      </c>
      <c r="J395" s="24">
        <v>50000</v>
      </c>
      <c r="M395" s="24">
        <v>50000</v>
      </c>
      <c r="O395" s="48" t="s">
        <v>149</v>
      </c>
      <c r="P395" s="48">
        <f>HEX2DEC(RIGHT(Table132321279[[#This Row],[h1]],8))</f>
        <v>0</v>
      </c>
      <c r="Q395" s="48" t="s">
        <v>149</v>
      </c>
      <c r="R395" s="48">
        <f>HEX2DEC(RIGHT(Table132321279[[#This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171</v>
      </c>
      <c r="G396" s="33" t="s">
        <v>207</v>
      </c>
      <c r="J396" s="24">
        <v>50000</v>
      </c>
      <c r="M396" s="24">
        <v>50000</v>
      </c>
      <c r="O396" s="48" t="s">
        <v>149</v>
      </c>
      <c r="P396" s="48">
        <f>HEX2DEC(RIGHT(Table132321279[[#This Row],[h1]],8))</f>
        <v>0</v>
      </c>
      <c r="Q396" s="48" t="s">
        <v>149</v>
      </c>
      <c r="R396" s="48">
        <f>HEX2DEC(RIGHT(Table132321279[[#This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172</v>
      </c>
      <c r="G397" s="33" t="s">
        <v>204</v>
      </c>
      <c r="J397" s="24">
        <v>50000</v>
      </c>
      <c r="M397" s="24">
        <v>50000</v>
      </c>
      <c r="O397" s="48" t="s">
        <v>149</v>
      </c>
      <c r="P397" s="48">
        <f>HEX2DEC(RIGHT(Table132321279[[#This Row],[h1]],8))</f>
        <v>0</v>
      </c>
      <c r="Q397" s="48" t="s">
        <v>149</v>
      </c>
      <c r="R397" s="48">
        <f>HEX2DEC(RIGHT(Table132321279[[#This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173</v>
      </c>
      <c r="G398" s="33" t="s">
        <v>204</v>
      </c>
      <c r="J398" s="24">
        <v>50000</v>
      </c>
      <c r="M398" s="24">
        <v>50000</v>
      </c>
      <c r="O398" s="48" t="s">
        <v>149</v>
      </c>
      <c r="P398" s="48">
        <f>HEX2DEC(RIGHT(Table132321279[[#This Row],[h1]],8))</f>
        <v>0</v>
      </c>
      <c r="Q398" s="48" t="s">
        <v>149</v>
      </c>
      <c r="R398" s="48">
        <f>HEX2DEC(RIGHT(Table132321279[[#This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174</v>
      </c>
      <c r="G399" s="33" t="s">
        <v>204</v>
      </c>
      <c r="J399" s="24">
        <v>50000</v>
      </c>
      <c r="M399" s="24">
        <v>50000</v>
      </c>
      <c r="O399" s="48" t="s">
        <v>149</v>
      </c>
      <c r="P399" s="48">
        <f>HEX2DEC(RIGHT(Table132321279[[#This Row],[h1]],8))</f>
        <v>0</v>
      </c>
      <c r="Q399" s="48" t="s">
        <v>149</v>
      </c>
      <c r="R399" s="48">
        <f>HEX2DEC(RIGHT(Table132321279[[#This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175</v>
      </c>
      <c r="G400" s="33" t="s">
        <v>204</v>
      </c>
      <c r="J400" s="24">
        <v>50000</v>
      </c>
      <c r="M400" s="24">
        <v>50000</v>
      </c>
      <c r="O400" s="48" t="s">
        <v>149</v>
      </c>
      <c r="P400" s="48">
        <f>HEX2DEC(RIGHT(Table132321279[[#This Row],[h1]],8))</f>
        <v>0</v>
      </c>
      <c r="Q400" s="48" t="s">
        <v>149</v>
      </c>
      <c r="R400" s="48">
        <f>HEX2DEC(RIGHT(Table132321279[[#This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176</v>
      </c>
      <c r="G401" s="33" t="s">
        <v>204</v>
      </c>
      <c r="J401" s="24">
        <v>50000</v>
      </c>
      <c r="M401" s="24">
        <v>50000</v>
      </c>
      <c r="O401" s="48" t="s">
        <v>149</v>
      </c>
      <c r="P401" s="48">
        <f>HEX2DEC(RIGHT(Table132321279[[#This Row],[h1]],8))</f>
        <v>0</v>
      </c>
      <c r="Q401" s="48" t="s">
        <v>149</v>
      </c>
      <c r="R401" s="48">
        <f>HEX2DEC(RIGHT(Table132321279[[#This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177</v>
      </c>
      <c r="G402" s="33" t="s">
        <v>204</v>
      </c>
      <c r="J402" s="24">
        <v>50000</v>
      </c>
      <c r="M402" s="24">
        <v>50000</v>
      </c>
      <c r="O402" s="48" t="s">
        <v>149</v>
      </c>
      <c r="P402" s="48">
        <f>HEX2DEC(RIGHT(Table132321279[[#This Row],[h1]],8))</f>
        <v>0</v>
      </c>
      <c r="Q402" s="48" t="s">
        <v>149</v>
      </c>
      <c r="R402" s="48">
        <f>HEX2DEC(RIGHT(Table132321279[[#This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178</v>
      </c>
      <c r="G403" s="33" t="s">
        <v>204</v>
      </c>
      <c r="J403" s="24">
        <v>50000</v>
      </c>
      <c r="M403" s="24">
        <v>50000</v>
      </c>
      <c r="O403" s="48" t="s">
        <v>149</v>
      </c>
      <c r="P403" s="48">
        <f>HEX2DEC(RIGHT(Table132321279[[#This Row],[h1]],8))</f>
        <v>0</v>
      </c>
      <c r="Q403" s="48" t="s">
        <v>149</v>
      </c>
      <c r="R403" s="48">
        <f>HEX2DEC(RIGHT(Table132321279[[#This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179</v>
      </c>
      <c r="G404" s="33" t="s">
        <v>204</v>
      </c>
      <c r="J404" s="24">
        <v>50000</v>
      </c>
      <c r="M404" s="24">
        <v>50000</v>
      </c>
      <c r="O404" s="48" t="s">
        <v>149</v>
      </c>
      <c r="P404" s="48">
        <f>HEX2DEC(RIGHT(Table132321279[[#This Row],[h1]],8))</f>
        <v>0</v>
      </c>
      <c r="Q404" s="48" t="s">
        <v>149</v>
      </c>
      <c r="R404" s="48">
        <f>HEX2DEC(RIGHT(Table132321279[[#This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180</v>
      </c>
      <c r="G405" s="33" t="s">
        <v>204</v>
      </c>
      <c r="J405" s="24">
        <v>50000</v>
      </c>
      <c r="M405" s="24">
        <v>50000</v>
      </c>
      <c r="O405" s="48" t="s">
        <v>149</v>
      </c>
      <c r="P405" s="48">
        <f>HEX2DEC(RIGHT(Table132321279[[#This Row],[h1]],8))</f>
        <v>0</v>
      </c>
      <c r="Q405" s="48" t="s">
        <v>149</v>
      </c>
      <c r="R405" s="48">
        <f>HEX2DEC(RIGHT(Table132321279[[#This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181</v>
      </c>
      <c r="G406" s="33" t="s">
        <v>204</v>
      </c>
      <c r="J406" s="24">
        <v>50000</v>
      </c>
      <c r="M406" s="24">
        <v>50000</v>
      </c>
      <c r="O406" s="48" t="s">
        <v>149</v>
      </c>
      <c r="P406" s="48">
        <f>HEX2DEC(RIGHT(Table132321279[[#This Row],[h1]],8))</f>
        <v>0</v>
      </c>
      <c r="Q406" s="48" t="s">
        <v>149</v>
      </c>
      <c r="R406" s="48">
        <f>HEX2DEC(RIGHT(Table132321279[[#This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182</v>
      </c>
      <c r="G407" s="33" t="s">
        <v>204</v>
      </c>
      <c r="J407" s="24">
        <v>50000</v>
      </c>
      <c r="M407" s="24">
        <v>50000</v>
      </c>
      <c r="O407" s="48" t="s">
        <v>149</v>
      </c>
      <c r="P407" s="48">
        <f>HEX2DEC(RIGHT(Table132321279[[#This Row],[h1]],8))</f>
        <v>0</v>
      </c>
      <c r="Q407" s="48" t="s">
        <v>149</v>
      </c>
      <c r="R407" s="48">
        <f>HEX2DEC(RIGHT(Table132321279[[#This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183</v>
      </c>
      <c r="G408" s="33" t="s">
        <v>204</v>
      </c>
      <c r="J408" s="24">
        <v>50000</v>
      </c>
      <c r="M408" s="24">
        <v>50000</v>
      </c>
      <c r="O408" s="48" t="s">
        <v>149</v>
      </c>
      <c r="P408" s="48">
        <f>HEX2DEC(RIGHT(Table132321279[[#This Row],[h1]],8))</f>
        <v>0</v>
      </c>
      <c r="Q408" s="48" t="s">
        <v>149</v>
      </c>
      <c r="R408" s="48">
        <f>HEX2DEC(RIGHT(Table132321279[[#This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184</v>
      </c>
      <c r="G409" s="33" t="s">
        <v>204</v>
      </c>
      <c r="J409" s="24">
        <v>50000</v>
      </c>
      <c r="M409" s="24">
        <v>50000</v>
      </c>
      <c r="O409" s="48" t="s">
        <v>149</v>
      </c>
      <c r="P409" s="48">
        <f>HEX2DEC(RIGHT(Table132321279[[#This Row],[h1]],8))</f>
        <v>0</v>
      </c>
      <c r="Q409" s="48" t="s">
        <v>149</v>
      </c>
      <c r="R409" s="48">
        <f>HEX2DEC(RIGHT(Table132321279[[#This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185</v>
      </c>
      <c r="G410" s="33" t="s">
        <v>204</v>
      </c>
      <c r="J410" s="24">
        <v>50000</v>
      </c>
      <c r="M410" s="24">
        <v>50000</v>
      </c>
      <c r="O410" s="48" t="s">
        <v>149</v>
      </c>
      <c r="P410" s="48">
        <f>HEX2DEC(RIGHT(Table132321279[[#This Row],[h1]],8))</f>
        <v>0</v>
      </c>
      <c r="Q410" s="48" t="s">
        <v>149</v>
      </c>
      <c r="R410" s="48">
        <f>HEX2DEC(RIGHT(Table132321279[[#This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186</v>
      </c>
      <c r="G411" s="33" t="s">
        <v>204</v>
      </c>
      <c r="J411" s="24">
        <v>50000</v>
      </c>
      <c r="M411" s="24">
        <v>50000</v>
      </c>
      <c r="O411" s="48" t="s">
        <v>149</v>
      </c>
      <c r="P411" s="48">
        <f>HEX2DEC(RIGHT(Table132321279[[#This Row],[h1]],8))</f>
        <v>0</v>
      </c>
      <c r="Q411" s="48" t="s">
        <v>149</v>
      </c>
      <c r="R411" s="48">
        <f>HEX2DEC(RIGHT(Table132321279[[#This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187</v>
      </c>
      <c r="G412" s="33" t="s">
        <v>204</v>
      </c>
      <c r="J412" s="24">
        <v>50000</v>
      </c>
      <c r="M412" s="24">
        <v>50000</v>
      </c>
      <c r="O412" s="48" t="s">
        <v>149</v>
      </c>
      <c r="P412" s="48">
        <f>HEX2DEC(RIGHT(Table132321279[[#This Row],[h1]],8))</f>
        <v>0</v>
      </c>
      <c r="Q412" s="48" t="s">
        <v>149</v>
      </c>
      <c r="R412" s="48">
        <f>HEX2DEC(RIGHT(Table132321279[[#This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188</v>
      </c>
      <c r="G413" s="33" t="s">
        <v>204</v>
      </c>
      <c r="J413" s="24">
        <v>50000</v>
      </c>
      <c r="M413" s="24">
        <v>50000</v>
      </c>
      <c r="O413" s="48" t="s">
        <v>149</v>
      </c>
      <c r="P413" s="48">
        <f>HEX2DEC(RIGHT(Table132321279[[#This Row],[h1]],8))</f>
        <v>0</v>
      </c>
      <c r="Q413" s="48" t="s">
        <v>149</v>
      </c>
      <c r="R413" s="48">
        <f>HEX2DEC(RIGHT(Table132321279[[#This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189</v>
      </c>
      <c r="G414" s="33" t="s">
        <v>204</v>
      </c>
      <c r="J414" s="24">
        <v>50000</v>
      </c>
      <c r="M414" s="24">
        <v>50000</v>
      </c>
      <c r="O414" s="48" t="s">
        <v>149</v>
      </c>
      <c r="P414" s="48">
        <f>HEX2DEC(RIGHT(Table132321279[[#This Row],[h1]],8))</f>
        <v>0</v>
      </c>
      <c r="Q414" s="48" t="s">
        <v>149</v>
      </c>
      <c r="R414" s="48">
        <f>HEX2DEC(RIGHT(Table132321279[[#This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190</v>
      </c>
      <c r="G415" s="33" t="s">
        <v>204</v>
      </c>
      <c r="J415" s="24">
        <v>50000</v>
      </c>
      <c r="M415" s="24">
        <v>50000</v>
      </c>
      <c r="O415" s="48" t="s">
        <v>149</v>
      </c>
      <c r="P415" s="48">
        <f>HEX2DEC(RIGHT(Table132321279[[#This Row],[h1]],8))</f>
        <v>0</v>
      </c>
      <c r="Q415" s="48" t="s">
        <v>149</v>
      </c>
      <c r="R415" s="48">
        <f>HEX2DEC(RIGHT(Table132321279[[#This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191</v>
      </c>
      <c r="G416" s="33" t="s">
        <v>204</v>
      </c>
      <c r="J416" s="24">
        <v>50000</v>
      </c>
      <c r="M416" s="24">
        <v>50000</v>
      </c>
      <c r="O416" s="48" t="s">
        <v>149</v>
      </c>
      <c r="P416" s="48">
        <f>HEX2DEC(RIGHT(Table132321279[[#This Row],[h1]],8))</f>
        <v>0</v>
      </c>
      <c r="Q416" s="48" t="s">
        <v>149</v>
      </c>
      <c r="R416" s="48">
        <f>HEX2DEC(RIGHT(Table132321279[[#This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192</v>
      </c>
      <c r="G417" s="33" t="s">
        <v>204</v>
      </c>
      <c r="J417" s="24">
        <v>50000</v>
      </c>
      <c r="M417" s="24">
        <v>50000</v>
      </c>
      <c r="O417" s="48" t="s">
        <v>149</v>
      </c>
      <c r="P417" s="48">
        <f>HEX2DEC(RIGHT(Table132321279[[#This Row],[h1]],8))</f>
        <v>0</v>
      </c>
      <c r="Q417" s="48" t="s">
        <v>149</v>
      </c>
      <c r="R417" s="48">
        <f>HEX2DEC(RIGHT(Table132321279[[#This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193</v>
      </c>
      <c r="G418" s="33" t="s">
        <v>204</v>
      </c>
      <c r="J418" s="24">
        <v>50000</v>
      </c>
      <c r="M418" s="24">
        <v>50000</v>
      </c>
      <c r="O418" s="48" t="s">
        <v>149</v>
      </c>
      <c r="P418" s="48">
        <f>HEX2DEC(RIGHT(Table132321279[[#This Row],[h1]],8))</f>
        <v>0</v>
      </c>
      <c r="Q418" s="48" t="s">
        <v>149</v>
      </c>
      <c r="R418" s="48">
        <f>HEX2DEC(RIGHT(Table132321279[[#This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194</v>
      </c>
      <c r="G419" s="33" t="s">
        <v>204</v>
      </c>
      <c r="J419" s="24">
        <v>50000</v>
      </c>
      <c r="M419" s="24">
        <v>50000</v>
      </c>
      <c r="O419" s="48" t="s">
        <v>149</v>
      </c>
      <c r="P419" s="48">
        <f>HEX2DEC(RIGHT(Table132321279[[#This Row],[h1]],8))</f>
        <v>0</v>
      </c>
      <c r="Q419" s="48" t="s">
        <v>149</v>
      </c>
      <c r="R419" s="48">
        <f>HEX2DEC(RIGHT(Table132321279[[#This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195</v>
      </c>
      <c r="G420" s="33" t="s">
        <v>204</v>
      </c>
      <c r="J420" s="24">
        <v>50000</v>
      </c>
      <c r="M420" s="24">
        <v>50000</v>
      </c>
      <c r="O420" s="48" t="s">
        <v>149</v>
      </c>
      <c r="P420" s="48">
        <f>HEX2DEC(RIGHT(Table132321279[[#This Row],[h1]],8))</f>
        <v>0</v>
      </c>
      <c r="Q420" s="48" t="s">
        <v>149</v>
      </c>
      <c r="R420" s="48">
        <f>HEX2DEC(RIGHT(Table132321279[[#This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196</v>
      </c>
      <c r="G421" s="33" t="s">
        <v>204</v>
      </c>
      <c r="J421" s="24">
        <v>50000</v>
      </c>
      <c r="M421" s="24">
        <v>50000</v>
      </c>
      <c r="O421" s="48" t="s">
        <v>149</v>
      </c>
      <c r="P421" s="48">
        <f>HEX2DEC(RIGHT(Table132321279[[#This Row],[h1]],8))</f>
        <v>0</v>
      </c>
      <c r="Q421" s="48" t="s">
        <v>149</v>
      </c>
      <c r="R421" s="48">
        <f>HEX2DEC(RIGHT(Table132321279[[#This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197</v>
      </c>
      <c r="G422" s="33" t="s">
        <v>204</v>
      </c>
      <c r="J422" s="24">
        <v>50000</v>
      </c>
      <c r="M422" s="24">
        <v>50000</v>
      </c>
      <c r="O422" s="48" t="s">
        <v>149</v>
      </c>
      <c r="P422" s="48">
        <f>HEX2DEC(RIGHT(Table132321279[[#This Row],[h1]],8))</f>
        <v>0</v>
      </c>
      <c r="Q422" s="48" t="s">
        <v>149</v>
      </c>
      <c r="R422" s="48">
        <f>HEX2DEC(RIGHT(Table132321279[[#This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198</v>
      </c>
      <c r="G423" s="33" t="s">
        <v>204</v>
      </c>
      <c r="J423" s="24">
        <v>50000</v>
      </c>
      <c r="M423" s="24">
        <v>50000</v>
      </c>
      <c r="O423" s="48" t="s">
        <v>149</v>
      </c>
      <c r="P423" s="48">
        <f>HEX2DEC(RIGHT(Table132321279[[#This Row],[h1]],8))</f>
        <v>0</v>
      </c>
      <c r="Q423" s="48" t="s">
        <v>149</v>
      </c>
      <c r="R423" s="48">
        <f>HEX2DEC(RIGHT(Table132321279[[#This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199</v>
      </c>
      <c r="G424" s="33" t="s">
        <v>204</v>
      </c>
      <c r="J424" s="24">
        <v>50000</v>
      </c>
      <c r="M424" s="24">
        <v>50000</v>
      </c>
      <c r="O424" s="48" t="s">
        <v>149</v>
      </c>
      <c r="P424" s="48">
        <f>HEX2DEC(RIGHT(Table132321279[[#This Row],[h1]],8))</f>
        <v>0</v>
      </c>
      <c r="Q424" s="48" t="s">
        <v>149</v>
      </c>
      <c r="R424" s="48">
        <f>HEX2DEC(RIGHT(Table132321279[[#This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200</v>
      </c>
      <c r="G425" s="33" t="s">
        <v>204</v>
      </c>
      <c r="J425" s="24">
        <v>50000</v>
      </c>
      <c r="M425" s="24">
        <v>50000</v>
      </c>
      <c r="O425" s="48" t="s">
        <v>149</v>
      </c>
      <c r="P425" s="48">
        <f>HEX2DEC(RIGHT(Table132321279[[#This Row],[h1]],8))</f>
        <v>0</v>
      </c>
      <c r="Q425" s="48" t="s">
        <v>149</v>
      </c>
      <c r="R425" s="48">
        <f>HEX2DEC(RIGHT(Table132321279[[#This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201</v>
      </c>
      <c r="G426" s="33" t="s">
        <v>204</v>
      </c>
      <c r="J426" s="24">
        <v>50000</v>
      </c>
      <c r="M426" s="24">
        <v>50000</v>
      </c>
      <c r="O426" s="48" t="s">
        <v>149</v>
      </c>
      <c r="P426" s="48">
        <f>HEX2DEC(RIGHT(Table132321279[[#This Row],[h1]],8))</f>
        <v>0</v>
      </c>
      <c r="Q426" s="48" t="s">
        <v>149</v>
      </c>
      <c r="R426" s="48">
        <f>HEX2DEC(RIGHT(Table132321279[[#This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202</v>
      </c>
      <c r="G427" s="33" t="s">
        <v>204</v>
      </c>
      <c r="J427" s="24">
        <v>50000</v>
      </c>
      <c r="M427" s="24">
        <v>50000</v>
      </c>
      <c r="O427" s="48" t="s">
        <v>149</v>
      </c>
      <c r="P427" s="48">
        <f>HEX2DEC(RIGHT(Table132321279[[#This Row],[h1]],8))</f>
        <v>0</v>
      </c>
      <c r="Q427" s="48" t="s">
        <v>149</v>
      </c>
      <c r="R427" s="48">
        <f>HEX2DEC(RIGHT(Table132321279[[#This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203</v>
      </c>
      <c r="G428" s="33" t="s">
        <v>204</v>
      </c>
      <c r="J428" s="24">
        <v>50000</v>
      </c>
      <c r="M428" s="24">
        <v>50000</v>
      </c>
      <c r="O428" s="48" t="s">
        <v>149</v>
      </c>
      <c r="P428" s="48">
        <f>HEX2DEC(RIGHT(Table132321279[[#This Row],[h1]],8))</f>
        <v>0</v>
      </c>
      <c r="Q428" s="48" t="s">
        <v>149</v>
      </c>
      <c r="R428" s="48">
        <f>HEX2DEC(RIGHT(Table132321279[[#This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205</v>
      </c>
      <c r="G429" s="15">
        <v>1</v>
      </c>
      <c r="J429" s="24">
        <v>50000</v>
      </c>
      <c r="M429" s="24">
        <v>50000</v>
      </c>
      <c r="O429" s="48" t="s">
        <v>149</v>
      </c>
      <c r="P429" s="48">
        <f>HEX2DEC(RIGHT(Table132321279[[#This Row],[h1]],8))</f>
        <v>0</v>
      </c>
      <c r="Q429" s="48" t="s">
        <v>149</v>
      </c>
      <c r="R429" s="48">
        <f>HEX2DEC(RIGHT(Table132321279[[#This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205</v>
      </c>
      <c r="G430" s="15">
        <v>0</v>
      </c>
      <c r="J430" s="24">
        <v>50000</v>
      </c>
      <c r="M430" s="24">
        <v>50000</v>
      </c>
      <c r="O430" s="48" t="s">
        <v>149</v>
      </c>
      <c r="P430" s="48">
        <f>HEX2DEC(RIGHT(Table132321279[[#This Row],[h1]],8))</f>
        <v>0</v>
      </c>
      <c r="Q430" s="48" t="s">
        <v>149</v>
      </c>
      <c r="R430" s="48">
        <f>HEX2DEC(RIGHT(Table132321279[[#This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8" t="s">
        <v>149</v>
      </c>
      <c r="P431" s="48">
        <f>HEX2DEC(RIGHT(Table132321279[[#This Row],[h1]],8))</f>
        <v>0</v>
      </c>
      <c r="Q431" s="48" t="s">
        <v>149</v>
      </c>
      <c r="R431" s="48">
        <f>HEX2DEC(RIGHT(Table132321279[[#This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8" t="s">
        <v>149</v>
      </c>
      <c r="P432" s="48">
        <f>HEX2DEC(RIGHT(Table132321279[[#This Row],[h1]],8))</f>
        <v>0</v>
      </c>
      <c r="Q432" s="48" t="s">
        <v>149</v>
      </c>
      <c r="R432" s="48">
        <f>HEX2DEC(RIGHT(Table132321279[[#This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8" t="s">
        <v>149</v>
      </c>
      <c r="P433" s="48">
        <f>HEX2DEC(RIGHT(Table132321279[[#This Row],[h1]],8))</f>
        <v>0</v>
      </c>
      <c r="Q433" s="48" t="s">
        <v>149</v>
      </c>
      <c r="R433" s="48">
        <f>HEX2DEC(RIGHT(Table132321279[[#This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J434" s="24">
        <v>50000</v>
      </c>
      <c r="M434" s="24">
        <v>50000</v>
      </c>
      <c r="O434" s="48" t="s">
        <v>149</v>
      </c>
      <c r="P434" s="48">
        <f>HEX2DEC(RIGHT(Table132321279[[#This Row],[h1]],8))</f>
        <v>0</v>
      </c>
      <c r="Q434" s="48" t="s">
        <v>149</v>
      </c>
      <c r="R434" s="48">
        <f>HEX2DEC(RIGHT(Table132321279[[#This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J435" s="24">
        <v>50000</v>
      </c>
      <c r="M435" s="24">
        <v>50000</v>
      </c>
      <c r="O435" s="48" t="s">
        <v>149</v>
      </c>
      <c r="P435" s="48">
        <f>HEX2DEC(RIGHT(Table132321279[[#This Row],[h1]],8))</f>
        <v>0</v>
      </c>
      <c r="Q435" s="48" t="s">
        <v>149</v>
      </c>
      <c r="R435" s="48">
        <f>HEX2DEC(RIGHT(Table132321279[[#This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8" t="s">
        <v>149</v>
      </c>
      <c r="P436" s="48">
        <f>HEX2DEC(RIGHT(Table132321279[[#This Row],[h1]],8))</f>
        <v>0</v>
      </c>
      <c r="Q436" s="48" t="s">
        <v>149</v>
      </c>
      <c r="R436" s="48">
        <f>HEX2DEC(RIGHT(Table132321279[[#This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8" t="s">
        <v>149</v>
      </c>
      <c r="P437" s="48">
        <f>HEX2DEC(RIGHT(Table132321279[[#This Row],[h1]],8))</f>
        <v>0</v>
      </c>
      <c r="Q437" s="48" t="s">
        <v>149</v>
      </c>
      <c r="R437" s="48">
        <f>HEX2DEC(RIGHT(Table132321279[[#This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8" t="s">
        <v>149</v>
      </c>
      <c r="P438" s="48">
        <f>HEX2DEC(RIGHT(Table132321279[[#This Row],[h1]],8))</f>
        <v>0</v>
      </c>
      <c r="Q438" s="48" t="s">
        <v>149</v>
      </c>
      <c r="R438" s="48">
        <f>HEX2DEC(RIGHT(Table132321279[[#This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8" t="s">
        <v>149</v>
      </c>
      <c r="P439" s="48">
        <f>HEX2DEC(RIGHT(Table132321279[[#This Row],[h1]],8))</f>
        <v>0</v>
      </c>
      <c r="Q439" s="48" t="s">
        <v>149</v>
      </c>
      <c r="R439" s="48">
        <f>HEX2DEC(RIGHT(Table132321279[[#This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8" t="s">
        <v>149</v>
      </c>
      <c r="P440" s="48">
        <f>HEX2DEC(RIGHT(Table132321279[[#This Row],[h1]],8))</f>
        <v>0</v>
      </c>
      <c r="Q440" s="48" t="s">
        <v>149</v>
      </c>
      <c r="R440" s="48">
        <f>HEX2DEC(RIGHT(Table132321279[[#This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8" t="s">
        <v>149</v>
      </c>
      <c r="P441" s="48">
        <f>HEX2DEC(RIGHT(Table132321279[[#This Row],[h1]],8))</f>
        <v>0</v>
      </c>
      <c r="Q441" s="48" t="s">
        <v>149</v>
      </c>
      <c r="R441" s="48">
        <f>HEX2DEC(RIGHT(Table132321279[[#This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8" t="s">
        <v>149</v>
      </c>
      <c r="P442" s="48">
        <f>HEX2DEC(RIGHT(Table132321279[[#This Row],[h1]],8))</f>
        <v>0</v>
      </c>
      <c r="Q442" s="48" t="s">
        <v>149</v>
      </c>
      <c r="R442" s="48">
        <f>HEX2DEC(RIGHT(Table132321279[[#This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8" t="s">
        <v>149</v>
      </c>
      <c r="P443" s="48">
        <f>HEX2DEC(RIGHT(Table132321279[[#This Row],[h1]],8))</f>
        <v>0</v>
      </c>
      <c r="Q443" s="48" t="s">
        <v>149</v>
      </c>
      <c r="R443" s="48">
        <f>HEX2DEC(RIGHT(Table132321279[[#This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8" t="s">
        <v>149</v>
      </c>
      <c r="P444" s="48">
        <f>HEX2DEC(RIGHT(Table132321279[[#This Row],[h1]],8))</f>
        <v>0</v>
      </c>
      <c r="Q444" s="48" t="s">
        <v>149</v>
      </c>
      <c r="R444" s="48">
        <f>HEX2DEC(RIGHT(Table132321279[[#This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8" t="s">
        <v>149</v>
      </c>
      <c r="P445" s="48">
        <f>HEX2DEC(RIGHT(Table132321279[[#This Row],[h1]],8))</f>
        <v>0</v>
      </c>
      <c r="Q445" s="48" t="s">
        <v>149</v>
      </c>
      <c r="R445" s="48">
        <f>HEX2DEC(RIGHT(Table132321279[[#This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8" t="s">
        <v>149</v>
      </c>
      <c r="P446" s="48">
        <f>HEX2DEC(RIGHT(Table132321279[[#This Row],[h1]],8))</f>
        <v>0</v>
      </c>
      <c r="Q446" s="48" t="s">
        <v>149</v>
      </c>
      <c r="R446" s="48">
        <f>HEX2DEC(RIGHT(Table132321279[[#This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149</v>
      </c>
      <c r="P447" s="48">
        <f>HEX2DEC(RIGHT(Table132321279[[#This Row],[h1]],8))</f>
        <v>0</v>
      </c>
      <c r="Q447" s="48" t="s">
        <v>149</v>
      </c>
      <c r="R447" s="48">
        <f>HEX2DEC(RIGHT(Table132321279[[#This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149</v>
      </c>
      <c r="P448" s="48">
        <f>HEX2DEC(RIGHT(Table132321279[[#This Row],[h1]],8))</f>
        <v>0</v>
      </c>
      <c r="Q448" s="48" t="s">
        <v>149</v>
      </c>
      <c r="R448" s="48">
        <f>HEX2DEC(RIGHT(Table132321279[[#This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149</v>
      </c>
      <c r="P449" s="48">
        <f>HEX2DEC(RIGHT(Table132321279[[#This Row],[h1]],8))</f>
        <v>0</v>
      </c>
      <c r="Q449" s="48" t="s">
        <v>149</v>
      </c>
      <c r="R449" s="48">
        <f>HEX2DEC(RIGHT(Table132321279[[#This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149</v>
      </c>
      <c r="P450" s="48">
        <f>HEX2DEC(RIGHT(Table132321279[[#This Row],[h1]],8))</f>
        <v>0</v>
      </c>
      <c r="Q450" s="48" t="s">
        <v>149</v>
      </c>
      <c r="R450" s="48">
        <f>HEX2DEC(RIGHT(Table132321279[[#This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149</v>
      </c>
      <c r="P451" s="48">
        <f>HEX2DEC(RIGHT(Table132321279[[#This Row],[h1]],8))</f>
        <v>0</v>
      </c>
      <c r="Q451" s="48" t="s">
        <v>149</v>
      </c>
      <c r="R451" s="48">
        <f>HEX2DEC(RIGHT(Table132321279[[#This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149</v>
      </c>
      <c r="P452" s="48">
        <f>HEX2DEC(RIGHT(Table132321279[[#This Row],[h1]],8))</f>
        <v>0</v>
      </c>
      <c r="Q452" s="48" t="s">
        <v>149</v>
      </c>
      <c r="R452" s="48">
        <f>HEX2DEC(RIGHT(Table132321279[[#This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149</v>
      </c>
      <c r="P453" s="48">
        <f>HEX2DEC(RIGHT(Table132321279[[#This Row],[h1]],8))</f>
        <v>0</v>
      </c>
      <c r="Q453" s="48" t="s">
        <v>149</v>
      </c>
      <c r="R453" s="48">
        <f>HEX2DEC(RIGHT(Table132321279[[#This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149</v>
      </c>
      <c r="P454" s="48">
        <f>HEX2DEC(RIGHT(Table132321279[[#This Row],[h1]],8))</f>
        <v>0</v>
      </c>
      <c r="Q454" s="48" t="s">
        <v>149</v>
      </c>
      <c r="R454" s="48">
        <f>HEX2DEC(RIGHT(Table132321279[[#This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149</v>
      </c>
      <c r="P455" s="48">
        <f>HEX2DEC(RIGHT(Table132321279[[#This Row],[h1]],8))</f>
        <v>0</v>
      </c>
      <c r="Q455" s="48" t="s">
        <v>149</v>
      </c>
      <c r="R455" s="48">
        <f>HEX2DEC(RIGHT(Table132321279[[#This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149</v>
      </c>
      <c r="P456" s="48">
        <f>HEX2DEC(RIGHT(Table132321279[[#This Row],[h1]],8))</f>
        <v>0</v>
      </c>
      <c r="Q456" s="48" t="s">
        <v>149</v>
      </c>
      <c r="R456" s="48">
        <f>HEX2DEC(RIGHT(Table132321279[[#This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149</v>
      </c>
      <c r="P457" s="48">
        <f>HEX2DEC(RIGHT(Table132321279[[#This Row],[h1]],8))</f>
        <v>0</v>
      </c>
      <c r="Q457" s="48" t="s">
        <v>149</v>
      </c>
      <c r="R457" s="48">
        <f>HEX2DEC(RIGHT(Table132321279[[#This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149</v>
      </c>
      <c r="P458" s="48">
        <f>HEX2DEC(RIGHT(Table132321279[[#This Row],[h1]],8))</f>
        <v>0</v>
      </c>
      <c r="Q458" s="48" t="s">
        <v>149</v>
      </c>
      <c r="R458" s="48">
        <f>HEX2DEC(RIGHT(Table132321279[[#This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149</v>
      </c>
      <c r="P459" s="48">
        <f>HEX2DEC(RIGHT(Table132321279[[#This Row],[h1]],8))</f>
        <v>0</v>
      </c>
      <c r="Q459" s="48" t="s">
        <v>149</v>
      </c>
      <c r="R459" s="48">
        <f>HEX2DEC(RIGHT(Table132321279[[#This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149</v>
      </c>
      <c r="P460" s="48">
        <f>HEX2DEC(RIGHT(Table132321279[[#This Row],[h1]],8))</f>
        <v>0</v>
      </c>
      <c r="Q460" s="48" t="s">
        <v>149</v>
      </c>
      <c r="R460" s="48">
        <f>HEX2DEC(RIGHT(Table132321279[[#This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149</v>
      </c>
      <c r="P461" s="48">
        <f>HEX2DEC(RIGHT(Table132321279[[#This Row],[h1]],8))</f>
        <v>0</v>
      </c>
      <c r="Q461" s="48" t="s">
        <v>149</v>
      </c>
      <c r="R461" s="48">
        <f>HEX2DEC(RIGHT(Table132321279[[#This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149</v>
      </c>
      <c r="P462" s="48">
        <f>HEX2DEC(RIGHT(Table132321279[[#This Row],[h1]],8))</f>
        <v>0</v>
      </c>
      <c r="Q462" s="48" t="s">
        <v>149</v>
      </c>
      <c r="R462" s="48">
        <f>HEX2DEC(RIGHT(Table132321279[[#This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0" t="s">
        <v>56</v>
      </c>
      <c r="D463" s="43" t="s">
        <v>48</v>
      </c>
      <c r="E463" s="43"/>
      <c r="F463" s="43"/>
      <c r="G463" s="44"/>
      <c r="J463" s="24">
        <v>50000</v>
      </c>
      <c r="M463" s="24">
        <v>50000</v>
      </c>
      <c r="O463" s="48" t="s">
        <v>149</v>
      </c>
      <c r="P463" s="48">
        <f>HEX2DEC(RIGHT(Table132321279[[#This Row],[h1]],8))</f>
        <v>0</v>
      </c>
      <c r="Q463" s="48" t="s">
        <v>149</v>
      </c>
      <c r="R463" s="48">
        <f>HEX2DEC(RIGHT(Table132321279[[#This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8" t="s">
        <v>149</v>
      </c>
      <c r="P464" s="48">
        <f>HEX2DEC(RIGHT(Table132321279[[#This Row],[h1]],8))</f>
        <v>0</v>
      </c>
      <c r="Q464" s="48" t="s">
        <v>149</v>
      </c>
      <c r="R464" s="48">
        <f>HEX2DEC(RIGHT(Table132321279[[#This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8" t="s">
        <v>149</v>
      </c>
      <c r="P465" s="48">
        <f>HEX2DEC(RIGHT(Table132321279[[#This Row],[h1]],8))</f>
        <v>0</v>
      </c>
      <c r="Q465" s="48" t="s">
        <v>149</v>
      </c>
      <c r="R465" s="48">
        <f>HEX2DEC(RIGHT(Table132321279[[#This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G466" s="33"/>
      <c r="J466" s="24">
        <v>50000</v>
      </c>
      <c r="M466" s="24">
        <v>50000</v>
      </c>
      <c r="O466" s="48" t="s">
        <v>149</v>
      </c>
      <c r="P466" s="48">
        <f>HEX2DEC(RIGHT(Table132321279[[#This Row],[h1]],8))</f>
        <v>0</v>
      </c>
      <c r="Q466" s="48" t="s">
        <v>149</v>
      </c>
      <c r="R466" s="48">
        <f>HEX2DEC(RIGHT(Table132321279[[#This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G467" s="33"/>
      <c r="J467" s="24">
        <v>50000</v>
      </c>
      <c r="M467" s="24">
        <v>50000</v>
      </c>
      <c r="O467" s="48" t="s">
        <v>149</v>
      </c>
      <c r="P467" s="48">
        <f>HEX2DEC(RIGHT(Table132321279[[#This Row],[h1]],8))</f>
        <v>0</v>
      </c>
      <c r="Q467" s="48" t="s">
        <v>149</v>
      </c>
      <c r="R467" s="48">
        <f>HEX2DEC(RIGHT(Table132321279[[#This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160</v>
      </c>
      <c r="G468" s="33">
        <v>0</v>
      </c>
      <c r="J468" s="24">
        <v>50000</v>
      </c>
      <c r="M468" s="24">
        <v>50000</v>
      </c>
      <c r="O468" s="48" t="s">
        <v>149</v>
      </c>
      <c r="P468" s="48">
        <f>HEX2DEC(RIGHT(Table132321279[[#This Row],[h1]],8))</f>
        <v>0</v>
      </c>
      <c r="Q468" s="48" t="s">
        <v>149</v>
      </c>
      <c r="R468" s="48">
        <f>HEX2DEC(RIGHT(Table132321279[[#This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161</v>
      </c>
      <c r="G469" s="33">
        <v>1</v>
      </c>
      <c r="J469" s="24">
        <v>50000</v>
      </c>
      <c r="M469" s="24">
        <v>50000</v>
      </c>
      <c r="O469" s="48" t="s">
        <v>149</v>
      </c>
      <c r="P469" s="48">
        <f>HEX2DEC(RIGHT(Table132321279[[#This Row],[h1]],8))</f>
        <v>0</v>
      </c>
      <c r="Q469" s="48" t="s">
        <v>149</v>
      </c>
      <c r="R469" s="48">
        <f>HEX2DEC(RIGHT(Table132321279[[#This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D470" s="15" t="s">
        <v>162</v>
      </c>
      <c r="G470" s="33">
        <v>1</v>
      </c>
      <c r="J470" s="24">
        <v>50000</v>
      </c>
      <c r="M470" s="24">
        <v>50000</v>
      </c>
      <c r="O470" s="48" t="s">
        <v>149</v>
      </c>
      <c r="P470" s="48">
        <f>HEX2DEC(RIGHT(Table132321279[[#This Row],[h1]],8))</f>
        <v>0</v>
      </c>
      <c r="Q470" s="48" t="s">
        <v>149</v>
      </c>
      <c r="R470" s="48">
        <f>HEX2DEC(RIGHT(Table132321279[[#This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D471" s="15" t="s">
        <v>163</v>
      </c>
      <c r="G471" s="33">
        <v>1</v>
      </c>
      <c r="J471" s="24">
        <v>50000</v>
      </c>
      <c r="M471" s="24">
        <v>50000</v>
      </c>
      <c r="O471" s="48" t="s">
        <v>149</v>
      </c>
      <c r="P471" s="48">
        <f>HEX2DEC(RIGHT(Table132321279[[#This Row],[h1]],8))</f>
        <v>0</v>
      </c>
      <c r="Q471" s="48" t="s">
        <v>149</v>
      </c>
      <c r="R471" s="48">
        <f>HEX2DEC(RIGHT(Table132321279[[#This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E472" s="16"/>
      <c r="F472" s="16"/>
      <c r="G472" s="39" t="s">
        <v>158</v>
      </c>
      <c r="J472" s="24">
        <v>50000</v>
      </c>
      <c r="M472" s="24">
        <v>50000</v>
      </c>
      <c r="O472" s="48" t="s">
        <v>149</v>
      </c>
      <c r="P472" s="48">
        <f>HEX2DEC(RIGHT(Table132321279[[#This Row],[h1]],8))</f>
        <v>0</v>
      </c>
      <c r="Q472" s="48" t="s">
        <v>149</v>
      </c>
      <c r="R472" s="48">
        <f>HEX2DEC(RIGHT(Table132321279[[#This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8" t="s">
        <v>149</v>
      </c>
      <c r="P473" s="48">
        <f>HEX2DEC(RIGHT(Table132321279[[#This Row],[h1]],8))</f>
        <v>0</v>
      </c>
      <c r="Q473" s="48" t="s">
        <v>149</v>
      </c>
      <c r="R473" s="48">
        <f>HEX2DEC(RIGHT(Table132321279[[#This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D474" s="15" t="s">
        <v>48</v>
      </c>
      <c r="J474" s="24">
        <v>50000</v>
      </c>
      <c r="M474" s="24">
        <v>50000</v>
      </c>
      <c r="O474" s="48" t="s">
        <v>149</v>
      </c>
      <c r="P474" s="48">
        <f>HEX2DEC(RIGHT(Table132321279[[#This Row],[h1]],8))</f>
        <v>0</v>
      </c>
      <c r="Q474" s="48" t="s">
        <v>149</v>
      </c>
      <c r="R474" s="48">
        <f>HEX2DEC(RIGHT(Table132321279[[#This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0"/>
      <c r="D475" s="38"/>
      <c r="E475" s="38"/>
      <c r="F475" s="38"/>
      <c r="G475" s="38"/>
      <c r="J475" s="24">
        <v>50000</v>
      </c>
      <c r="M475" s="24">
        <v>50000</v>
      </c>
      <c r="O475" s="48" t="s">
        <v>149</v>
      </c>
      <c r="P475" s="48">
        <f>HEX2DEC(RIGHT(Table132321279[[#This Row],[h1]],8))</f>
        <v>0</v>
      </c>
      <c r="Q475" s="48" t="s">
        <v>149</v>
      </c>
      <c r="R475" s="48">
        <f>HEX2DEC(RIGHT(Table132321279[[#This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149</v>
      </c>
      <c r="P476" s="48">
        <f>HEX2DEC(RIGHT(Table132321279[[#This Row],[h1]],8))</f>
        <v>0</v>
      </c>
      <c r="Q476" s="48" t="s">
        <v>149</v>
      </c>
      <c r="R476" s="48">
        <f>HEX2DEC(RIGHT(Table132321279[[#This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149</v>
      </c>
      <c r="P477" s="48">
        <f>HEX2DEC(RIGHT(Table132321279[[#This Row],[h1]],8))</f>
        <v>0</v>
      </c>
      <c r="Q477" s="48" t="s">
        <v>149</v>
      </c>
      <c r="R477" s="48">
        <f>HEX2DEC(RIGHT(Table132321279[[#This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149</v>
      </c>
      <c r="P478" s="48">
        <f>HEX2DEC(RIGHT(Table132321279[[#This Row],[h1]],8))</f>
        <v>0</v>
      </c>
      <c r="Q478" s="48" t="s">
        <v>149</v>
      </c>
      <c r="R478" s="48">
        <f>HEX2DEC(RIGHT(Table132321279[[#This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149</v>
      </c>
      <c r="P479" s="48">
        <f>HEX2DEC(RIGHT(Table132321279[[#This Row],[h1]],8))</f>
        <v>0</v>
      </c>
      <c r="Q479" s="48" t="s">
        <v>149</v>
      </c>
      <c r="R479" s="48">
        <f>HEX2DEC(RIGHT(Table132321279[[#This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149</v>
      </c>
      <c r="P480" s="48">
        <f>HEX2DEC(RIGHT(Table132321279[[#This Row],[h1]],8))</f>
        <v>0</v>
      </c>
      <c r="Q480" s="48" t="s">
        <v>149</v>
      </c>
      <c r="R480" s="48">
        <f>HEX2DEC(RIGHT(Table132321279[[#This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149</v>
      </c>
      <c r="P481" s="48">
        <f>HEX2DEC(RIGHT(Table132321279[[#This Row],[h1]],8))</f>
        <v>0</v>
      </c>
      <c r="Q481" s="48" t="s">
        <v>149</v>
      </c>
      <c r="R481" s="48">
        <f>HEX2DEC(RIGHT(Table132321279[[#This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149</v>
      </c>
      <c r="P482" s="48">
        <f>HEX2DEC(RIGHT(Table132321279[[#This Row],[h1]],8))</f>
        <v>0</v>
      </c>
      <c r="Q482" s="48" t="s">
        <v>149</v>
      </c>
      <c r="R482" s="48">
        <f>HEX2DEC(RIGHT(Table132321279[[#This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149</v>
      </c>
      <c r="P483" s="48">
        <f>HEX2DEC(RIGHT(Table132321279[[#This Row],[h1]],8))</f>
        <v>0</v>
      </c>
      <c r="Q483" s="48" t="s">
        <v>149</v>
      </c>
      <c r="R483" s="48">
        <f>HEX2DEC(RIGHT(Table132321279[[#This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149</v>
      </c>
      <c r="P484" s="48">
        <f>HEX2DEC(RIGHT(Table132321279[[#This Row],[h1]],8))</f>
        <v>0</v>
      </c>
      <c r="Q484" s="48" t="s">
        <v>149</v>
      </c>
      <c r="R484" s="48">
        <f>HEX2DEC(RIGHT(Table132321279[[#This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149</v>
      </c>
      <c r="P485" s="48">
        <f>HEX2DEC(RIGHT(Table132321279[[#This Row],[h1]],8))</f>
        <v>0</v>
      </c>
      <c r="Q485" s="48" t="s">
        <v>149</v>
      </c>
      <c r="R485" s="48">
        <f>HEX2DEC(RIGHT(Table132321279[[#This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149</v>
      </c>
      <c r="P486" s="48">
        <f>HEX2DEC(RIGHT(Table132321279[[#This Row],[h1]],8))</f>
        <v>0</v>
      </c>
      <c r="Q486" s="48" t="s">
        <v>149</v>
      </c>
      <c r="R486" s="48">
        <f>HEX2DEC(RIGHT(Table132321279[[#This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149</v>
      </c>
      <c r="P487" s="48">
        <f>HEX2DEC(RIGHT(Table132321279[[#This Row],[h1]],8))</f>
        <v>0</v>
      </c>
      <c r="Q487" s="48" t="s">
        <v>149</v>
      </c>
      <c r="R487" s="48">
        <f>HEX2DEC(RIGHT(Table132321279[[#This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149</v>
      </c>
      <c r="P488" s="48">
        <f>HEX2DEC(RIGHT(Table132321279[[#This Row],[h1]],8))</f>
        <v>0</v>
      </c>
      <c r="Q488" s="48" t="s">
        <v>149</v>
      </c>
      <c r="R488" s="48">
        <f>HEX2DEC(RIGHT(Table132321279[[#This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149</v>
      </c>
      <c r="P489" s="48">
        <f>HEX2DEC(RIGHT(Table132321279[[#This Row],[h1]],8))</f>
        <v>0</v>
      </c>
      <c r="Q489" s="48" t="s">
        <v>149</v>
      </c>
      <c r="R489" s="48">
        <f>HEX2DEC(RIGHT(Table132321279[[#This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149</v>
      </c>
      <c r="P490" s="48">
        <f>HEX2DEC(RIGHT(Table132321279[[#This Row],[h1]],8))</f>
        <v>0</v>
      </c>
      <c r="Q490" s="48" t="s">
        <v>149</v>
      </c>
      <c r="R490" s="48">
        <f>HEX2DEC(RIGHT(Table132321279[[#This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149</v>
      </c>
      <c r="P491" s="48">
        <f>HEX2DEC(RIGHT(Table132321279[[#This Row],[h1]],8))</f>
        <v>0</v>
      </c>
      <c r="Q491" s="48" t="s">
        <v>149</v>
      </c>
      <c r="R491" s="48">
        <f>HEX2DEC(RIGHT(Table132321279[[#This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149</v>
      </c>
      <c r="P492" s="48">
        <f>HEX2DEC(RIGHT(Table132321279[[#This Row],[h1]],8))</f>
        <v>0</v>
      </c>
      <c r="Q492" s="48" t="s">
        <v>149</v>
      </c>
      <c r="R492" s="48">
        <f>HEX2DEC(RIGHT(Table132321279[[#This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149</v>
      </c>
      <c r="P493" s="48">
        <f>HEX2DEC(RIGHT(Table132321279[[#This Row],[h1]],8))</f>
        <v>0</v>
      </c>
      <c r="Q493" s="48" t="s">
        <v>149</v>
      </c>
      <c r="R493" s="48">
        <f>HEX2DEC(RIGHT(Table132321279[[#This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149</v>
      </c>
      <c r="P494" s="48">
        <f>HEX2DEC(RIGHT(Table132321279[[#This Row],[h1]],8))</f>
        <v>0</v>
      </c>
      <c r="Q494" s="48" t="s">
        <v>149</v>
      </c>
      <c r="R494" s="48">
        <f>HEX2DEC(RIGHT(Table132321279[[#This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149</v>
      </c>
      <c r="P495" s="48">
        <f>HEX2DEC(RIGHT(Table132321279[[#This Row],[h1]],8))</f>
        <v>0</v>
      </c>
      <c r="Q495" s="48" t="s">
        <v>149</v>
      </c>
      <c r="R495" s="48">
        <f>HEX2DEC(RIGHT(Table132321279[[#This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149</v>
      </c>
      <c r="P496" s="48">
        <f>HEX2DEC(RIGHT(Table132321279[[#This Row],[h1]],8))</f>
        <v>0</v>
      </c>
      <c r="Q496" s="48" t="s">
        <v>149</v>
      </c>
      <c r="R496" s="48">
        <f>HEX2DEC(RIGHT(Table132321279[[#This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149</v>
      </c>
      <c r="P497" s="48">
        <f>HEX2DEC(RIGHT(Table132321279[[#This Row],[h1]],8))</f>
        <v>0</v>
      </c>
      <c r="Q497" s="48" t="s">
        <v>149</v>
      </c>
      <c r="R497" s="48">
        <f>HEX2DEC(RIGHT(Table132321279[[#This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149</v>
      </c>
      <c r="P498" s="48">
        <f>HEX2DEC(RIGHT(Table132321279[[#This Row],[h1]],8))</f>
        <v>0</v>
      </c>
      <c r="Q498" s="48" t="s">
        <v>149</v>
      </c>
      <c r="R498" s="48">
        <f>HEX2DEC(RIGHT(Table132321279[[#This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149</v>
      </c>
      <c r="P499" s="48">
        <f>HEX2DEC(RIGHT(Table132321279[[#This Row],[h1]],8))</f>
        <v>0</v>
      </c>
      <c r="Q499" s="48" t="s">
        <v>149</v>
      </c>
      <c r="R499" s="48">
        <f>HEX2DEC(RIGHT(Table132321279[[#This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149</v>
      </c>
      <c r="P500" s="48">
        <f>HEX2DEC(RIGHT(Table132321279[[#This Row],[h1]],8))</f>
        <v>0</v>
      </c>
      <c r="Q500" s="48" t="s">
        <v>149</v>
      </c>
      <c r="R500" s="48">
        <f>HEX2DEC(RIGHT(Table132321279[[#This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149</v>
      </c>
      <c r="P501" s="48">
        <f>HEX2DEC(RIGHT(Table132321279[[#This Row],[h1]],8))</f>
        <v>0</v>
      </c>
      <c r="Q501" s="48" t="s">
        <v>149</v>
      </c>
      <c r="R501" s="48">
        <f>HEX2DEC(RIGHT(Table132321279[[#This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149</v>
      </c>
      <c r="P502" s="48">
        <f>HEX2DEC(RIGHT(Table132321279[[#This Row],[h1]],8))</f>
        <v>0</v>
      </c>
      <c r="Q502" s="48" t="s">
        <v>149</v>
      </c>
      <c r="R502" s="48">
        <f>HEX2DEC(RIGHT(Table132321279[[#This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149</v>
      </c>
      <c r="P503" s="48">
        <f>HEX2DEC(RIGHT(Table132321279[[#This Row],[h1]],8))</f>
        <v>0</v>
      </c>
      <c r="Q503" s="48" t="s">
        <v>149</v>
      </c>
      <c r="R503" s="48">
        <f>HEX2DEC(RIGHT(Table132321279[[#This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149</v>
      </c>
      <c r="P504" s="48">
        <f>HEX2DEC(RIGHT(Table132321279[[#This Row],[h1]],8))</f>
        <v>0</v>
      </c>
      <c r="Q504" s="48" t="s">
        <v>149</v>
      </c>
      <c r="R504" s="48">
        <f>HEX2DEC(RIGHT(Table132321279[[#This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149</v>
      </c>
      <c r="P505" s="48">
        <f>HEX2DEC(RIGHT(Table132321279[[#This Row],[h1]],8))</f>
        <v>0</v>
      </c>
      <c r="Q505" s="48" t="s">
        <v>149</v>
      </c>
      <c r="R505" s="48">
        <f>HEX2DEC(RIGHT(Table132321279[[#This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149</v>
      </c>
      <c r="P506" s="48">
        <f>HEX2DEC(RIGHT(Table132321279[[#This Row],[h1]],8))</f>
        <v>0</v>
      </c>
      <c r="Q506" s="48" t="s">
        <v>149</v>
      </c>
      <c r="R506" s="48">
        <f>HEX2DEC(RIGHT(Table132321279[[#This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149</v>
      </c>
      <c r="P507" s="48">
        <f>HEX2DEC(RIGHT(Table132321279[[#This Row],[h1]],8))</f>
        <v>0</v>
      </c>
      <c r="Q507" s="48" t="s">
        <v>149</v>
      </c>
      <c r="R507" s="48">
        <f>HEX2DEC(RIGHT(Table132321279[[#This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149</v>
      </c>
      <c r="P508" s="48">
        <f>HEX2DEC(RIGHT(Table132321279[[#This Row],[h1]],8))</f>
        <v>0</v>
      </c>
      <c r="Q508" s="48" t="s">
        <v>149</v>
      </c>
      <c r="R508" s="48">
        <f>HEX2DEC(RIGHT(Table132321279[[#This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149</v>
      </c>
      <c r="P509" s="48">
        <f>HEX2DEC(RIGHT(Table132321279[[#This Row],[h1]],8))</f>
        <v>0</v>
      </c>
      <c r="Q509" s="48" t="s">
        <v>149</v>
      </c>
      <c r="R509" s="48">
        <f>HEX2DEC(RIGHT(Table132321279[[#This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149</v>
      </c>
      <c r="P510" s="48">
        <f>HEX2DEC(RIGHT(Table132321279[[#This Row],[h1]],8))</f>
        <v>0</v>
      </c>
      <c r="Q510" s="48" t="s">
        <v>149</v>
      </c>
      <c r="R510" s="48">
        <f>HEX2DEC(RIGHT(Table132321279[[#This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149</v>
      </c>
      <c r="P511" s="48">
        <f>HEX2DEC(RIGHT(Table132321279[[#This Row],[h1]],8))</f>
        <v>0</v>
      </c>
      <c r="Q511" s="48" t="s">
        <v>149</v>
      </c>
      <c r="R511" s="48">
        <f>HEX2DEC(RIGHT(Table132321279[[#This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149</v>
      </c>
      <c r="P512" s="48">
        <f>HEX2DEC(RIGHT(Table132321279[[#This Row],[h1]],8))</f>
        <v>0</v>
      </c>
      <c r="Q512" s="48" t="s">
        <v>149</v>
      </c>
      <c r="R512" s="48">
        <f>HEX2DEC(RIGHT(Table132321279[[#This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149</v>
      </c>
      <c r="P513" s="48">
        <f>HEX2DEC(RIGHT(Table132321279[[#This Row],[h1]],8))</f>
        <v>0</v>
      </c>
      <c r="Q513" s="48" t="s">
        <v>149</v>
      </c>
      <c r="R513" s="48">
        <f>HEX2DEC(RIGHT(Table132321279[[#This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149</v>
      </c>
      <c r="P514" s="48">
        <f>HEX2DEC(RIGHT(Table132321279[[#This Row],[h1]],8))</f>
        <v>0</v>
      </c>
      <c r="Q514" s="48" t="s">
        <v>149</v>
      </c>
      <c r="R514" s="48">
        <f>HEX2DEC(RIGHT(Table132321279[[#This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149</v>
      </c>
      <c r="P515" s="48">
        <f>HEX2DEC(RIGHT(Table132321279[[#This Row],[h1]],8))</f>
        <v>0</v>
      </c>
      <c r="Q515" s="48" t="s">
        <v>149</v>
      </c>
      <c r="R515" s="48">
        <f>HEX2DEC(RIGHT(Table132321279[[#This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149</v>
      </c>
      <c r="P516" s="48">
        <f>HEX2DEC(RIGHT(Table132321279[[#This Row],[h1]],8))</f>
        <v>0</v>
      </c>
      <c r="Q516" s="48" t="s">
        <v>149</v>
      </c>
      <c r="R516" s="48">
        <f>HEX2DEC(RIGHT(Table132321279[[#This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149</v>
      </c>
      <c r="P517" s="48">
        <f>HEX2DEC(RIGHT(Table132321279[[#This Row],[h1]],8))</f>
        <v>0</v>
      </c>
      <c r="Q517" s="48" t="s">
        <v>149</v>
      </c>
      <c r="R517" s="48">
        <f>HEX2DEC(RIGHT(Table132321279[[#This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149</v>
      </c>
      <c r="P518" s="48">
        <f>HEX2DEC(RIGHT(Table132321279[[#This Row],[h1]],8))</f>
        <v>0</v>
      </c>
      <c r="Q518" s="48" t="s">
        <v>149</v>
      </c>
      <c r="R518" s="48">
        <f>HEX2DEC(RIGHT(Table132321279[[#This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149</v>
      </c>
      <c r="P519" s="48">
        <f>HEX2DEC(RIGHT(Table132321279[[#This Row],[h1]],8))</f>
        <v>0</v>
      </c>
      <c r="Q519" s="48" t="s">
        <v>149</v>
      </c>
      <c r="R519" s="48">
        <f>HEX2DEC(RIGHT(Table132321279[[#This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149</v>
      </c>
      <c r="P520" s="48">
        <f>HEX2DEC(RIGHT(Table132321279[[#This Row],[h1]],8))</f>
        <v>0</v>
      </c>
      <c r="Q520" s="48" t="s">
        <v>149</v>
      </c>
      <c r="R520" s="48">
        <f>HEX2DEC(RIGHT(Table132321279[[#This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149</v>
      </c>
      <c r="P521" s="48">
        <f>HEX2DEC(RIGHT(Table132321279[[#This Row],[h1]],8))</f>
        <v>0</v>
      </c>
      <c r="Q521" s="48" t="s">
        <v>149</v>
      </c>
      <c r="R521" s="48">
        <f>HEX2DEC(RIGHT(Table132321279[[#This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149</v>
      </c>
      <c r="P522" s="48">
        <f>HEX2DEC(RIGHT(Table132321279[[#This Row],[h1]],8))</f>
        <v>0</v>
      </c>
      <c r="Q522" s="48" t="s">
        <v>149</v>
      </c>
      <c r="R522" s="48">
        <f>HEX2DEC(RIGHT(Table132321279[[#This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149</v>
      </c>
      <c r="P523" s="48">
        <f>HEX2DEC(RIGHT(Table132321279[[#This Row],[h1]],8))</f>
        <v>0</v>
      </c>
      <c r="Q523" s="48" t="s">
        <v>149</v>
      </c>
      <c r="R523" s="48">
        <f>HEX2DEC(RIGHT(Table132321279[[#This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149</v>
      </c>
      <c r="P524" s="48">
        <f>HEX2DEC(RIGHT(Table132321279[[#This Row],[h1]],8))</f>
        <v>0</v>
      </c>
      <c r="Q524" s="48" t="s">
        <v>149</v>
      </c>
      <c r="R524" s="48">
        <f>HEX2DEC(RIGHT(Table132321279[[#This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149</v>
      </c>
      <c r="P525" s="48">
        <f>HEX2DEC(RIGHT(Table132321279[[#This Row],[h1]],8))</f>
        <v>0</v>
      </c>
      <c r="Q525" s="48" t="s">
        <v>149</v>
      </c>
      <c r="R525" s="48">
        <f>HEX2DEC(RIGHT(Table132321279[[#This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149</v>
      </c>
      <c r="P526" s="48">
        <f>HEX2DEC(RIGHT(Table132321279[[#This Row],[h1]],8))</f>
        <v>0</v>
      </c>
      <c r="Q526" s="48" t="s">
        <v>149</v>
      </c>
      <c r="R526" s="48">
        <f>HEX2DEC(RIGHT(Table132321279[[#This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149</v>
      </c>
      <c r="P527" s="48">
        <f>HEX2DEC(RIGHT(Table132321279[[#This Row],[h1]],8))</f>
        <v>0</v>
      </c>
      <c r="Q527" s="48" t="s">
        <v>149</v>
      </c>
      <c r="R527" s="48">
        <f>HEX2DEC(RIGHT(Table132321279[[#This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149</v>
      </c>
      <c r="P528" s="48">
        <f>HEX2DEC(RIGHT(Table132321279[[#This Row],[h1]],8))</f>
        <v>0</v>
      </c>
      <c r="Q528" s="48" t="s">
        <v>149</v>
      </c>
      <c r="R528" s="48">
        <f>HEX2DEC(RIGHT(Table132321279[[#This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149</v>
      </c>
      <c r="P529" s="48">
        <f>HEX2DEC(RIGHT(Table132321279[[#This Row],[h1]],8))</f>
        <v>0</v>
      </c>
      <c r="Q529" s="48" t="s">
        <v>149</v>
      </c>
      <c r="R529" s="48">
        <f>HEX2DEC(RIGHT(Table132321279[[#This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149</v>
      </c>
      <c r="P530" s="48">
        <f>HEX2DEC(RIGHT(Table132321279[[#This Row],[h1]],8))</f>
        <v>0</v>
      </c>
      <c r="Q530" s="48" t="s">
        <v>149</v>
      </c>
      <c r="R530" s="48">
        <f>HEX2DEC(RIGHT(Table132321279[[#This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149</v>
      </c>
      <c r="P531" s="48">
        <f>HEX2DEC(RIGHT(Table132321279[[#This Row],[h1]],8))</f>
        <v>0</v>
      </c>
      <c r="Q531" s="48" t="s">
        <v>149</v>
      </c>
      <c r="R531" s="48">
        <f>HEX2DEC(RIGHT(Table132321279[[#This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149</v>
      </c>
      <c r="P532" s="48">
        <f>HEX2DEC(RIGHT(Table132321279[[#This Row],[h1]],8))</f>
        <v>0</v>
      </c>
      <c r="Q532" s="48" t="s">
        <v>149</v>
      </c>
      <c r="R532" s="48">
        <f>HEX2DEC(RIGHT(Table132321279[[#This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149</v>
      </c>
      <c r="P533" s="48">
        <f>HEX2DEC(RIGHT(Table132321279[[#This Row],[h1]],8))</f>
        <v>0</v>
      </c>
      <c r="Q533" s="48" t="s">
        <v>149</v>
      </c>
      <c r="R533" s="48">
        <f>HEX2DEC(RIGHT(Table132321279[[#This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149</v>
      </c>
      <c r="P534" s="48">
        <f>HEX2DEC(RIGHT(Table132321279[[#This Row],[h1]],8))</f>
        <v>0</v>
      </c>
      <c r="Q534" s="48" t="s">
        <v>149</v>
      </c>
      <c r="R534" s="48">
        <f>HEX2DEC(RIGHT(Table132321279[[#This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149</v>
      </c>
      <c r="P535" s="48">
        <f>HEX2DEC(RIGHT(Table132321279[[#This Row],[h1]],8))</f>
        <v>0</v>
      </c>
      <c r="Q535" s="48" t="s">
        <v>149</v>
      </c>
      <c r="R535" s="48">
        <f>HEX2DEC(RIGHT(Table132321279[[#This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149</v>
      </c>
      <c r="P536" s="48">
        <f>HEX2DEC(RIGHT(Table132321279[[#This Row],[h1]],8))</f>
        <v>0</v>
      </c>
      <c r="Q536" s="48" t="s">
        <v>149</v>
      </c>
      <c r="R536" s="48">
        <f>HEX2DEC(RIGHT(Table132321279[[#This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149</v>
      </c>
      <c r="P537" s="48">
        <f>HEX2DEC(RIGHT(Table132321279[[#This Row],[h1]],8))</f>
        <v>0</v>
      </c>
      <c r="Q537" s="48" t="s">
        <v>149</v>
      </c>
      <c r="R537" s="48">
        <f>HEX2DEC(RIGHT(Table132321279[[#This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149</v>
      </c>
      <c r="P538" s="48">
        <f>HEX2DEC(RIGHT(Table132321279[[#This Row],[h1]],8))</f>
        <v>0</v>
      </c>
      <c r="Q538" s="48" t="s">
        <v>149</v>
      </c>
      <c r="R538" s="48">
        <f>HEX2DEC(RIGHT(Table132321279[[#This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149</v>
      </c>
      <c r="P539" s="48">
        <f>HEX2DEC(RIGHT(Table132321279[[#This Row],[h1]],8))</f>
        <v>0</v>
      </c>
      <c r="Q539" s="48" t="s">
        <v>149</v>
      </c>
      <c r="R539" s="48">
        <f>HEX2DEC(RIGHT(Table132321279[[#This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149</v>
      </c>
      <c r="P540" s="48">
        <f>HEX2DEC(RIGHT(Table132321279[[#This Row],[h1]],8))</f>
        <v>0</v>
      </c>
      <c r="Q540" s="48" t="s">
        <v>149</v>
      </c>
      <c r="R540" s="48">
        <f>HEX2DEC(RIGHT(Table132321279[[#This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149</v>
      </c>
      <c r="P541" s="48">
        <f>HEX2DEC(RIGHT(Table132321279[[#This Row],[h1]],8))</f>
        <v>0</v>
      </c>
      <c r="Q541" s="48" t="s">
        <v>149</v>
      </c>
      <c r="R541" s="48">
        <f>HEX2DEC(RIGHT(Table132321279[[#This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149</v>
      </c>
      <c r="P542" s="48">
        <f>HEX2DEC(RIGHT(Table132321279[[#This Row],[h1]],8))</f>
        <v>0</v>
      </c>
      <c r="Q542" s="48" t="s">
        <v>149</v>
      </c>
      <c r="R542" s="48">
        <f>HEX2DEC(RIGHT(Table132321279[[#This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149</v>
      </c>
      <c r="P543" s="48">
        <f>HEX2DEC(RIGHT(Table132321279[[#This Row],[h1]],8))</f>
        <v>0</v>
      </c>
      <c r="Q543" s="48" t="s">
        <v>149</v>
      </c>
      <c r="R543" s="48">
        <f>HEX2DEC(RIGHT(Table132321279[[#This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149</v>
      </c>
      <c r="P544" s="48">
        <f>HEX2DEC(RIGHT(Table132321279[[#This Row],[h1]],8))</f>
        <v>0</v>
      </c>
      <c r="Q544" s="48" t="s">
        <v>149</v>
      </c>
      <c r="R544" s="48">
        <f>HEX2DEC(RIGHT(Table132321279[[#This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149</v>
      </c>
      <c r="P545" s="48">
        <f>HEX2DEC(RIGHT(Table132321279[[#This Row],[h1]],8))</f>
        <v>0</v>
      </c>
      <c r="Q545" s="48" t="s">
        <v>149</v>
      </c>
      <c r="R545" s="48">
        <f>HEX2DEC(RIGHT(Table132321279[[#This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149</v>
      </c>
      <c r="P546" s="48">
        <f>HEX2DEC(RIGHT(Table132321279[[#This Row],[h1]],8))</f>
        <v>0</v>
      </c>
      <c r="Q546" s="48" t="s">
        <v>149</v>
      </c>
      <c r="R546" s="48">
        <f>HEX2DEC(RIGHT(Table132321279[[#This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149</v>
      </c>
      <c r="P547" s="48">
        <f>HEX2DEC(RIGHT(Table132321279[[#This Row],[h1]],8))</f>
        <v>0</v>
      </c>
      <c r="Q547" s="48" t="s">
        <v>149</v>
      </c>
      <c r="R547" s="48">
        <f>HEX2DEC(RIGHT(Table132321279[[#This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149</v>
      </c>
      <c r="P548" s="48">
        <f>HEX2DEC(RIGHT(Table132321279[[#This Row],[h1]],8))</f>
        <v>0</v>
      </c>
      <c r="Q548" s="48" t="s">
        <v>149</v>
      </c>
      <c r="R548" s="48">
        <f>HEX2DEC(RIGHT(Table132321279[[#This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149</v>
      </c>
      <c r="P549" s="48">
        <f>HEX2DEC(RIGHT(Table132321279[[#This Row],[h1]],8))</f>
        <v>0</v>
      </c>
      <c r="Q549" s="48" t="s">
        <v>149</v>
      </c>
      <c r="R549" s="48">
        <f>HEX2DEC(RIGHT(Table132321279[[#This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149</v>
      </c>
      <c r="P550" s="48">
        <f>HEX2DEC(RIGHT(Table132321279[[#This Row],[h1]],8))</f>
        <v>0</v>
      </c>
      <c r="Q550" s="48" t="s">
        <v>149</v>
      </c>
      <c r="R550" s="48">
        <f>HEX2DEC(RIGHT(Table132321279[[#This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149</v>
      </c>
      <c r="P551" s="48">
        <f>HEX2DEC(RIGHT(Table132321279[[#This Row],[h1]],8))</f>
        <v>0</v>
      </c>
      <c r="Q551" s="48" t="s">
        <v>149</v>
      </c>
      <c r="R551" s="48">
        <f>HEX2DEC(RIGHT(Table132321279[[#This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149</v>
      </c>
      <c r="P552" s="48">
        <f>HEX2DEC(RIGHT(Table132321279[[#This Row],[h1]],8))</f>
        <v>0</v>
      </c>
      <c r="Q552" s="48" t="s">
        <v>149</v>
      </c>
      <c r="R552" s="48">
        <f>HEX2DEC(RIGHT(Table132321279[[#This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149</v>
      </c>
      <c r="P553" s="48">
        <f>HEX2DEC(RIGHT(Table132321279[[#This Row],[h1]],8))</f>
        <v>0</v>
      </c>
      <c r="Q553" s="48" t="s">
        <v>149</v>
      </c>
      <c r="R553" s="48">
        <f>HEX2DEC(RIGHT(Table132321279[[#This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149</v>
      </c>
      <c r="P554" s="48">
        <f>HEX2DEC(RIGHT(Table132321279[[#This Row],[h1]],8))</f>
        <v>0</v>
      </c>
      <c r="Q554" s="48" t="s">
        <v>149</v>
      </c>
      <c r="R554" s="48">
        <f>HEX2DEC(RIGHT(Table132321279[[#This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149</v>
      </c>
      <c r="P555" s="48">
        <f>HEX2DEC(RIGHT(Table132321279[[#This Row],[h1]],8))</f>
        <v>0</v>
      </c>
      <c r="Q555" s="48" t="s">
        <v>149</v>
      </c>
      <c r="R555" s="48">
        <f>HEX2DEC(RIGHT(Table132321279[[#This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149</v>
      </c>
      <c r="P556" s="48">
        <f>HEX2DEC(RIGHT(Table132321279[[#This Row],[h1]],8))</f>
        <v>0</v>
      </c>
      <c r="Q556" s="48" t="s">
        <v>149</v>
      </c>
      <c r="R556" s="48">
        <f>HEX2DEC(RIGHT(Table132321279[[#This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149</v>
      </c>
      <c r="P557" s="48">
        <f>HEX2DEC(RIGHT(Table132321279[[#This Row],[h1]],8))</f>
        <v>0</v>
      </c>
      <c r="Q557" s="48" t="s">
        <v>149</v>
      </c>
      <c r="R557" s="48">
        <f>HEX2DEC(RIGHT(Table132321279[[#This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149</v>
      </c>
      <c r="P558" s="48">
        <f>HEX2DEC(RIGHT(Table132321279[[#This Row],[h1]],8))</f>
        <v>0</v>
      </c>
      <c r="Q558" s="48" t="s">
        <v>149</v>
      </c>
      <c r="R558" s="48">
        <f>HEX2DEC(RIGHT(Table132321279[[#This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149</v>
      </c>
      <c r="P559" s="48">
        <f>HEX2DEC(RIGHT(Table132321279[[#This Row],[h1]],8))</f>
        <v>0</v>
      </c>
      <c r="Q559" s="48" t="s">
        <v>149</v>
      </c>
      <c r="R559" s="48">
        <f>HEX2DEC(RIGHT(Table132321279[[#This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149</v>
      </c>
      <c r="P560" s="48">
        <f>HEX2DEC(RIGHT(Table132321279[[#This Row],[h1]],8))</f>
        <v>0</v>
      </c>
      <c r="Q560" s="48" t="s">
        <v>149</v>
      </c>
      <c r="R560" s="48">
        <f>HEX2DEC(RIGHT(Table132321279[[#This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149</v>
      </c>
      <c r="P561" s="48">
        <f>HEX2DEC(RIGHT(Table132321279[[#This Row],[h1]],8))</f>
        <v>0</v>
      </c>
      <c r="Q561" s="48" t="s">
        <v>149</v>
      </c>
      <c r="R561" s="48">
        <f>HEX2DEC(RIGHT(Table132321279[[#This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149</v>
      </c>
      <c r="P562" s="48">
        <f>HEX2DEC(RIGHT(Table132321279[[#This Row],[h1]],8))</f>
        <v>0</v>
      </c>
      <c r="Q562" s="48" t="s">
        <v>149</v>
      </c>
      <c r="R562" s="48">
        <f>HEX2DEC(RIGHT(Table132321279[[#This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149</v>
      </c>
      <c r="P563" s="48">
        <f>HEX2DEC(RIGHT(Table132321279[[#This Row],[h1]],8))</f>
        <v>0</v>
      </c>
      <c r="Q563" s="48" t="s">
        <v>149</v>
      </c>
      <c r="R563" s="48">
        <f>HEX2DEC(RIGHT(Table132321279[[#This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149</v>
      </c>
      <c r="P564" s="48">
        <f>HEX2DEC(RIGHT(Table132321279[[#This Row],[h1]],8))</f>
        <v>0</v>
      </c>
      <c r="Q564" s="48" t="s">
        <v>149</v>
      </c>
      <c r="R564" s="48">
        <f>HEX2DEC(RIGHT(Table132321279[[#This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149</v>
      </c>
      <c r="P565" s="48">
        <f>HEX2DEC(RIGHT(Table132321279[[#This Row],[h1]],8))</f>
        <v>0</v>
      </c>
      <c r="Q565" s="48" t="s">
        <v>149</v>
      </c>
      <c r="R565" s="48">
        <f>HEX2DEC(RIGHT(Table132321279[[#This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149</v>
      </c>
      <c r="P566" s="48">
        <f>HEX2DEC(RIGHT(Table132321279[[#This Row],[h1]],8))</f>
        <v>0</v>
      </c>
      <c r="Q566" s="48" t="s">
        <v>149</v>
      </c>
      <c r="R566" s="48">
        <f>HEX2DEC(RIGHT(Table132321279[[#This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149</v>
      </c>
      <c r="P567" s="48">
        <f>HEX2DEC(RIGHT(Table132321279[[#This Row],[h1]],8))</f>
        <v>0</v>
      </c>
      <c r="Q567" s="48" t="s">
        <v>149</v>
      </c>
      <c r="R567" s="48">
        <f>HEX2DEC(RIGHT(Table132321279[[#This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149</v>
      </c>
      <c r="P568" s="48">
        <f>HEX2DEC(RIGHT(Table132321279[[#This Row],[h1]],8))</f>
        <v>0</v>
      </c>
      <c r="Q568" s="48" t="s">
        <v>149</v>
      </c>
      <c r="R568" s="48">
        <f>HEX2DEC(RIGHT(Table132321279[[#This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149</v>
      </c>
      <c r="P569" s="48">
        <f>HEX2DEC(RIGHT(Table132321279[[#This Row],[h1]],8))</f>
        <v>0</v>
      </c>
      <c r="Q569" s="48" t="s">
        <v>149</v>
      </c>
      <c r="R569" s="48">
        <f>HEX2DEC(RIGHT(Table132321279[[#This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149</v>
      </c>
      <c r="P570" s="48">
        <f>HEX2DEC(RIGHT(Table132321279[[#This Row],[h1]],8))</f>
        <v>0</v>
      </c>
      <c r="Q570" s="48" t="s">
        <v>149</v>
      </c>
      <c r="R570" s="48">
        <f>HEX2DEC(RIGHT(Table132321279[[#This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149</v>
      </c>
      <c r="P571" s="48">
        <f>HEX2DEC(RIGHT(Table132321279[[#This Row],[h1]],8))</f>
        <v>0</v>
      </c>
      <c r="Q571" s="48" t="s">
        <v>149</v>
      </c>
      <c r="R571" s="48">
        <f>HEX2DEC(RIGHT(Table132321279[[#This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149</v>
      </c>
      <c r="P572" s="48">
        <f>HEX2DEC(RIGHT(Table132321279[[#This Row],[h1]],8))</f>
        <v>0</v>
      </c>
      <c r="Q572" s="48" t="s">
        <v>149</v>
      </c>
      <c r="R572" s="48">
        <f>HEX2DEC(RIGHT(Table132321279[[#This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149</v>
      </c>
      <c r="P573" s="48">
        <f>HEX2DEC(RIGHT(Table132321279[[#This Row],[h1]],8))</f>
        <v>0</v>
      </c>
      <c r="Q573" s="48" t="s">
        <v>149</v>
      </c>
      <c r="R573" s="48">
        <f>HEX2DEC(RIGHT(Table132321279[[#This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149</v>
      </c>
      <c r="P574" s="48">
        <f>HEX2DEC(RIGHT(Table132321279[[#This Row],[h1]],8))</f>
        <v>0</v>
      </c>
      <c r="Q574" s="48" t="s">
        <v>149</v>
      </c>
      <c r="R574" s="48">
        <f>HEX2DEC(RIGHT(Table132321279[[#This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149</v>
      </c>
      <c r="P575" s="48">
        <f>HEX2DEC(RIGHT(Table132321279[[#This Row],[h1]],8))</f>
        <v>0</v>
      </c>
      <c r="Q575" s="48" t="s">
        <v>149</v>
      </c>
      <c r="R575" s="48">
        <f>HEX2DEC(RIGHT(Table132321279[[#This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149</v>
      </c>
      <c r="P576" s="48">
        <f>HEX2DEC(RIGHT(Table132321279[[#This Row],[h1]],8))</f>
        <v>0</v>
      </c>
      <c r="Q576" s="48" t="s">
        <v>149</v>
      </c>
      <c r="R576" s="48">
        <f>HEX2DEC(RIGHT(Table132321279[[#This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149</v>
      </c>
      <c r="P577" s="48">
        <f>HEX2DEC(RIGHT(Table132321279[[#This Row],[h1]],8))</f>
        <v>0</v>
      </c>
      <c r="Q577" s="48" t="s">
        <v>149</v>
      </c>
      <c r="R577" s="48">
        <f>HEX2DEC(RIGHT(Table132321279[[#This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149</v>
      </c>
      <c r="P578" s="48">
        <f>HEX2DEC(RIGHT(Table132321279[[#This Row],[h1]],8))</f>
        <v>0</v>
      </c>
      <c r="Q578" s="48" t="s">
        <v>149</v>
      </c>
      <c r="R578" s="48">
        <f>HEX2DEC(RIGHT(Table132321279[[#This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149</v>
      </c>
      <c r="P579" s="48">
        <f>HEX2DEC(RIGHT(Table132321279[[#This Row],[h1]],8))</f>
        <v>0</v>
      </c>
      <c r="Q579" s="48" t="s">
        <v>149</v>
      </c>
      <c r="R579" s="48">
        <f>HEX2DEC(RIGHT(Table132321279[[#This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149</v>
      </c>
      <c r="P580" s="48">
        <f>HEX2DEC(RIGHT(Table132321279[[#This Row],[h1]],8))</f>
        <v>0</v>
      </c>
      <c r="Q580" s="48" t="s">
        <v>149</v>
      </c>
      <c r="R580" s="48">
        <f>HEX2DEC(RIGHT(Table132321279[[#This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149</v>
      </c>
      <c r="P581" s="48">
        <f>HEX2DEC(RIGHT(Table132321279[[#This Row],[h1]],8))</f>
        <v>0</v>
      </c>
      <c r="Q581" s="48" t="s">
        <v>149</v>
      </c>
      <c r="R581" s="48">
        <f>HEX2DEC(RIGHT(Table132321279[[#This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149</v>
      </c>
      <c r="P582" s="48">
        <f>HEX2DEC(RIGHT(Table132321279[[#This Row],[h1]],8))</f>
        <v>0</v>
      </c>
      <c r="Q582" s="48" t="s">
        <v>149</v>
      </c>
      <c r="R582" s="48">
        <f>HEX2DEC(RIGHT(Table132321279[[#This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149</v>
      </c>
      <c r="P583" s="48">
        <f>HEX2DEC(RIGHT(Table132321279[[#This Row],[h1]],8))</f>
        <v>0</v>
      </c>
      <c r="Q583" s="48" t="s">
        <v>149</v>
      </c>
      <c r="R583" s="48">
        <f>HEX2DEC(RIGHT(Table132321279[[#This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149</v>
      </c>
      <c r="P584" s="48">
        <f>HEX2DEC(RIGHT(Table132321279[[#This Row],[h1]],8))</f>
        <v>0</v>
      </c>
      <c r="Q584" s="48" t="s">
        <v>149</v>
      </c>
      <c r="R584" s="48">
        <f>HEX2DEC(RIGHT(Table132321279[[#This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149</v>
      </c>
      <c r="P585" s="48">
        <f>HEX2DEC(RIGHT(Table132321279[[#This Row],[h1]],8))</f>
        <v>0</v>
      </c>
      <c r="Q585" s="48" t="s">
        <v>149</v>
      </c>
      <c r="R585" s="48">
        <f>HEX2DEC(RIGHT(Table132321279[[#This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149</v>
      </c>
      <c r="P586" s="48">
        <f>HEX2DEC(RIGHT(Table132321279[[#This Row],[h1]],8))</f>
        <v>0</v>
      </c>
      <c r="Q586" s="48" t="s">
        <v>149</v>
      </c>
      <c r="R586" s="48">
        <f>HEX2DEC(RIGHT(Table132321279[[#This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149</v>
      </c>
      <c r="P587" s="48">
        <f>HEX2DEC(RIGHT(Table132321279[[#This Row],[h1]],8))</f>
        <v>0</v>
      </c>
      <c r="Q587" s="48" t="s">
        <v>149</v>
      </c>
      <c r="R587" s="48">
        <f>HEX2DEC(RIGHT(Table132321279[[#This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149</v>
      </c>
      <c r="P588" s="48">
        <f>HEX2DEC(RIGHT(Table132321279[[#This Row],[h1]],8))</f>
        <v>0</v>
      </c>
      <c r="Q588" s="48" t="s">
        <v>149</v>
      </c>
      <c r="R588" s="48">
        <f>HEX2DEC(RIGHT(Table132321279[[#This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149</v>
      </c>
      <c r="P589" s="48">
        <f>HEX2DEC(RIGHT(Table132321279[[#This Row],[h1]],8))</f>
        <v>0</v>
      </c>
      <c r="Q589" s="48" t="s">
        <v>149</v>
      </c>
      <c r="R589" s="48">
        <f>HEX2DEC(RIGHT(Table132321279[[#This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149</v>
      </c>
      <c r="P590" s="48">
        <f>HEX2DEC(RIGHT(Table132321279[[#This Row],[h1]],8))</f>
        <v>0</v>
      </c>
      <c r="Q590" s="48" t="s">
        <v>149</v>
      </c>
      <c r="R590" s="48">
        <f>HEX2DEC(RIGHT(Table132321279[[#This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149</v>
      </c>
      <c r="P591" s="48">
        <f>HEX2DEC(RIGHT(Table132321279[[#This Row],[h1]],8))</f>
        <v>0</v>
      </c>
      <c r="Q591" s="48" t="s">
        <v>149</v>
      </c>
      <c r="R591" s="48">
        <f>HEX2DEC(RIGHT(Table132321279[[#This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149</v>
      </c>
      <c r="P592" s="48">
        <f>HEX2DEC(RIGHT(Table132321279[[#This Row],[h1]],8))</f>
        <v>0</v>
      </c>
      <c r="Q592" s="48" t="s">
        <v>149</v>
      </c>
      <c r="R592" s="48">
        <f>HEX2DEC(RIGHT(Table132321279[[#This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149</v>
      </c>
      <c r="P593" s="48">
        <f>HEX2DEC(RIGHT(Table132321279[[#This Row],[h1]],8))</f>
        <v>0</v>
      </c>
      <c r="Q593" s="48" t="s">
        <v>149</v>
      </c>
      <c r="R593" s="48">
        <f>HEX2DEC(RIGHT(Table132321279[[#This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149</v>
      </c>
      <c r="P594" s="48">
        <f>HEX2DEC(RIGHT(Table132321279[[#This Row],[h1]],8))</f>
        <v>0</v>
      </c>
      <c r="Q594" s="48" t="s">
        <v>149</v>
      </c>
      <c r="R594" s="48">
        <f>HEX2DEC(RIGHT(Table132321279[[#This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149</v>
      </c>
      <c r="P595" s="48">
        <f>HEX2DEC(RIGHT(Table132321279[[#This Row],[h1]],8))</f>
        <v>0</v>
      </c>
      <c r="Q595" s="48" t="s">
        <v>149</v>
      </c>
      <c r="R595" s="48">
        <f>HEX2DEC(RIGHT(Table132321279[[#This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149</v>
      </c>
      <c r="P596" s="48">
        <f>HEX2DEC(RIGHT(Table132321279[[#This Row],[h1]],8))</f>
        <v>0</v>
      </c>
      <c r="Q596" s="48" t="s">
        <v>149</v>
      </c>
      <c r="R596" s="48">
        <f>HEX2DEC(RIGHT(Table132321279[[#This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149</v>
      </c>
      <c r="P597" s="48">
        <f>HEX2DEC(RIGHT(Table132321279[[#This Row],[h1]],8))</f>
        <v>0</v>
      </c>
      <c r="Q597" s="48" t="s">
        <v>149</v>
      </c>
      <c r="R597" s="48">
        <f>HEX2DEC(RIGHT(Table132321279[[#This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149</v>
      </c>
      <c r="P598" s="48">
        <f>HEX2DEC(RIGHT(Table132321279[[#This Row],[h1]],8))</f>
        <v>0</v>
      </c>
      <c r="Q598" s="48" t="s">
        <v>149</v>
      </c>
      <c r="R598" s="48">
        <f>HEX2DEC(RIGHT(Table132321279[[#This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149</v>
      </c>
      <c r="P599" s="48">
        <f>HEX2DEC(RIGHT(Table132321279[[#This Row],[h1]],8))</f>
        <v>0</v>
      </c>
      <c r="Q599" s="48" t="s">
        <v>149</v>
      </c>
      <c r="R599" s="48">
        <f>HEX2DEC(RIGHT(Table132321279[[#This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149</v>
      </c>
      <c r="P600" s="48">
        <f>HEX2DEC(RIGHT(Table132321279[[#This Row],[h1]],8))</f>
        <v>0</v>
      </c>
      <c r="Q600" s="48" t="s">
        <v>149</v>
      </c>
      <c r="R600" s="48">
        <f>HEX2DEC(RIGHT(Table132321279[[#This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149</v>
      </c>
      <c r="P601" s="48">
        <f>HEX2DEC(RIGHT(Table132321279[[#This Row],[h1]],8))</f>
        <v>0</v>
      </c>
      <c r="Q601" s="48" t="s">
        <v>149</v>
      </c>
      <c r="R601" s="48">
        <f>HEX2DEC(RIGHT(Table132321279[[#This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149</v>
      </c>
      <c r="P602" s="48">
        <f>HEX2DEC(RIGHT(Table132321279[[#This Row],[h1]],8))</f>
        <v>0</v>
      </c>
      <c r="Q602" s="48" t="s">
        <v>149</v>
      </c>
      <c r="R602" s="48">
        <f>HEX2DEC(RIGHT(Table132321279[[#This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149</v>
      </c>
      <c r="P603" s="48">
        <f>HEX2DEC(RIGHT(Table132321279[[#This Row],[h1]],8))</f>
        <v>0</v>
      </c>
      <c r="Q603" s="48" t="s">
        <v>149</v>
      </c>
      <c r="R603" s="48">
        <f>HEX2DEC(RIGHT(Table132321279[[#This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149</v>
      </c>
      <c r="P604" s="48">
        <f>HEX2DEC(RIGHT(Table132321279[[#This Row],[h1]],8))</f>
        <v>0</v>
      </c>
      <c r="Q604" s="48" t="s">
        <v>149</v>
      </c>
      <c r="R604" s="48">
        <f>HEX2DEC(RIGHT(Table132321279[[#This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149</v>
      </c>
      <c r="P605" s="48">
        <f>HEX2DEC(RIGHT(Table132321279[[#This Row],[h1]],8))</f>
        <v>0</v>
      </c>
      <c r="Q605" s="48" t="s">
        <v>149</v>
      </c>
      <c r="R605" s="48">
        <f>HEX2DEC(RIGHT(Table132321279[[#This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149</v>
      </c>
      <c r="P606" s="48">
        <f>HEX2DEC(RIGHT(Table132321279[[#This Row],[h1]],8))</f>
        <v>0</v>
      </c>
      <c r="Q606" s="48" t="s">
        <v>149</v>
      </c>
      <c r="R606" s="48">
        <f>HEX2DEC(RIGHT(Table132321279[[#This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149</v>
      </c>
      <c r="P607" s="48">
        <f>HEX2DEC(RIGHT(Table132321279[[#This Row],[h1]],8))</f>
        <v>0</v>
      </c>
      <c r="Q607" s="48" t="s">
        <v>149</v>
      </c>
      <c r="R607" s="48">
        <f>HEX2DEC(RIGHT(Table132321279[[#This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149</v>
      </c>
      <c r="P608" s="48">
        <f>HEX2DEC(RIGHT(Table132321279[[#This Row],[h1]],8))</f>
        <v>0</v>
      </c>
      <c r="Q608" s="48" t="s">
        <v>149</v>
      </c>
      <c r="R608" s="48">
        <f>HEX2DEC(RIGHT(Table132321279[[#This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149</v>
      </c>
      <c r="P609" s="48">
        <f>HEX2DEC(RIGHT(Table132321279[[#This Row],[h1]],8))</f>
        <v>0</v>
      </c>
      <c r="Q609" s="48" t="s">
        <v>149</v>
      </c>
      <c r="R609" s="48">
        <f>HEX2DEC(RIGHT(Table132321279[[#This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149</v>
      </c>
      <c r="P610" s="48">
        <f>HEX2DEC(RIGHT(Table132321279[[#This Row],[h1]],8))</f>
        <v>0</v>
      </c>
      <c r="Q610" s="48" t="s">
        <v>149</v>
      </c>
      <c r="R610" s="48">
        <f>HEX2DEC(RIGHT(Table132321279[[#This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149</v>
      </c>
      <c r="P611" s="48">
        <f>HEX2DEC(RIGHT(Table132321279[[#This Row],[h1]],8))</f>
        <v>0</v>
      </c>
      <c r="Q611" s="48" t="s">
        <v>149</v>
      </c>
      <c r="R611" s="48">
        <f>HEX2DEC(RIGHT(Table132321279[[#This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149</v>
      </c>
      <c r="P612" s="48">
        <f>HEX2DEC(RIGHT(Table132321279[[#This Row],[h1]],8))</f>
        <v>0</v>
      </c>
      <c r="Q612" s="48" t="s">
        <v>149</v>
      </c>
      <c r="R612" s="48">
        <f>HEX2DEC(RIGHT(Table132321279[[#This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149</v>
      </c>
      <c r="P613" s="48">
        <f>HEX2DEC(RIGHT(Table132321279[[#This Row],[h1]],8))</f>
        <v>0</v>
      </c>
      <c r="Q613" s="48" t="s">
        <v>149</v>
      </c>
      <c r="R613" s="48">
        <f>HEX2DEC(RIGHT(Table132321279[[#This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149</v>
      </c>
      <c r="P614" s="48">
        <f>HEX2DEC(RIGHT(Table132321279[[#This Row],[h1]],8))</f>
        <v>0</v>
      </c>
      <c r="Q614" s="48" t="s">
        <v>149</v>
      </c>
      <c r="R614" s="48">
        <f>HEX2DEC(RIGHT(Table132321279[[#This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149</v>
      </c>
      <c r="P615" s="48">
        <f>HEX2DEC(RIGHT(Table132321279[[#This Row],[h1]],8))</f>
        <v>0</v>
      </c>
      <c r="Q615" s="48" t="s">
        <v>149</v>
      </c>
      <c r="R615" s="48">
        <f>HEX2DEC(RIGHT(Table132321279[[#This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149</v>
      </c>
      <c r="P616" s="48">
        <f>HEX2DEC(RIGHT(Table132321279[[#This Row],[h1]],8))</f>
        <v>0</v>
      </c>
      <c r="Q616" s="48" t="s">
        <v>149</v>
      </c>
      <c r="R616" s="48">
        <f>HEX2DEC(RIGHT(Table132321279[[#This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149</v>
      </c>
      <c r="P617" s="48">
        <f>HEX2DEC(RIGHT(Table132321279[[#This Row],[h1]],8))</f>
        <v>0</v>
      </c>
      <c r="Q617" s="48" t="s">
        <v>149</v>
      </c>
      <c r="R617" s="48">
        <f>HEX2DEC(RIGHT(Table132321279[[#This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149</v>
      </c>
      <c r="P618" s="48">
        <f>HEX2DEC(RIGHT(Table132321279[[#This Row],[h1]],8))</f>
        <v>0</v>
      </c>
      <c r="Q618" s="48" t="s">
        <v>149</v>
      </c>
      <c r="R618" s="48">
        <f>HEX2DEC(RIGHT(Table132321279[[#This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149</v>
      </c>
      <c r="P619" s="48">
        <f>HEX2DEC(RIGHT(Table132321279[[#This Row],[h1]],8))</f>
        <v>0</v>
      </c>
      <c r="Q619" s="48" t="s">
        <v>149</v>
      </c>
      <c r="R619" s="48">
        <f>HEX2DEC(RIGHT(Table132321279[[#This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149</v>
      </c>
      <c r="P620" s="48">
        <f>HEX2DEC(RIGHT(Table132321279[[#This Row],[h1]],8))</f>
        <v>0</v>
      </c>
      <c r="Q620" s="48" t="s">
        <v>149</v>
      </c>
      <c r="R620" s="48">
        <f>HEX2DEC(RIGHT(Table132321279[[#This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149</v>
      </c>
      <c r="P621" s="48">
        <f>HEX2DEC(RIGHT(Table132321279[[#This Row],[h1]],8))</f>
        <v>0</v>
      </c>
      <c r="Q621" s="48" t="s">
        <v>149</v>
      </c>
      <c r="R621" s="48">
        <f>HEX2DEC(RIGHT(Table132321279[[#This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149</v>
      </c>
      <c r="P622" s="48">
        <f>HEX2DEC(RIGHT(Table132321279[[#This Row],[h1]],8))</f>
        <v>0</v>
      </c>
      <c r="Q622" s="48" t="s">
        <v>149</v>
      </c>
      <c r="R622" s="48">
        <f>HEX2DEC(RIGHT(Table132321279[[#This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149</v>
      </c>
      <c r="P623" s="48">
        <f>HEX2DEC(RIGHT(Table132321279[[#This Row],[h1]],8))</f>
        <v>0</v>
      </c>
      <c r="Q623" s="48" t="s">
        <v>149</v>
      </c>
      <c r="R623" s="48">
        <f>HEX2DEC(RIGHT(Table132321279[[#This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149</v>
      </c>
      <c r="P624" s="48">
        <f>HEX2DEC(RIGHT(Table132321279[[#This Row],[h1]],8))</f>
        <v>0</v>
      </c>
      <c r="Q624" s="48" t="s">
        <v>149</v>
      </c>
      <c r="R624" s="48">
        <f>HEX2DEC(RIGHT(Table132321279[[#This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149</v>
      </c>
      <c r="P625" s="48">
        <f>HEX2DEC(RIGHT(Table132321279[[#This Row],[h1]],8))</f>
        <v>0</v>
      </c>
      <c r="Q625" s="48" t="s">
        <v>149</v>
      </c>
      <c r="R625" s="48">
        <f>HEX2DEC(RIGHT(Table132321279[[#This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149</v>
      </c>
      <c r="P626" s="48">
        <f>HEX2DEC(RIGHT(Table132321279[[#This Row],[h1]],8))</f>
        <v>0</v>
      </c>
      <c r="Q626" s="48" t="s">
        <v>149</v>
      </c>
      <c r="R626" s="48">
        <f>HEX2DEC(RIGHT(Table132321279[[#This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149</v>
      </c>
      <c r="P627" s="48">
        <f>HEX2DEC(RIGHT(Table132321279[[#This Row],[h1]],8))</f>
        <v>0</v>
      </c>
      <c r="Q627" s="48" t="s">
        <v>149</v>
      </c>
      <c r="R627" s="48">
        <f>HEX2DEC(RIGHT(Table132321279[[#This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149</v>
      </c>
      <c r="P628" s="48">
        <f>HEX2DEC(RIGHT(Table132321279[[#This Row],[h1]],8))</f>
        <v>0</v>
      </c>
      <c r="Q628" s="48" t="s">
        <v>149</v>
      </c>
      <c r="R628" s="48">
        <f>HEX2DEC(RIGHT(Table132321279[[#This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149</v>
      </c>
      <c r="P629" s="48">
        <f>HEX2DEC(RIGHT(Table132321279[[#This Row],[h1]],8))</f>
        <v>0</v>
      </c>
      <c r="Q629" s="48" t="s">
        <v>149</v>
      </c>
      <c r="R629" s="48">
        <f>HEX2DEC(RIGHT(Table132321279[[#This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149</v>
      </c>
      <c r="P630" s="48">
        <f>HEX2DEC(RIGHT(Table132321279[[#This Row],[h1]],8))</f>
        <v>0</v>
      </c>
      <c r="Q630" s="48" t="s">
        <v>149</v>
      </c>
      <c r="R630" s="48">
        <f>HEX2DEC(RIGHT(Table132321279[[#This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149</v>
      </c>
      <c r="P631" s="48">
        <f>HEX2DEC(RIGHT(Table132321279[[#This Row],[h1]],8))</f>
        <v>0</v>
      </c>
      <c r="Q631" s="48" t="s">
        <v>149</v>
      </c>
      <c r="R631" s="48">
        <f>HEX2DEC(RIGHT(Table132321279[[#This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149</v>
      </c>
      <c r="P632" s="48">
        <f>HEX2DEC(RIGHT(Table132321279[[#This Row],[h1]],8))</f>
        <v>0</v>
      </c>
      <c r="Q632" s="48" t="s">
        <v>149</v>
      </c>
      <c r="R632" s="48">
        <f>HEX2DEC(RIGHT(Table132321279[[#This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149</v>
      </c>
      <c r="P633" s="48">
        <f>HEX2DEC(RIGHT(Table132321279[[#This Row],[h1]],8))</f>
        <v>0</v>
      </c>
      <c r="Q633" s="48" t="s">
        <v>149</v>
      </c>
      <c r="R633" s="48">
        <f>HEX2DEC(RIGHT(Table132321279[[#This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149</v>
      </c>
      <c r="P634" s="48">
        <f>HEX2DEC(RIGHT(Table132321279[[#This Row],[h1]],8))</f>
        <v>0</v>
      </c>
      <c r="Q634" s="48" t="s">
        <v>149</v>
      </c>
      <c r="R634" s="48">
        <f>HEX2DEC(RIGHT(Table132321279[[#This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149</v>
      </c>
      <c r="P635" s="48">
        <f>HEX2DEC(RIGHT(Table132321279[[#This Row],[h1]],8))</f>
        <v>0</v>
      </c>
      <c r="Q635" s="48" t="s">
        <v>149</v>
      </c>
      <c r="R635" s="48">
        <f>HEX2DEC(RIGHT(Table132321279[[#This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149</v>
      </c>
      <c r="P636" s="48">
        <f>HEX2DEC(RIGHT(Table132321279[[#This Row],[h1]],8))</f>
        <v>0</v>
      </c>
      <c r="Q636" s="48" t="s">
        <v>149</v>
      </c>
      <c r="R636" s="48">
        <f>HEX2DEC(RIGHT(Table132321279[[#This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149</v>
      </c>
      <c r="P637" s="48">
        <f>HEX2DEC(RIGHT(Table132321279[[#This Row],[h1]],8))</f>
        <v>0</v>
      </c>
      <c r="Q637" s="48" t="s">
        <v>149</v>
      </c>
      <c r="R637" s="48">
        <f>HEX2DEC(RIGHT(Table132321279[[#This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149</v>
      </c>
      <c r="P638" s="48">
        <f>HEX2DEC(RIGHT(Table132321279[[#This Row],[h1]],8))</f>
        <v>0</v>
      </c>
      <c r="Q638" s="48" t="s">
        <v>149</v>
      </c>
      <c r="R638" s="48">
        <f>HEX2DEC(RIGHT(Table132321279[[#This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149</v>
      </c>
      <c r="P639" s="48">
        <f>HEX2DEC(RIGHT(Table132321279[[#This Row],[h1]],8))</f>
        <v>0</v>
      </c>
      <c r="Q639" s="48" t="s">
        <v>149</v>
      </c>
      <c r="R639" s="48">
        <f>HEX2DEC(RIGHT(Table132321279[[#This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149</v>
      </c>
      <c r="P640" s="48">
        <f>HEX2DEC(RIGHT(Table132321279[[#This Row],[h1]],8))</f>
        <v>0</v>
      </c>
      <c r="Q640" s="48" t="s">
        <v>149</v>
      </c>
      <c r="R640" s="48">
        <f>HEX2DEC(RIGHT(Table132321279[[#This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149</v>
      </c>
      <c r="P641" s="48">
        <f>HEX2DEC(RIGHT(Table132321279[[#This Row],[h1]],8))</f>
        <v>0</v>
      </c>
      <c r="Q641" s="48" t="s">
        <v>149</v>
      </c>
      <c r="R641" s="48">
        <f>HEX2DEC(RIGHT(Table132321279[[#This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149</v>
      </c>
      <c r="P642" s="48">
        <f>HEX2DEC(RIGHT(Table132321279[[#This Row],[h1]],8))</f>
        <v>0</v>
      </c>
      <c r="Q642" s="48" t="s">
        <v>149</v>
      </c>
      <c r="R642" s="48">
        <f>HEX2DEC(RIGHT(Table132321279[[#This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149</v>
      </c>
      <c r="P643" s="48">
        <f>HEX2DEC(RIGHT(Table132321279[[#This Row],[h1]],8))</f>
        <v>0</v>
      </c>
      <c r="Q643" s="48" t="s">
        <v>149</v>
      </c>
      <c r="R643" s="48">
        <f>HEX2DEC(RIGHT(Table132321279[[#This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149</v>
      </c>
      <c r="P644" s="48">
        <f>HEX2DEC(RIGHT(Table132321279[[#This Row],[h1]],8))</f>
        <v>0</v>
      </c>
      <c r="Q644" s="48" t="s">
        <v>149</v>
      </c>
      <c r="R644" s="48">
        <f>HEX2DEC(RIGHT(Table132321279[[#This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149</v>
      </c>
      <c r="P645" s="48">
        <f>HEX2DEC(RIGHT(Table132321279[[#This Row],[h1]],8))</f>
        <v>0</v>
      </c>
      <c r="Q645" s="48" t="s">
        <v>149</v>
      </c>
      <c r="R645" s="48">
        <f>HEX2DEC(RIGHT(Table132321279[[#This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149</v>
      </c>
      <c r="P646" s="48">
        <f>HEX2DEC(RIGHT(Table132321279[[#This Row],[h1]],8))</f>
        <v>0</v>
      </c>
      <c r="Q646" s="48" t="s">
        <v>149</v>
      </c>
      <c r="R646" s="48">
        <f>HEX2DEC(RIGHT(Table132321279[[#This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149</v>
      </c>
      <c r="P647" s="48">
        <f>HEX2DEC(RIGHT(Table132321279[[#This Row],[h1]],8))</f>
        <v>0</v>
      </c>
      <c r="Q647" s="48" t="s">
        <v>149</v>
      </c>
      <c r="R647" s="48">
        <f>HEX2DEC(RIGHT(Table132321279[[#This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149</v>
      </c>
      <c r="P648" s="48">
        <f>HEX2DEC(RIGHT(Table132321279[[#This Row],[h1]],8))</f>
        <v>0</v>
      </c>
      <c r="Q648" s="48" t="s">
        <v>149</v>
      </c>
      <c r="R648" s="48">
        <f>HEX2DEC(RIGHT(Table132321279[[#This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149</v>
      </c>
      <c r="P649" s="48">
        <f>HEX2DEC(RIGHT(Table132321279[[#This Row],[h1]],8))</f>
        <v>0</v>
      </c>
      <c r="Q649" s="48" t="s">
        <v>149</v>
      </c>
      <c r="R649" s="48">
        <f>HEX2DEC(RIGHT(Table132321279[[#This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149</v>
      </c>
      <c r="P650" s="48">
        <f>HEX2DEC(RIGHT(Table132321279[[#This Row],[h1]],8))</f>
        <v>0</v>
      </c>
      <c r="Q650" s="48" t="s">
        <v>149</v>
      </c>
      <c r="R650" s="48">
        <f>HEX2DEC(RIGHT(Table132321279[[#This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149</v>
      </c>
      <c r="P651" s="48">
        <f>HEX2DEC(RIGHT(Table132321279[[#This Row],[h1]],8))</f>
        <v>0</v>
      </c>
      <c r="Q651" s="48" t="s">
        <v>149</v>
      </c>
      <c r="R651" s="48">
        <f>HEX2DEC(RIGHT(Table132321279[[#This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149</v>
      </c>
      <c r="P652" s="48">
        <f>HEX2DEC(RIGHT(Table132321279[[#This Row],[h1]],8))</f>
        <v>0</v>
      </c>
      <c r="Q652" s="48" t="s">
        <v>149</v>
      </c>
      <c r="R652" s="48">
        <f>HEX2DEC(RIGHT(Table132321279[[#This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149</v>
      </c>
      <c r="P653" s="48">
        <f>HEX2DEC(RIGHT(Table132321279[[#This Row],[h1]],8))</f>
        <v>0</v>
      </c>
      <c r="Q653" s="48" t="s">
        <v>149</v>
      </c>
      <c r="R653" s="48">
        <f>HEX2DEC(RIGHT(Table132321279[[#This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149</v>
      </c>
      <c r="P654" s="48">
        <f>HEX2DEC(RIGHT(Table132321279[[#This Row],[h1]],8))</f>
        <v>0</v>
      </c>
      <c r="Q654" s="48" t="s">
        <v>149</v>
      </c>
      <c r="R654" s="48">
        <f>HEX2DEC(RIGHT(Table132321279[[#This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149</v>
      </c>
      <c r="P655" s="48">
        <f>HEX2DEC(RIGHT(Table132321279[[#This Row],[h1]],8))</f>
        <v>0</v>
      </c>
      <c r="Q655" s="48" t="s">
        <v>149</v>
      </c>
      <c r="R655" s="48">
        <f>HEX2DEC(RIGHT(Table132321279[[#This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149</v>
      </c>
      <c r="P656" s="48">
        <f>HEX2DEC(RIGHT(Table132321279[[#This Row],[h1]],8))</f>
        <v>0</v>
      </c>
      <c r="Q656" s="48" t="s">
        <v>149</v>
      </c>
      <c r="R656" s="48">
        <f>HEX2DEC(RIGHT(Table132321279[[#This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149</v>
      </c>
      <c r="P657" s="48">
        <f>HEX2DEC(RIGHT(Table132321279[[#This Row],[h1]],8))</f>
        <v>0</v>
      </c>
      <c r="Q657" s="48" t="s">
        <v>149</v>
      </c>
      <c r="R657" s="48">
        <f>HEX2DEC(RIGHT(Table132321279[[#This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149</v>
      </c>
      <c r="P658" s="48">
        <f>HEX2DEC(RIGHT(Table132321279[[#This Row],[h1]],8))</f>
        <v>0</v>
      </c>
      <c r="Q658" s="48" t="s">
        <v>149</v>
      </c>
      <c r="R658" s="48">
        <f>HEX2DEC(RIGHT(Table132321279[[#This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149</v>
      </c>
      <c r="P659" s="48">
        <f>HEX2DEC(RIGHT(Table132321279[[#This Row],[h1]],8))</f>
        <v>0</v>
      </c>
      <c r="Q659" s="48" t="s">
        <v>149</v>
      </c>
      <c r="R659" s="48">
        <f>HEX2DEC(RIGHT(Table132321279[[#This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149</v>
      </c>
      <c r="P660" s="48">
        <f>HEX2DEC(RIGHT(Table132321279[[#This Row],[h1]],8))</f>
        <v>0</v>
      </c>
      <c r="Q660" s="48" t="s">
        <v>149</v>
      </c>
      <c r="R660" s="48">
        <f>HEX2DEC(RIGHT(Table132321279[[#This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149</v>
      </c>
      <c r="P661" s="48">
        <f>HEX2DEC(RIGHT(Table132321279[[#This Row],[h1]],8))</f>
        <v>0</v>
      </c>
      <c r="Q661" s="48" t="s">
        <v>149</v>
      </c>
      <c r="R661" s="48">
        <f>HEX2DEC(RIGHT(Table132321279[[#This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149</v>
      </c>
      <c r="P662" s="48">
        <f>HEX2DEC(RIGHT(Table132321279[[#This Row],[h1]],8))</f>
        <v>0</v>
      </c>
      <c r="Q662" s="48" t="s">
        <v>149</v>
      </c>
      <c r="R662" s="48">
        <f>HEX2DEC(RIGHT(Table132321279[[#This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149</v>
      </c>
      <c r="P663" s="48">
        <f>HEX2DEC(RIGHT(Table132321279[[#This Row],[h1]],8))</f>
        <v>0</v>
      </c>
      <c r="Q663" s="48" t="s">
        <v>149</v>
      </c>
      <c r="R663" s="48">
        <f>HEX2DEC(RIGHT(Table132321279[[#This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149</v>
      </c>
      <c r="P664" s="48">
        <f>HEX2DEC(RIGHT(Table132321279[[#This Row],[h1]],8))</f>
        <v>0</v>
      </c>
      <c r="Q664" s="48" t="s">
        <v>149</v>
      </c>
      <c r="R664" s="48">
        <f>HEX2DEC(RIGHT(Table132321279[[#This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149</v>
      </c>
      <c r="P665" s="48">
        <f>HEX2DEC(RIGHT(Table132321279[[#This Row],[h1]],8))</f>
        <v>0</v>
      </c>
      <c r="Q665" s="48" t="s">
        <v>149</v>
      </c>
      <c r="R665" s="48">
        <f>HEX2DEC(RIGHT(Table132321279[[#This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149</v>
      </c>
      <c r="P666" s="48">
        <f>HEX2DEC(RIGHT(Table132321279[[#This Row],[h1]],8))</f>
        <v>0</v>
      </c>
      <c r="Q666" s="48" t="s">
        <v>149</v>
      </c>
      <c r="R666" s="48">
        <f>HEX2DEC(RIGHT(Table132321279[[#This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149</v>
      </c>
      <c r="P667" s="48">
        <f>HEX2DEC(RIGHT(Table132321279[[#This Row],[h1]],8))</f>
        <v>0</v>
      </c>
      <c r="Q667" s="48" t="s">
        <v>149</v>
      </c>
      <c r="R667" s="48">
        <f>HEX2DEC(RIGHT(Table132321279[[#This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149</v>
      </c>
      <c r="P668" s="48">
        <f>HEX2DEC(RIGHT(Table132321279[[#This Row],[h1]],8))</f>
        <v>0</v>
      </c>
      <c r="Q668" s="48" t="s">
        <v>149</v>
      </c>
      <c r="R668" s="48">
        <f>HEX2DEC(RIGHT(Table132321279[[#This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149</v>
      </c>
      <c r="P669" s="48">
        <f>HEX2DEC(RIGHT(Table132321279[[#This Row],[h1]],8))</f>
        <v>0</v>
      </c>
      <c r="Q669" s="48" t="s">
        <v>149</v>
      </c>
      <c r="R669" s="48">
        <f>HEX2DEC(RIGHT(Table132321279[[#This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149</v>
      </c>
      <c r="P670" s="48">
        <f>HEX2DEC(RIGHT(Table132321279[[#This Row],[h1]],8))</f>
        <v>0</v>
      </c>
      <c r="Q670" s="48" t="s">
        <v>149</v>
      </c>
      <c r="R670" s="48">
        <f>HEX2DEC(RIGHT(Table132321279[[#This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149</v>
      </c>
      <c r="P671" s="48">
        <f>HEX2DEC(RIGHT(Table132321279[[#This Row],[h1]],8))</f>
        <v>0</v>
      </c>
      <c r="Q671" s="48" t="s">
        <v>149</v>
      </c>
      <c r="R671" s="48">
        <f>HEX2DEC(RIGHT(Table132321279[[#This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149</v>
      </c>
      <c r="P672" s="48">
        <f>HEX2DEC(RIGHT(Table132321279[[#This Row],[h1]],8))</f>
        <v>0</v>
      </c>
      <c r="Q672" s="48" t="s">
        <v>149</v>
      </c>
      <c r="R672" s="48">
        <f>HEX2DEC(RIGHT(Table132321279[[#This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149</v>
      </c>
      <c r="P673" s="48">
        <f>HEX2DEC(RIGHT(Table132321279[[#This Row],[h1]],8))</f>
        <v>0</v>
      </c>
      <c r="Q673" s="48" t="s">
        <v>149</v>
      </c>
      <c r="R673" s="48">
        <f>HEX2DEC(RIGHT(Table132321279[[#This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149</v>
      </c>
      <c r="P674" s="48">
        <f>HEX2DEC(RIGHT(Table132321279[[#This Row],[h1]],8))</f>
        <v>0</v>
      </c>
      <c r="Q674" s="48" t="s">
        <v>149</v>
      </c>
      <c r="R674" s="48">
        <f>HEX2DEC(RIGHT(Table132321279[[#This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149</v>
      </c>
      <c r="P675" s="48">
        <f>HEX2DEC(RIGHT(Table132321279[[#This Row],[h1]],8))</f>
        <v>0</v>
      </c>
      <c r="Q675" s="48" t="s">
        <v>149</v>
      </c>
      <c r="R675" s="48">
        <f>HEX2DEC(RIGHT(Table132321279[[#This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149</v>
      </c>
      <c r="P676" s="48">
        <f>HEX2DEC(RIGHT(Table132321279[[#This Row],[h1]],8))</f>
        <v>0</v>
      </c>
      <c r="Q676" s="48" t="s">
        <v>149</v>
      </c>
      <c r="R676" s="48">
        <f>HEX2DEC(RIGHT(Table132321279[[#This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149</v>
      </c>
      <c r="P677" s="48">
        <f>HEX2DEC(RIGHT(Table132321279[[#This Row],[h1]],8))</f>
        <v>0</v>
      </c>
      <c r="Q677" s="48" t="s">
        <v>149</v>
      </c>
      <c r="R677" s="48">
        <f>HEX2DEC(RIGHT(Table132321279[[#This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149</v>
      </c>
      <c r="P678" s="48">
        <f>HEX2DEC(RIGHT(Table132321279[[#This Row],[h1]],8))</f>
        <v>0</v>
      </c>
      <c r="Q678" s="48" t="s">
        <v>149</v>
      </c>
      <c r="R678" s="48">
        <f>HEX2DEC(RIGHT(Table132321279[[#This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149</v>
      </c>
      <c r="P679" s="48">
        <f>HEX2DEC(RIGHT(Table132321279[[#This Row],[h1]],8))</f>
        <v>0</v>
      </c>
      <c r="Q679" s="48" t="s">
        <v>149</v>
      </c>
      <c r="R679" s="48">
        <f>HEX2DEC(RIGHT(Table132321279[[#This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149</v>
      </c>
      <c r="P680" s="48">
        <f>HEX2DEC(RIGHT(Table132321279[[#This Row],[h1]],8))</f>
        <v>0</v>
      </c>
      <c r="Q680" s="48" t="s">
        <v>149</v>
      </c>
      <c r="R680" s="48">
        <f>HEX2DEC(RIGHT(Table132321279[[#This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149</v>
      </c>
      <c r="P681" s="48">
        <f>HEX2DEC(RIGHT(Table132321279[[#This Row],[h1]],8))</f>
        <v>0</v>
      </c>
      <c r="Q681" s="48" t="s">
        <v>149</v>
      </c>
      <c r="R681" s="48">
        <f>HEX2DEC(RIGHT(Table132321279[[#This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149</v>
      </c>
      <c r="P682" s="48">
        <f>HEX2DEC(RIGHT(Table132321279[[#This Row],[h1]],8))</f>
        <v>0</v>
      </c>
      <c r="Q682" s="48" t="s">
        <v>149</v>
      </c>
      <c r="R682" s="48">
        <f>HEX2DEC(RIGHT(Table132321279[[#This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149</v>
      </c>
      <c r="P683" s="48">
        <f>HEX2DEC(RIGHT(Table132321279[[#This Row],[h1]],8))</f>
        <v>0</v>
      </c>
      <c r="Q683" s="48" t="s">
        <v>149</v>
      </c>
      <c r="R683" s="48">
        <f>HEX2DEC(RIGHT(Table132321279[[#This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149</v>
      </c>
      <c r="P684" s="48">
        <f>HEX2DEC(RIGHT(Table132321279[[#This Row],[h1]],8))</f>
        <v>0</v>
      </c>
      <c r="Q684" s="48" t="s">
        <v>149</v>
      </c>
      <c r="R684" s="48">
        <f>HEX2DEC(RIGHT(Table132321279[[#This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149</v>
      </c>
      <c r="P685" s="48">
        <f>HEX2DEC(RIGHT(Table132321279[[#This Row],[h1]],8))</f>
        <v>0</v>
      </c>
      <c r="Q685" s="48" t="s">
        <v>149</v>
      </c>
      <c r="R685" s="48">
        <f>HEX2DEC(RIGHT(Table132321279[[#This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149</v>
      </c>
      <c r="P686" s="48">
        <f>HEX2DEC(RIGHT(Table132321279[[#This Row],[h1]],8))</f>
        <v>0</v>
      </c>
      <c r="Q686" s="48" t="s">
        <v>149</v>
      </c>
      <c r="R686" s="48">
        <f>HEX2DEC(RIGHT(Table132321279[[#This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149</v>
      </c>
      <c r="P687" s="48">
        <f>HEX2DEC(RIGHT(Table132321279[[#This Row],[h1]],8))</f>
        <v>0</v>
      </c>
      <c r="Q687" s="48" t="s">
        <v>149</v>
      </c>
      <c r="R687" s="48">
        <f>HEX2DEC(RIGHT(Table132321279[[#This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149</v>
      </c>
      <c r="P688" s="48">
        <f>HEX2DEC(RIGHT(Table132321279[[#This Row],[h1]],8))</f>
        <v>0</v>
      </c>
      <c r="Q688" s="48" t="s">
        <v>149</v>
      </c>
      <c r="R688" s="48">
        <f>HEX2DEC(RIGHT(Table132321279[[#This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149</v>
      </c>
      <c r="P689" s="48">
        <f>HEX2DEC(RIGHT(Table132321279[[#This Row],[h1]],8))</f>
        <v>0</v>
      </c>
      <c r="Q689" s="48" t="s">
        <v>149</v>
      </c>
      <c r="R689" s="48">
        <f>HEX2DEC(RIGHT(Table132321279[[#This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149</v>
      </c>
      <c r="P690" s="48">
        <f>HEX2DEC(RIGHT(Table132321279[[#This Row],[h1]],8))</f>
        <v>0</v>
      </c>
      <c r="Q690" s="48" t="s">
        <v>149</v>
      </c>
      <c r="R690" s="48">
        <f>HEX2DEC(RIGHT(Table132321279[[#This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149</v>
      </c>
      <c r="P691" s="48">
        <f>HEX2DEC(RIGHT(Table132321279[[#This Row],[h1]],8))</f>
        <v>0</v>
      </c>
      <c r="Q691" s="48" t="s">
        <v>149</v>
      </c>
      <c r="R691" s="48">
        <f>HEX2DEC(RIGHT(Table132321279[[#This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149</v>
      </c>
      <c r="P692" s="48">
        <f>HEX2DEC(RIGHT(Table132321279[[#This Row],[h1]],8))</f>
        <v>0</v>
      </c>
      <c r="Q692" s="48" t="s">
        <v>149</v>
      </c>
      <c r="R692" s="48">
        <f>HEX2DEC(RIGHT(Table132321279[[#This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149</v>
      </c>
      <c r="P693" s="48">
        <f>HEX2DEC(RIGHT(Table132321279[[#This Row],[h1]],8))</f>
        <v>0</v>
      </c>
      <c r="Q693" s="48" t="s">
        <v>149</v>
      </c>
      <c r="R693" s="48">
        <f>HEX2DEC(RIGHT(Table132321279[[#This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149</v>
      </c>
      <c r="P694" s="48">
        <f>HEX2DEC(RIGHT(Table132321279[[#This Row],[h1]],8))</f>
        <v>0</v>
      </c>
      <c r="Q694" s="48" t="s">
        <v>149</v>
      </c>
      <c r="R694" s="48">
        <f>HEX2DEC(RIGHT(Table132321279[[#This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149</v>
      </c>
      <c r="P695" s="48">
        <f>HEX2DEC(RIGHT(Table132321279[[#This Row],[h1]],8))</f>
        <v>0</v>
      </c>
      <c r="Q695" s="48" t="s">
        <v>149</v>
      </c>
      <c r="R695" s="48">
        <f>HEX2DEC(RIGHT(Table132321279[[#This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149</v>
      </c>
      <c r="P696" s="48">
        <f>HEX2DEC(RIGHT(Table132321279[[#This Row],[h1]],8))</f>
        <v>0</v>
      </c>
      <c r="Q696" s="48" t="s">
        <v>149</v>
      </c>
      <c r="R696" s="48">
        <f>HEX2DEC(RIGHT(Table132321279[[#This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149</v>
      </c>
      <c r="P697" s="48">
        <f>HEX2DEC(RIGHT(Table132321279[[#This Row],[h1]],8))</f>
        <v>0</v>
      </c>
      <c r="Q697" s="48" t="s">
        <v>149</v>
      </c>
      <c r="R697" s="48">
        <f>HEX2DEC(RIGHT(Table132321279[[#This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149</v>
      </c>
      <c r="P698" s="48">
        <f>HEX2DEC(RIGHT(Table132321279[[#This Row],[h1]],8))</f>
        <v>0</v>
      </c>
      <c r="Q698" s="48" t="s">
        <v>149</v>
      </c>
      <c r="R698" s="48">
        <f>HEX2DEC(RIGHT(Table132321279[[#This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149</v>
      </c>
      <c r="P699" s="48">
        <f>HEX2DEC(RIGHT(Table132321279[[#This Row],[h1]],8))</f>
        <v>0</v>
      </c>
      <c r="Q699" s="48" t="s">
        <v>149</v>
      </c>
      <c r="R699" s="48">
        <f>HEX2DEC(RIGHT(Table132321279[[#This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149</v>
      </c>
      <c r="P700" s="48">
        <f>HEX2DEC(RIGHT(Table132321279[[#This Row],[h1]],8))</f>
        <v>0</v>
      </c>
      <c r="Q700" s="48" t="s">
        <v>149</v>
      </c>
      <c r="R700" s="48">
        <f>HEX2DEC(RIGHT(Table132321279[[#This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149</v>
      </c>
      <c r="P701" s="48">
        <f>HEX2DEC(RIGHT(Table132321279[[#This Row],[h1]],8))</f>
        <v>0</v>
      </c>
      <c r="Q701" s="48" t="s">
        <v>149</v>
      </c>
      <c r="R701" s="48">
        <f>HEX2DEC(RIGHT(Table132321279[[#This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149</v>
      </c>
      <c r="P702" s="48">
        <f>HEX2DEC(RIGHT(Table132321279[[#This Row],[h1]],8))</f>
        <v>0</v>
      </c>
      <c r="Q702" s="48" t="s">
        <v>149</v>
      </c>
      <c r="R702" s="48">
        <f>HEX2DEC(RIGHT(Table132321279[[#This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149</v>
      </c>
      <c r="P703" s="48">
        <f>HEX2DEC(RIGHT(Table132321279[[#This Row],[h1]],8))</f>
        <v>0</v>
      </c>
      <c r="Q703" s="48" t="s">
        <v>149</v>
      </c>
      <c r="R703" s="48">
        <f>HEX2DEC(RIGHT(Table132321279[[#This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149</v>
      </c>
      <c r="P704" s="48">
        <f>HEX2DEC(RIGHT(Table132321279[[#This Row],[h1]],8))</f>
        <v>0</v>
      </c>
      <c r="Q704" s="48" t="s">
        <v>149</v>
      </c>
      <c r="R704" s="48">
        <f>HEX2DEC(RIGHT(Table132321279[[#This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149</v>
      </c>
      <c r="P705" s="48">
        <f>HEX2DEC(RIGHT(Table132321279[[#This Row],[h1]],8))</f>
        <v>0</v>
      </c>
      <c r="Q705" s="48" t="s">
        <v>149</v>
      </c>
      <c r="R705" s="48">
        <f>HEX2DEC(RIGHT(Table132321279[[#This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149</v>
      </c>
      <c r="P706" s="48">
        <f>HEX2DEC(RIGHT(Table132321279[[#This Row],[h1]],8))</f>
        <v>0</v>
      </c>
      <c r="Q706" s="48" t="s">
        <v>149</v>
      </c>
      <c r="R706" s="48">
        <f>HEX2DEC(RIGHT(Table132321279[[#This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149</v>
      </c>
      <c r="P707" s="48">
        <f>HEX2DEC(RIGHT(Table132321279[[#This Row],[h1]],8))</f>
        <v>0</v>
      </c>
      <c r="Q707" s="48" t="s">
        <v>149</v>
      </c>
      <c r="R707" s="48">
        <f>HEX2DEC(RIGHT(Table132321279[[#This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149</v>
      </c>
      <c r="P708" s="48">
        <f>HEX2DEC(RIGHT(Table132321279[[#This Row],[h1]],8))</f>
        <v>0</v>
      </c>
      <c r="Q708" s="48" t="s">
        <v>149</v>
      </c>
      <c r="R708" s="48">
        <f>HEX2DEC(RIGHT(Table132321279[[#This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149</v>
      </c>
      <c r="P709" s="48">
        <f>HEX2DEC(RIGHT(Table132321279[[#This Row],[h1]],8))</f>
        <v>0</v>
      </c>
      <c r="Q709" s="48" t="s">
        <v>149</v>
      </c>
      <c r="R709" s="48">
        <f>HEX2DEC(RIGHT(Table132321279[[#This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149</v>
      </c>
      <c r="P710" s="48">
        <f>HEX2DEC(RIGHT(Table132321279[[#This Row],[h1]],8))</f>
        <v>0</v>
      </c>
      <c r="Q710" s="48" t="s">
        <v>149</v>
      </c>
      <c r="R710" s="48">
        <f>HEX2DEC(RIGHT(Table132321279[[#This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149</v>
      </c>
      <c r="P711" s="48">
        <f>HEX2DEC(RIGHT(Table132321279[[#This Row],[h1]],8))</f>
        <v>0</v>
      </c>
      <c r="Q711" s="48" t="s">
        <v>149</v>
      </c>
      <c r="R711" s="48">
        <f>HEX2DEC(RIGHT(Table132321279[[#This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149</v>
      </c>
      <c r="P712" s="48">
        <f>HEX2DEC(RIGHT(Table132321279[[#This Row],[h1]],8))</f>
        <v>0</v>
      </c>
      <c r="Q712" s="48" t="s">
        <v>149</v>
      </c>
      <c r="R712" s="48">
        <f>HEX2DEC(RIGHT(Table132321279[[#This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149</v>
      </c>
      <c r="P713" s="48">
        <f>HEX2DEC(RIGHT(Table132321279[[#This Row],[h1]],8))</f>
        <v>0</v>
      </c>
      <c r="Q713" s="48" t="s">
        <v>149</v>
      </c>
      <c r="R713" s="48">
        <f>HEX2DEC(RIGHT(Table132321279[[#This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149</v>
      </c>
      <c r="P714" s="48">
        <f>HEX2DEC(RIGHT(Table132321279[[#This Row],[h1]],8))</f>
        <v>0</v>
      </c>
      <c r="Q714" s="48" t="s">
        <v>149</v>
      </c>
      <c r="R714" s="48">
        <f>HEX2DEC(RIGHT(Table132321279[[#This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149</v>
      </c>
      <c r="P715" s="48">
        <f>HEX2DEC(RIGHT(Table132321279[[#This Row],[h1]],8))</f>
        <v>0</v>
      </c>
      <c r="Q715" s="48" t="s">
        <v>149</v>
      </c>
      <c r="R715" s="48">
        <f>HEX2DEC(RIGHT(Table132321279[[#This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149</v>
      </c>
      <c r="P716" s="48">
        <f>HEX2DEC(RIGHT(Table132321279[[#This Row],[h1]],8))</f>
        <v>0</v>
      </c>
      <c r="Q716" s="48" t="s">
        <v>149</v>
      </c>
      <c r="R716" s="48">
        <f>HEX2DEC(RIGHT(Table132321279[[#This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149</v>
      </c>
      <c r="P717" s="48">
        <f>HEX2DEC(RIGHT(Table132321279[[#This Row],[h1]],8))</f>
        <v>0</v>
      </c>
      <c r="Q717" s="48" t="s">
        <v>149</v>
      </c>
      <c r="R717" s="48">
        <f>HEX2DEC(RIGHT(Table132321279[[#This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149</v>
      </c>
      <c r="P718" s="48">
        <f>HEX2DEC(RIGHT(Table132321279[[#This Row],[h1]],8))</f>
        <v>0</v>
      </c>
      <c r="Q718" s="48" t="s">
        <v>149</v>
      </c>
      <c r="R718" s="48">
        <f>HEX2DEC(RIGHT(Table132321279[[#This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149</v>
      </c>
      <c r="P719" s="48">
        <f>HEX2DEC(RIGHT(Table132321279[[#This Row],[h1]],8))</f>
        <v>0</v>
      </c>
      <c r="Q719" s="48" t="s">
        <v>149</v>
      </c>
      <c r="R719" s="48">
        <f>HEX2DEC(RIGHT(Table132321279[[#This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149</v>
      </c>
      <c r="P720" s="48">
        <f>HEX2DEC(RIGHT(Table132321279[[#This Row],[h1]],8))</f>
        <v>0</v>
      </c>
      <c r="Q720" s="48" t="s">
        <v>149</v>
      </c>
      <c r="R720" s="48">
        <f>HEX2DEC(RIGHT(Table132321279[[#This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149</v>
      </c>
      <c r="P721" s="48">
        <f>HEX2DEC(RIGHT(Table132321279[[#This Row],[h1]],8))</f>
        <v>0</v>
      </c>
      <c r="Q721" s="48" t="s">
        <v>149</v>
      </c>
      <c r="R721" s="48">
        <f>HEX2DEC(RIGHT(Table132321279[[#This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149</v>
      </c>
      <c r="P722" s="48">
        <f>HEX2DEC(RIGHT(Table132321279[[#This Row],[h1]],8))</f>
        <v>0</v>
      </c>
      <c r="Q722" s="48" t="s">
        <v>149</v>
      </c>
      <c r="R722" s="48">
        <f>HEX2DEC(RIGHT(Table132321279[[#This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149</v>
      </c>
      <c r="P723" s="48">
        <f>HEX2DEC(RIGHT(Table132321279[[#This Row],[h1]],8))</f>
        <v>0</v>
      </c>
      <c r="Q723" s="48" t="s">
        <v>149</v>
      </c>
      <c r="R723" s="48">
        <f>HEX2DEC(RIGHT(Table132321279[[#This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149</v>
      </c>
      <c r="P724" s="48">
        <f>HEX2DEC(RIGHT(Table132321279[[#This Row],[h1]],8))</f>
        <v>0</v>
      </c>
      <c r="Q724" s="48" t="s">
        <v>149</v>
      </c>
      <c r="R724" s="48">
        <f>HEX2DEC(RIGHT(Table132321279[[#This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149</v>
      </c>
      <c r="P725" s="48">
        <f>HEX2DEC(RIGHT(Table132321279[[#This Row],[h1]],8))</f>
        <v>0</v>
      </c>
      <c r="Q725" s="48" t="s">
        <v>149</v>
      </c>
      <c r="R725" s="48">
        <f>HEX2DEC(RIGHT(Table132321279[[#This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149</v>
      </c>
      <c r="P726" s="48">
        <f>HEX2DEC(RIGHT(Table132321279[[#This Row],[h1]],8))</f>
        <v>0</v>
      </c>
      <c r="Q726" s="48" t="s">
        <v>149</v>
      </c>
      <c r="R726" s="48">
        <f>HEX2DEC(RIGHT(Table132321279[[#This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149</v>
      </c>
      <c r="P727" s="48">
        <f>HEX2DEC(RIGHT(Table132321279[[#This Row],[h1]],8))</f>
        <v>0</v>
      </c>
      <c r="Q727" s="48" t="s">
        <v>149</v>
      </c>
      <c r="R727" s="48">
        <f>HEX2DEC(RIGHT(Table132321279[[#This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149</v>
      </c>
      <c r="P728" s="48">
        <f>HEX2DEC(RIGHT(Table132321279[[#This Row],[h1]],8))</f>
        <v>0</v>
      </c>
      <c r="Q728" s="48" t="s">
        <v>149</v>
      </c>
      <c r="R728" s="48">
        <f>HEX2DEC(RIGHT(Table132321279[[#This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149</v>
      </c>
      <c r="P729" s="48">
        <f>HEX2DEC(RIGHT(Table132321279[[#This Row],[h1]],8))</f>
        <v>0</v>
      </c>
      <c r="Q729" s="48" t="s">
        <v>149</v>
      </c>
      <c r="R729" s="48">
        <f>HEX2DEC(RIGHT(Table132321279[[#This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149</v>
      </c>
      <c r="P730" s="48">
        <f>HEX2DEC(RIGHT(Table132321279[[#This Row],[h1]],8))</f>
        <v>0</v>
      </c>
      <c r="Q730" s="48" t="s">
        <v>149</v>
      </c>
      <c r="R730" s="48">
        <f>HEX2DEC(RIGHT(Table132321279[[#This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149</v>
      </c>
      <c r="P731" s="48">
        <f>HEX2DEC(RIGHT(Table132321279[[#This Row],[h1]],8))</f>
        <v>0</v>
      </c>
      <c r="Q731" s="48" t="s">
        <v>149</v>
      </c>
      <c r="R731" s="48">
        <f>HEX2DEC(RIGHT(Table132321279[[#This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149</v>
      </c>
      <c r="P732" s="48">
        <f>HEX2DEC(RIGHT(Table132321279[[#This Row],[h1]],8))</f>
        <v>0</v>
      </c>
      <c r="Q732" s="48" t="s">
        <v>149</v>
      </c>
      <c r="R732" s="48">
        <f>HEX2DEC(RIGHT(Table132321279[[#This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149</v>
      </c>
      <c r="P733" s="48">
        <f>HEX2DEC(RIGHT(Table132321279[[#This Row],[h1]],8))</f>
        <v>0</v>
      </c>
      <c r="Q733" s="48" t="s">
        <v>149</v>
      </c>
      <c r="R733" s="48">
        <f>HEX2DEC(RIGHT(Table132321279[[#This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149</v>
      </c>
      <c r="P734" s="48">
        <f>HEX2DEC(RIGHT(Table132321279[[#This Row],[h1]],8))</f>
        <v>0</v>
      </c>
      <c r="Q734" s="48" t="s">
        <v>149</v>
      </c>
      <c r="R734" s="48">
        <f>HEX2DEC(RIGHT(Table132321279[[#This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149</v>
      </c>
      <c r="P735" s="48">
        <f>HEX2DEC(RIGHT(Table132321279[[#This Row],[h1]],8))</f>
        <v>0</v>
      </c>
      <c r="Q735" s="48" t="s">
        <v>149</v>
      </c>
      <c r="R735" s="48">
        <f>HEX2DEC(RIGHT(Table132321279[[#This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149</v>
      </c>
      <c r="P736" s="48">
        <f>HEX2DEC(RIGHT(Table132321279[[#This Row],[h1]],8))</f>
        <v>0</v>
      </c>
      <c r="Q736" s="48" t="s">
        <v>149</v>
      </c>
      <c r="R736" s="48">
        <f>HEX2DEC(RIGHT(Table132321279[[#This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149</v>
      </c>
      <c r="P737" s="48">
        <f>HEX2DEC(RIGHT(Table132321279[[#This Row],[h1]],8))</f>
        <v>0</v>
      </c>
      <c r="Q737" s="48" t="s">
        <v>149</v>
      </c>
      <c r="R737" s="48">
        <f>HEX2DEC(RIGHT(Table132321279[[#This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149</v>
      </c>
      <c r="P738" s="48">
        <f>HEX2DEC(RIGHT(Table132321279[[#This Row],[h1]],8))</f>
        <v>0</v>
      </c>
      <c r="Q738" s="48" t="s">
        <v>149</v>
      </c>
      <c r="R738" s="48">
        <f>HEX2DEC(RIGHT(Table132321279[[#This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149</v>
      </c>
      <c r="P739" s="48">
        <f>HEX2DEC(RIGHT(Table132321279[[#This Row],[h1]],8))</f>
        <v>0</v>
      </c>
      <c r="Q739" s="48" t="s">
        <v>149</v>
      </c>
      <c r="R739" s="48">
        <f>HEX2DEC(RIGHT(Table132321279[[#This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149</v>
      </c>
      <c r="P740" s="48">
        <f>HEX2DEC(RIGHT(Table132321279[[#This Row],[h1]],8))</f>
        <v>0</v>
      </c>
      <c r="Q740" s="48" t="s">
        <v>149</v>
      </c>
      <c r="R740" s="48">
        <f>HEX2DEC(RIGHT(Table132321279[[#This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149</v>
      </c>
      <c r="P741" s="48">
        <f>HEX2DEC(RIGHT(Table132321279[[#This Row],[h1]],8))</f>
        <v>0</v>
      </c>
      <c r="Q741" s="48" t="s">
        <v>149</v>
      </c>
      <c r="R741" s="48">
        <f>HEX2DEC(RIGHT(Table132321279[[#This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149</v>
      </c>
      <c r="P742" s="48">
        <f>HEX2DEC(RIGHT(Table132321279[[#This Row],[h1]],8))</f>
        <v>0</v>
      </c>
      <c r="Q742" s="48" t="s">
        <v>149</v>
      </c>
      <c r="R742" s="48">
        <f>HEX2DEC(RIGHT(Table132321279[[#This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149</v>
      </c>
      <c r="P743" s="48">
        <f>HEX2DEC(RIGHT(Table132321279[[#This Row],[h1]],8))</f>
        <v>0</v>
      </c>
      <c r="Q743" s="48" t="s">
        <v>149</v>
      </c>
      <c r="R743" s="48">
        <f>HEX2DEC(RIGHT(Table132321279[[#This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149</v>
      </c>
      <c r="P744" s="48">
        <f>HEX2DEC(RIGHT(Table132321279[[#This Row],[h1]],8))</f>
        <v>0</v>
      </c>
      <c r="Q744" s="48" t="s">
        <v>149</v>
      </c>
      <c r="R744" s="48">
        <f>HEX2DEC(RIGHT(Table132321279[[#This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149</v>
      </c>
      <c r="P745" s="48">
        <f>HEX2DEC(RIGHT(Table132321279[[#This Row],[h1]],8))</f>
        <v>0</v>
      </c>
      <c r="Q745" s="48" t="s">
        <v>149</v>
      </c>
      <c r="R745" s="48">
        <f>HEX2DEC(RIGHT(Table132321279[[#This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149</v>
      </c>
      <c r="P746" s="48">
        <f>HEX2DEC(RIGHT(Table132321279[[#This Row],[h1]],8))</f>
        <v>0</v>
      </c>
      <c r="Q746" s="48" t="s">
        <v>149</v>
      </c>
      <c r="R746" s="48">
        <f>HEX2DEC(RIGHT(Table132321279[[#This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149</v>
      </c>
      <c r="P747" s="48">
        <f>HEX2DEC(RIGHT(Table132321279[[#This Row],[h1]],8))</f>
        <v>0</v>
      </c>
      <c r="Q747" s="48" t="s">
        <v>149</v>
      </c>
      <c r="R747" s="48">
        <f>HEX2DEC(RIGHT(Table132321279[[#This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149</v>
      </c>
      <c r="P748" s="48">
        <f>HEX2DEC(RIGHT(Table132321279[[#This Row],[h1]],8))</f>
        <v>0</v>
      </c>
      <c r="Q748" s="48" t="s">
        <v>149</v>
      </c>
      <c r="R748" s="48">
        <f>HEX2DEC(RIGHT(Table132321279[[#This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149</v>
      </c>
      <c r="P749" s="48">
        <f>HEX2DEC(RIGHT(Table132321279[[#This Row],[h1]],8))</f>
        <v>0</v>
      </c>
      <c r="Q749" s="48" t="s">
        <v>149</v>
      </c>
      <c r="R749" s="48">
        <f>HEX2DEC(RIGHT(Table132321279[[#This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149</v>
      </c>
      <c r="P750" s="48">
        <f>HEX2DEC(RIGHT(Table132321279[[#This Row],[h1]],8))</f>
        <v>0</v>
      </c>
      <c r="Q750" s="48" t="s">
        <v>149</v>
      </c>
      <c r="R750" s="48">
        <f>HEX2DEC(RIGHT(Table132321279[[#This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149</v>
      </c>
      <c r="P751" s="48">
        <f>HEX2DEC(RIGHT(Table132321279[[#This Row],[h1]],8))</f>
        <v>0</v>
      </c>
      <c r="Q751" s="48" t="s">
        <v>149</v>
      </c>
      <c r="R751" s="48">
        <f>HEX2DEC(RIGHT(Table132321279[[#This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149</v>
      </c>
      <c r="P752" s="48">
        <f>HEX2DEC(RIGHT(Table132321279[[#This Row],[h1]],8))</f>
        <v>0</v>
      </c>
      <c r="Q752" s="48" t="s">
        <v>149</v>
      </c>
      <c r="R752" s="48">
        <f>HEX2DEC(RIGHT(Table132321279[[#This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149</v>
      </c>
      <c r="P753" s="48">
        <f>HEX2DEC(RIGHT(Table132321279[[#This Row],[h1]],8))</f>
        <v>0</v>
      </c>
      <c r="Q753" s="48" t="s">
        <v>149</v>
      </c>
      <c r="R753" s="48">
        <f>HEX2DEC(RIGHT(Table132321279[[#This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149</v>
      </c>
      <c r="P754" s="48">
        <f>HEX2DEC(RIGHT(Table132321279[[#This Row],[h1]],8))</f>
        <v>0</v>
      </c>
      <c r="Q754" s="48" t="s">
        <v>149</v>
      </c>
      <c r="R754" s="48">
        <f>HEX2DEC(RIGHT(Table132321279[[#This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149</v>
      </c>
      <c r="P755" s="48">
        <f>HEX2DEC(RIGHT(Table132321279[[#This Row],[h1]],8))</f>
        <v>0</v>
      </c>
      <c r="Q755" s="48" t="s">
        <v>149</v>
      </c>
      <c r="R755" s="48">
        <f>HEX2DEC(RIGHT(Table132321279[[#This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149</v>
      </c>
      <c r="P756" s="48">
        <f>HEX2DEC(RIGHT(Table132321279[[#This Row],[h1]],8))</f>
        <v>0</v>
      </c>
      <c r="Q756" s="48" t="s">
        <v>149</v>
      </c>
      <c r="R756" s="48">
        <f>HEX2DEC(RIGHT(Table132321279[[#This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149</v>
      </c>
      <c r="P757" s="48">
        <f>HEX2DEC(RIGHT(Table132321279[[#This Row],[h1]],8))</f>
        <v>0</v>
      </c>
      <c r="Q757" s="48" t="s">
        <v>149</v>
      </c>
      <c r="R757" s="48">
        <f>HEX2DEC(RIGHT(Table132321279[[#This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149</v>
      </c>
      <c r="P758" s="48">
        <f>HEX2DEC(RIGHT(Table132321279[[#This Row],[h1]],8))</f>
        <v>0</v>
      </c>
      <c r="Q758" s="48" t="s">
        <v>149</v>
      </c>
      <c r="R758" s="48">
        <f>HEX2DEC(RIGHT(Table132321279[[#This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149</v>
      </c>
      <c r="P759" s="48">
        <f>HEX2DEC(RIGHT(Table132321279[[#This Row],[h1]],8))</f>
        <v>0</v>
      </c>
      <c r="Q759" s="48" t="s">
        <v>149</v>
      </c>
      <c r="R759" s="48">
        <f>HEX2DEC(RIGHT(Table132321279[[#This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149</v>
      </c>
      <c r="P760" s="48">
        <f>HEX2DEC(RIGHT(Table132321279[[#This Row],[h1]],8))</f>
        <v>0</v>
      </c>
      <c r="Q760" s="48" t="s">
        <v>149</v>
      </c>
      <c r="R760" s="48">
        <f>HEX2DEC(RIGHT(Table132321279[[#This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149</v>
      </c>
      <c r="P761" s="48">
        <f>HEX2DEC(RIGHT(Table132321279[[#This Row],[h1]],8))</f>
        <v>0</v>
      </c>
      <c r="Q761" s="48" t="s">
        <v>149</v>
      </c>
      <c r="R761" s="48">
        <f>HEX2DEC(RIGHT(Table132321279[[#This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149</v>
      </c>
      <c r="P762" s="48">
        <f>HEX2DEC(RIGHT(Table132321279[[#This Row],[h1]],8))</f>
        <v>0</v>
      </c>
      <c r="Q762" s="48" t="s">
        <v>149</v>
      </c>
      <c r="R762" s="48">
        <f>HEX2DEC(RIGHT(Table132321279[[#This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149</v>
      </c>
      <c r="P763" s="48">
        <f>HEX2DEC(RIGHT(Table132321279[[#This Row],[h1]],8))</f>
        <v>0</v>
      </c>
      <c r="Q763" s="48" t="s">
        <v>149</v>
      </c>
      <c r="R763" s="48">
        <f>HEX2DEC(RIGHT(Table132321279[[#This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149</v>
      </c>
      <c r="P764" s="48">
        <f>HEX2DEC(RIGHT(Table132321279[[#This Row],[h1]],8))</f>
        <v>0</v>
      </c>
      <c r="Q764" s="48" t="s">
        <v>149</v>
      </c>
      <c r="R764" s="48">
        <f>HEX2DEC(RIGHT(Table132321279[[#This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149</v>
      </c>
      <c r="P765" s="48">
        <f>HEX2DEC(RIGHT(Table132321279[[#This Row],[h1]],8))</f>
        <v>0</v>
      </c>
      <c r="Q765" s="48" t="s">
        <v>149</v>
      </c>
      <c r="R765" s="48">
        <f>HEX2DEC(RIGHT(Table132321279[[#This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149</v>
      </c>
      <c r="P766" s="48">
        <f>HEX2DEC(RIGHT(Table132321279[[#This Row],[h1]],8))</f>
        <v>0</v>
      </c>
      <c r="Q766" s="48" t="s">
        <v>149</v>
      </c>
      <c r="R766" s="48">
        <f>HEX2DEC(RIGHT(Table132321279[[#This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149</v>
      </c>
      <c r="P767" s="48">
        <f>HEX2DEC(RIGHT(Table132321279[[#This Row],[h1]],8))</f>
        <v>0</v>
      </c>
      <c r="Q767" s="48" t="s">
        <v>149</v>
      </c>
      <c r="R767" s="48">
        <f>HEX2DEC(RIGHT(Table132321279[[#This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149</v>
      </c>
      <c r="P768" s="48">
        <f>HEX2DEC(RIGHT(Table132321279[[#This Row],[h1]],8))</f>
        <v>0</v>
      </c>
      <c r="Q768" s="48" t="s">
        <v>149</v>
      </c>
      <c r="R768" s="48">
        <f>HEX2DEC(RIGHT(Table132321279[[#This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149</v>
      </c>
      <c r="P769" s="48">
        <f>HEX2DEC(RIGHT(Table132321279[[#This Row],[h1]],8))</f>
        <v>0</v>
      </c>
      <c r="Q769" s="48" t="s">
        <v>149</v>
      </c>
      <c r="R769" s="48">
        <f>HEX2DEC(RIGHT(Table132321279[[#This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149</v>
      </c>
      <c r="P770" s="48">
        <f>HEX2DEC(RIGHT(Table132321279[[#This Row],[h1]],8))</f>
        <v>0</v>
      </c>
      <c r="Q770" s="48" t="s">
        <v>149</v>
      </c>
      <c r="R770" s="48">
        <f>HEX2DEC(RIGHT(Table132321279[[#This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149</v>
      </c>
      <c r="P771" s="48">
        <f>HEX2DEC(RIGHT(Table132321279[[#This Row],[h1]],8))</f>
        <v>0</v>
      </c>
      <c r="Q771" s="48" t="s">
        <v>149</v>
      </c>
      <c r="R771" s="48">
        <f>HEX2DEC(RIGHT(Table132321279[[#This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149</v>
      </c>
      <c r="P772" s="48">
        <f>HEX2DEC(RIGHT(Table132321279[[#This Row],[h1]],8))</f>
        <v>0</v>
      </c>
      <c r="Q772" s="48" t="s">
        <v>149</v>
      </c>
      <c r="R772" s="48">
        <f>HEX2DEC(RIGHT(Table132321279[[#This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149</v>
      </c>
      <c r="P773" s="48">
        <f>HEX2DEC(RIGHT(Table132321279[[#This Row],[h1]],8))</f>
        <v>0</v>
      </c>
      <c r="Q773" s="48" t="s">
        <v>149</v>
      </c>
      <c r="R773" s="48">
        <f>HEX2DEC(RIGHT(Table132321279[[#This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149</v>
      </c>
      <c r="P774" s="48">
        <f>HEX2DEC(RIGHT(Table132321279[[#This Row],[h1]],8))</f>
        <v>0</v>
      </c>
      <c r="Q774" s="48" t="s">
        <v>149</v>
      </c>
      <c r="R774" s="48">
        <f>HEX2DEC(RIGHT(Table132321279[[#This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149</v>
      </c>
      <c r="P775" s="48">
        <f>HEX2DEC(RIGHT(Table132321279[[#This Row],[h1]],8))</f>
        <v>0</v>
      </c>
      <c r="Q775" s="48" t="s">
        <v>149</v>
      </c>
      <c r="R775" s="48">
        <f>HEX2DEC(RIGHT(Table132321279[[#This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149</v>
      </c>
      <c r="P776" s="48">
        <f>HEX2DEC(RIGHT(Table132321279[[#This Row],[h1]],8))</f>
        <v>0</v>
      </c>
      <c r="Q776" s="48" t="s">
        <v>149</v>
      </c>
      <c r="R776" s="48">
        <f>HEX2DEC(RIGHT(Table132321279[[#This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149</v>
      </c>
      <c r="P777" s="48">
        <f>HEX2DEC(RIGHT(Table132321279[[#This Row],[h1]],8))</f>
        <v>0</v>
      </c>
      <c r="Q777" s="48" t="s">
        <v>149</v>
      </c>
      <c r="R777" s="48">
        <f>HEX2DEC(RIGHT(Table132321279[[#This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149</v>
      </c>
      <c r="P778" s="48">
        <f>HEX2DEC(RIGHT(Table132321279[[#This Row],[h1]],8))</f>
        <v>0</v>
      </c>
      <c r="Q778" s="48" t="s">
        <v>149</v>
      </c>
      <c r="R778" s="48">
        <f>HEX2DEC(RIGHT(Table132321279[[#This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149</v>
      </c>
      <c r="P779" s="48">
        <f>HEX2DEC(RIGHT(Table132321279[[#This Row],[h1]],8))</f>
        <v>0</v>
      </c>
      <c r="Q779" s="48" t="s">
        <v>149</v>
      </c>
      <c r="R779" s="48">
        <f>HEX2DEC(RIGHT(Table132321279[[#This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149</v>
      </c>
      <c r="P780" s="48">
        <f>HEX2DEC(RIGHT(Table132321279[[#This Row],[h1]],8))</f>
        <v>0</v>
      </c>
      <c r="Q780" s="48" t="s">
        <v>149</v>
      </c>
      <c r="R780" s="48">
        <f>HEX2DEC(RIGHT(Table132321279[[#This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149</v>
      </c>
      <c r="P781" s="48">
        <f>HEX2DEC(RIGHT(Table132321279[[#This Row],[h1]],8))</f>
        <v>0</v>
      </c>
      <c r="Q781" s="48" t="s">
        <v>149</v>
      </c>
      <c r="R781" s="48">
        <f>HEX2DEC(RIGHT(Table132321279[[#This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149</v>
      </c>
      <c r="P782" s="48">
        <f>HEX2DEC(RIGHT(Table132321279[[#This Row],[h1]],8))</f>
        <v>0</v>
      </c>
      <c r="Q782" s="48" t="s">
        <v>149</v>
      </c>
      <c r="R782" s="48">
        <f>HEX2DEC(RIGHT(Table132321279[[#This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149</v>
      </c>
      <c r="P783" s="48">
        <f>HEX2DEC(RIGHT(Table132321279[[#This Row],[h1]],8))</f>
        <v>0</v>
      </c>
      <c r="Q783" s="48" t="s">
        <v>149</v>
      </c>
      <c r="R783" s="48">
        <f>HEX2DEC(RIGHT(Table132321279[[#This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149</v>
      </c>
      <c r="P784" s="48">
        <f>HEX2DEC(RIGHT(Table132321279[[#This Row],[h1]],8))</f>
        <v>0</v>
      </c>
      <c r="Q784" s="48" t="s">
        <v>149</v>
      </c>
      <c r="R784" s="48">
        <f>HEX2DEC(RIGHT(Table132321279[[#This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149</v>
      </c>
      <c r="P785" s="48">
        <f>HEX2DEC(RIGHT(Table132321279[[#This Row],[h1]],8))</f>
        <v>0</v>
      </c>
      <c r="Q785" s="48" t="s">
        <v>149</v>
      </c>
      <c r="R785" s="48">
        <f>HEX2DEC(RIGHT(Table132321279[[#This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149</v>
      </c>
      <c r="P786" s="48">
        <f>HEX2DEC(RIGHT(Table132321279[[#This Row],[h1]],8))</f>
        <v>0</v>
      </c>
      <c r="Q786" s="48" t="s">
        <v>149</v>
      </c>
      <c r="R786" s="48">
        <f>HEX2DEC(RIGHT(Table132321279[[#This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149</v>
      </c>
      <c r="P787" s="48">
        <f>HEX2DEC(RIGHT(Table132321279[[#This Row],[h1]],8))</f>
        <v>0</v>
      </c>
      <c r="Q787" s="48" t="s">
        <v>149</v>
      </c>
      <c r="R787" s="48">
        <f>HEX2DEC(RIGHT(Table132321279[[#This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149</v>
      </c>
      <c r="P788" s="48">
        <f>HEX2DEC(RIGHT(Table132321279[[#This Row],[h1]],8))</f>
        <v>0</v>
      </c>
      <c r="Q788" s="48" t="s">
        <v>149</v>
      </c>
      <c r="R788" s="48">
        <f>HEX2DEC(RIGHT(Table132321279[[#This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149</v>
      </c>
      <c r="P789" s="48">
        <f>HEX2DEC(RIGHT(Table132321279[[#This Row],[h1]],8))</f>
        <v>0</v>
      </c>
      <c r="Q789" s="48" t="s">
        <v>149</v>
      </c>
      <c r="R789" s="48">
        <f>HEX2DEC(RIGHT(Table132321279[[#This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149</v>
      </c>
      <c r="P790" s="48">
        <f>HEX2DEC(RIGHT(Table132321279[[#This Row],[h1]],8))</f>
        <v>0</v>
      </c>
      <c r="Q790" s="48" t="s">
        <v>149</v>
      </c>
      <c r="R790" s="48">
        <f>HEX2DEC(RIGHT(Table132321279[[#This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149</v>
      </c>
      <c r="P791" s="48">
        <f>HEX2DEC(RIGHT(Table132321279[[#This Row],[h1]],8))</f>
        <v>0</v>
      </c>
      <c r="Q791" s="48" t="s">
        <v>149</v>
      </c>
      <c r="R791" s="48">
        <f>HEX2DEC(RIGHT(Table132321279[[#This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149</v>
      </c>
      <c r="P792" s="48">
        <f>HEX2DEC(RIGHT(Table132321279[[#This Row],[h1]],8))</f>
        <v>0</v>
      </c>
      <c r="Q792" s="48" t="s">
        <v>149</v>
      </c>
      <c r="R792" s="48">
        <f>HEX2DEC(RIGHT(Table132321279[[#This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149</v>
      </c>
      <c r="P793" s="48">
        <f>HEX2DEC(RIGHT(Table132321279[[#This Row],[h1]],8))</f>
        <v>0</v>
      </c>
      <c r="Q793" s="48" t="s">
        <v>149</v>
      </c>
      <c r="R793" s="48">
        <f>HEX2DEC(RIGHT(Table132321279[[#This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149</v>
      </c>
      <c r="P794" s="48">
        <f>HEX2DEC(RIGHT(Table132321279[[#This Row],[h1]],8))</f>
        <v>0</v>
      </c>
      <c r="Q794" s="48" t="s">
        <v>149</v>
      </c>
      <c r="R794" s="48">
        <f>HEX2DEC(RIGHT(Table132321279[[#This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149</v>
      </c>
      <c r="P795" s="48">
        <f>HEX2DEC(RIGHT(Table132321279[[#This Row],[h1]],8))</f>
        <v>0</v>
      </c>
      <c r="Q795" s="48" t="s">
        <v>149</v>
      </c>
      <c r="R795" s="48">
        <f>HEX2DEC(RIGHT(Table132321279[[#This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149</v>
      </c>
      <c r="P796" s="48">
        <f>HEX2DEC(RIGHT(Table132321279[[#This Row],[h1]],8))</f>
        <v>0</v>
      </c>
      <c r="Q796" s="48" t="s">
        <v>149</v>
      </c>
      <c r="R796" s="48">
        <f>HEX2DEC(RIGHT(Table132321279[[#This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149</v>
      </c>
      <c r="P797" s="48">
        <f>HEX2DEC(RIGHT(Table132321279[[#This Row],[h1]],8))</f>
        <v>0</v>
      </c>
      <c r="Q797" s="48" t="s">
        <v>149</v>
      </c>
      <c r="R797" s="48">
        <f>HEX2DEC(RIGHT(Table132321279[[#This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149</v>
      </c>
      <c r="P798" s="48">
        <f>HEX2DEC(RIGHT(Table132321279[[#This Row],[h1]],8))</f>
        <v>0</v>
      </c>
      <c r="Q798" s="48" t="s">
        <v>149</v>
      </c>
      <c r="R798" s="48">
        <f>HEX2DEC(RIGHT(Table132321279[[#This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149</v>
      </c>
      <c r="P799" s="48">
        <f>HEX2DEC(RIGHT(Table132321279[[#This Row],[h1]],8))</f>
        <v>0</v>
      </c>
      <c r="Q799" s="48" t="s">
        <v>149</v>
      </c>
      <c r="R799" s="48">
        <f>HEX2DEC(RIGHT(Table132321279[[#This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149</v>
      </c>
      <c r="P800" s="48">
        <f>HEX2DEC(RIGHT(Table132321279[[#This Row],[h1]],8))</f>
        <v>0</v>
      </c>
      <c r="Q800" s="48" t="s">
        <v>149</v>
      </c>
      <c r="R800" s="48">
        <f>HEX2DEC(RIGHT(Table132321279[[#This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149</v>
      </c>
      <c r="P801" s="48">
        <f>HEX2DEC(RIGHT(Table132321279[[#This Row],[h1]],8))</f>
        <v>0</v>
      </c>
      <c r="Q801" s="48" t="s">
        <v>149</v>
      </c>
      <c r="R801" s="48">
        <f>HEX2DEC(RIGHT(Table132321279[[#This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149</v>
      </c>
      <c r="P802" s="48">
        <f>HEX2DEC(RIGHT(Table132321279[[#This Row],[h1]],8))</f>
        <v>0</v>
      </c>
      <c r="Q802" s="48" t="s">
        <v>149</v>
      </c>
      <c r="R802" s="48">
        <f>HEX2DEC(RIGHT(Table132321279[[#This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149</v>
      </c>
      <c r="P803" s="48">
        <f>HEX2DEC(RIGHT(Table132321279[[#This Row],[h1]],8))</f>
        <v>0</v>
      </c>
      <c r="Q803" s="48" t="s">
        <v>149</v>
      </c>
      <c r="R803" s="48">
        <f>HEX2DEC(RIGHT(Table132321279[[#This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149</v>
      </c>
      <c r="P804" s="48">
        <f>HEX2DEC(RIGHT(Table132321279[[#This Row],[h1]],8))</f>
        <v>0</v>
      </c>
      <c r="Q804" s="48" t="s">
        <v>149</v>
      </c>
      <c r="R804" s="48">
        <f>HEX2DEC(RIGHT(Table132321279[[#This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149</v>
      </c>
      <c r="P805" s="48">
        <f>HEX2DEC(RIGHT(Table132321279[[#This Row],[h1]],8))</f>
        <v>0</v>
      </c>
      <c r="Q805" s="48" t="s">
        <v>149</v>
      </c>
      <c r="R805" s="48">
        <f>HEX2DEC(RIGHT(Table132321279[[#This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149</v>
      </c>
      <c r="P806" s="48">
        <f>HEX2DEC(RIGHT(Table132321279[[#This Row],[h1]],8))</f>
        <v>0</v>
      </c>
      <c r="Q806" s="48" t="s">
        <v>149</v>
      </c>
      <c r="R806" s="48">
        <f>HEX2DEC(RIGHT(Table132321279[[#This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149</v>
      </c>
      <c r="P807" s="48">
        <f>HEX2DEC(RIGHT(Table132321279[[#This Row],[h1]],8))</f>
        <v>0</v>
      </c>
      <c r="Q807" s="48" t="s">
        <v>149</v>
      </c>
      <c r="R807" s="48">
        <f>HEX2DEC(RIGHT(Table132321279[[#This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149</v>
      </c>
      <c r="P808" s="48">
        <f>HEX2DEC(RIGHT(Table132321279[[#This Row],[h1]],8))</f>
        <v>0</v>
      </c>
      <c r="Q808" s="48" t="s">
        <v>149</v>
      </c>
      <c r="R808" s="48">
        <f>HEX2DEC(RIGHT(Table132321279[[#This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149</v>
      </c>
      <c r="P809" s="48">
        <f>HEX2DEC(RIGHT(Table132321279[[#This Row],[h1]],8))</f>
        <v>0</v>
      </c>
      <c r="Q809" s="48" t="s">
        <v>149</v>
      </c>
      <c r="R809" s="48">
        <f>HEX2DEC(RIGHT(Table132321279[[#This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149</v>
      </c>
      <c r="P810" s="48">
        <f>HEX2DEC(RIGHT(Table132321279[[#This Row],[h1]],8))</f>
        <v>0</v>
      </c>
      <c r="Q810" s="48" t="s">
        <v>149</v>
      </c>
      <c r="R810" s="48">
        <f>HEX2DEC(RIGHT(Table132321279[[#This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149</v>
      </c>
      <c r="P811" s="48">
        <f>HEX2DEC(RIGHT(Table132321279[[#This Row],[h1]],8))</f>
        <v>0</v>
      </c>
      <c r="Q811" s="48" t="s">
        <v>149</v>
      </c>
      <c r="R811" s="48">
        <f>HEX2DEC(RIGHT(Table132321279[[#This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149</v>
      </c>
      <c r="P812" s="48">
        <f>HEX2DEC(RIGHT(Table132321279[[#This Row],[h1]],8))</f>
        <v>0</v>
      </c>
      <c r="Q812" s="48" t="s">
        <v>149</v>
      </c>
      <c r="R812" s="48">
        <f>HEX2DEC(RIGHT(Table132321279[[#This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149</v>
      </c>
      <c r="P813" s="48">
        <f>HEX2DEC(RIGHT(Table132321279[[#This Row],[h1]],8))</f>
        <v>0</v>
      </c>
      <c r="Q813" s="48" t="s">
        <v>149</v>
      </c>
      <c r="R813" s="48">
        <f>HEX2DEC(RIGHT(Table132321279[[#This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149</v>
      </c>
      <c r="P814" s="48">
        <f>HEX2DEC(RIGHT(Table132321279[[#This Row],[h1]],8))</f>
        <v>0</v>
      </c>
      <c r="Q814" s="48" t="s">
        <v>149</v>
      </c>
      <c r="R814" s="48">
        <f>HEX2DEC(RIGHT(Table132321279[[#This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149</v>
      </c>
      <c r="P815" s="48">
        <f>HEX2DEC(RIGHT(Table132321279[[#This Row],[h1]],8))</f>
        <v>0</v>
      </c>
      <c r="Q815" s="48" t="s">
        <v>149</v>
      </c>
      <c r="R815" s="48">
        <f>HEX2DEC(RIGHT(Table132321279[[#This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149</v>
      </c>
      <c r="P816" s="48">
        <f>HEX2DEC(RIGHT(Table132321279[[#This Row],[h1]],8))</f>
        <v>0</v>
      </c>
      <c r="Q816" s="48" t="s">
        <v>149</v>
      </c>
      <c r="R816" s="48">
        <f>HEX2DEC(RIGHT(Table132321279[[#This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149</v>
      </c>
      <c r="P817" s="48">
        <f>HEX2DEC(RIGHT(Table132321279[[#This Row],[h1]],8))</f>
        <v>0</v>
      </c>
      <c r="Q817" s="48" t="s">
        <v>149</v>
      </c>
      <c r="R817" s="48">
        <f>HEX2DEC(RIGHT(Table132321279[[#This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149</v>
      </c>
      <c r="P818" s="48">
        <f>HEX2DEC(RIGHT(Table132321279[[#This Row],[h1]],8))</f>
        <v>0</v>
      </c>
      <c r="Q818" s="48" t="s">
        <v>149</v>
      </c>
      <c r="R818" s="48">
        <f>HEX2DEC(RIGHT(Table132321279[[#This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149</v>
      </c>
      <c r="P819" s="48">
        <f>HEX2DEC(RIGHT(Table132321279[[#This Row],[h1]],8))</f>
        <v>0</v>
      </c>
      <c r="Q819" s="48" t="s">
        <v>149</v>
      </c>
      <c r="R819" s="48">
        <f>HEX2DEC(RIGHT(Table132321279[[#This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149</v>
      </c>
      <c r="P820" s="48">
        <f>HEX2DEC(RIGHT(Table132321279[[#This Row],[h1]],8))</f>
        <v>0</v>
      </c>
      <c r="Q820" s="48" t="s">
        <v>149</v>
      </c>
      <c r="R820" s="48">
        <f>HEX2DEC(RIGHT(Table132321279[[#This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149</v>
      </c>
      <c r="P821" s="48">
        <f>HEX2DEC(RIGHT(Table132321279[[#This Row],[h1]],8))</f>
        <v>0</v>
      </c>
      <c r="Q821" s="48" t="s">
        <v>149</v>
      </c>
      <c r="R821" s="48">
        <f>HEX2DEC(RIGHT(Table132321279[[#This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149</v>
      </c>
      <c r="P822" s="48">
        <f>HEX2DEC(RIGHT(Table132321279[[#This Row],[h1]],8))</f>
        <v>0</v>
      </c>
      <c r="Q822" s="48" t="s">
        <v>149</v>
      </c>
      <c r="R822" s="48">
        <f>HEX2DEC(RIGHT(Table132321279[[#This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149</v>
      </c>
      <c r="P823" s="48">
        <f>HEX2DEC(RIGHT(Table132321279[[#This Row],[h1]],8))</f>
        <v>0</v>
      </c>
      <c r="Q823" s="48" t="s">
        <v>149</v>
      </c>
      <c r="R823" s="48">
        <f>HEX2DEC(RIGHT(Table132321279[[#This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149</v>
      </c>
      <c r="P824" s="48">
        <f>HEX2DEC(RIGHT(Table132321279[[#This Row],[h1]],8))</f>
        <v>0</v>
      </c>
      <c r="Q824" s="48" t="s">
        <v>149</v>
      </c>
      <c r="R824" s="48">
        <f>HEX2DEC(RIGHT(Table132321279[[#This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149</v>
      </c>
      <c r="P825" s="48">
        <f>HEX2DEC(RIGHT(Table132321279[[#This Row],[h1]],8))</f>
        <v>0</v>
      </c>
      <c r="Q825" s="48" t="s">
        <v>149</v>
      </c>
      <c r="R825" s="48">
        <f>HEX2DEC(RIGHT(Table132321279[[#This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149</v>
      </c>
      <c r="P826" s="48">
        <f>HEX2DEC(RIGHT(Table132321279[[#This Row],[h1]],8))</f>
        <v>0</v>
      </c>
      <c r="Q826" s="48" t="s">
        <v>149</v>
      </c>
      <c r="R826" s="48">
        <f>HEX2DEC(RIGHT(Table132321279[[#This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149</v>
      </c>
      <c r="P827" s="48">
        <f>HEX2DEC(RIGHT(Table132321279[[#This Row],[h1]],8))</f>
        <v>0</v>
      </c>
      <c r="Q827" s="48" t="s">
        <v>149</v>
      </c>
      <c r="R827" s="48">
        <f>HEX2DEC(RIGHT(Table132321279[[#This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149</v>
      </c>
      <c r="P828" s="48">
        <f>HEX2DEC(RIGHT(Table132321279[[#This Row],[h1]],8))</f>
        <v>0</v>
      </c>
      <c r="Q828" s="48" t="s">
        <v>149</v>
      </c>
      <c r="R828" s="48">
        <f>HEX2DEC(RIGHT(Table132321279[[#This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149</v>
      </c>
      <c r="P829" s="48">
        <f>HEX2DEC(RIGHT(Table132321279[[#This Row],[h1]],8))</f>
        <v>0</v>
      </c>
      <c r="Q829" s="48" t="s">
        <v>149</v>
      </c>
      <c r="R829" s="48">
        <f>HEX2DEC(RIGHT(Table132321279[[#This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149</v>
      </c>
      <c r="P830" s="48">
        <f>HEX2DEC(RIGHT(Table132321279[[#This Row],[h1]],8))</f>
        <v>0</v>
      </c>
      <c r="Q830" s="48" t="s">
        <v>149</v>
      </c>
      <c r="R830" s="48">
        <f>HEX2DEC(RIGHT(Table132321279[[#This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149</v>
      </c>
      <c r="P831" s="48">
        <f>HEX2DEC(RIGHT(Table132321279[[#This Row],[h1]],8))</f>
        <v>0</v>
      </c>
      <c r="Q831" s="48" t="s">
        <v>149</v>
      </c>
      <c r="R831" s="48">
        <f>HEX2DEC(RIGHT(Table132321279[[#This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149</v>
      </c>
      <c r="P832" s="48">
        <f>HEX2DEC(RIGHT(Table132321279[[#This Row],[h1]],8))</f>
        <v>0</v>
      </c>
      <c r="Q832" s="48" t="s">
        <v>149</v>
      </c>
      <c r="R832" s="48">
        <f>HEX2DEC(RIGHT(Table132321279[[#This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149</v>
      </c>
      <c r="P833" s="48">
        <f>HEX2DEC(RIGHT(Table132321279[[#This Row],[h1]],8))</f>
        <v>0</v>
      </c>
      <c r="Q833" s="48" t="s">
        <v>149</v>
      </c>
      <c r="R833" s="48">
        <f>HEX2DEC(RIGHT(Table132321279[[#This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149</v>
      </c>
      <c r="P834" s="48">
        <f>HEX2DEC(RIGHT(Table132321279[[#This Row],[h1]],8))</f>
        <v>0</v>
      </c>
      <c r="Q834" s="48" t="s">
        <v>149</v>
      </c>
      <c r="R834" s="48">
        <f>HEX2DEC(RIGHT(Table132321279[[#This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149</v>
      </c>
      <c r="P835" s="48">
        <f>HEX2DEC(RIGHT(Table132321279[[#This Row],[h1]],8))</f>
        <v>0</v>
      </c>
      <c r="Q835" s="48" t="s">
        <v>149</v>
      </c>
      <c r="R835" s="48">
        <f>HEX2DEC(RIGHT(Table132321279[[#This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149</v>
      </c>
      <c r="P836" s="48">
        <f>HEX2DEC(RIGHT(Table132321279[[#This Row],[h1]],8))</f>
        <v>0</v>
      </c>
      <c r="Q836" s="48" t="s">
        <v>149</v>
      </c>
      <c r="R836" s="48">
        <f>HEX2DEC(RIGHT(Table132321279[[#This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149</v>
      </c>
      <c r="P837" s="48">
        <f>HEX2DEC(RIGHT(Table132321279[[#This Row],[h1]],8))</f>
        <v>0</v>
      </c>
      <c r="Q837" s="48" t="s">
        <v>149</v>
      </c>
      <c r="R837" s="48">
        <f>HEX2DEC(RIGHT(Table132321279[[#This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149</v>
      </c>
      <c r="P838" s="48">
        <f>HEX2DEC(RIGHT(Table132321279[[#This Row],[h1]],8))</f>
        <v>0</v>
      </c>
      <c r="Q838" s="48" t="s">
        <v>149</v>
      </c>
      <c r="R838" s="48">
        <f>HEX2DEC(RIGHT(Table132321279[[#This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149</v>
      </c>
      <c r="P839" s="48">
        <f>HEX2DEC(RIGHT(Table132321279[[#This Row],[h1]],8))</f>
        <v>0</v>
      </c>
      <c r="Q839" s="48" t="s">
        <v>149</v>
      </c>
      <c r="R839" s="48">
        <f>HEX2DEC(RIGHT(Table132321279[[#This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149</v>
      </c>
      <c r="P840" s="48">
        <f>HEX2DEC(RIGHT(Table132321279[[#This Row],[h1]],8))</f>
        <v>0</v>
      </c>
      <c r="Q840" s="48" t="s">
        <v>149</v>
      </c>
      <c r="R840" s="48">
        <f>HEX2DEC(RIGHT(Table132321279[[#This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149</v>
      </c>
      <c r="P841" s="48">
        <f>HEX2DEC(RIGHT(Table132321279[[#This Row],[h1]],8))</f>
        <v>0</v>
      </c>
      <c r="Q841" s="48" t="s">
        <v>149</v>
      </c>
      <c r="R841" s="48">
        <f>HEX2DEC(RIGHT(Table132321279[[#This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149</v>
      </c>
      <c r="P842" s="48">
        <f>HEX2DEC(RIGHT(Table132321279[[#This Row],[h1]],8))</f>
        <v>0</v>
      </c>
      <c r="Q842" s="48" t="s">
        <v>149</v>
      </c>
      <c r="R842" s="48">
        <f>HEX2DEC(RIGHT(Table132321279[[#This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149</v>
      </c>
      <c r="P843" s="48">
        <f>HEX2DEC(RIGHT(Table132321279[[#This Row],[h1]],8))</f>
        <v>0</v>
      </c>
      <c r="Q843" s="48" t="s">
        <v>149</v>
      </c>
      <c r="R843" s="48">
        <f>HEX2DEC(RIGHT(Table132321279[[#This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149</v>
      </c>
      <c r="P844" s="48">
        <f>HEX2DEC(RIGHT(Table132321279[[#This Row],[h1]],8))</f>
        <v>0</v>
      </c>
      <c r="Q844" s="48" t="s">
        <v>149</v>
      </c>
      <c r="R844" s="48">
        <f>HEX2DEC(RIGHT(Table132321279[[#This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149</v>
      </c>
      <c r="P845" s="48">
        <f>HEX2DEC(RIGHT(Table132321279[[#This Row],[h1]],8))</f>
        <v>0</v>
      </c>
      <c r="Q845" s="48" t="s">
        <v>149</v>
      </c>
      <c r="R845" s="48">
        <f>HEX2DEC(RIGHT(Table132321279[[#This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149</v>
      </c>
      <c r="P846" s="48">
        <f>HEX2DEC(RIGHT(Table132321279[[#This Row],[h1]],8))</f>
        <v>0</v>
      </c>
      <c r="Q846" s="48" t="s">
        <v>149</v>
      </c>
      <c r="R846" s="48">
        <f>HEX2DEC(RIGHT(Table132321279[[#This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149</v>
      </c>
      <c r="P847" s="48">
        <f>HEX2DEC(RIGHT(Table132321279[[#This Row],[h1]],8))</f>
        <v>0</v>
      </c>
      <c r="Q847" s="48" t="s">
        <v>149</v>
      </c>
      <c r="R847" s="48">
        <f>HEX2DEC(RIGHT(Table132321279[[#This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149</v>
      </c>
      <c r="P848" s="48">
        <f>HEX2DEC(RIGHT(Table132321279[[#This Row],[h1]],8))</f>
        <v>0</v>
      </c>
      <c r="Q848" s="48" t="s">
        <v>149</v>
      </c>
      <c r="R848" s="48">
        <f>HEX2DEC(RIGHT(Table132321279[[#This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149</v>
      </c>
      <c r="P849" s="48">
        <f>HEX2DEC(RIGHT(Table132321279[[#This Row],[h1]],8))</f>
        <v>0</v>
      </c>
      <c r="Q849" s="48" t="s">
        <v>149</v>
      </c>
      <c r="R849" s="48">
        <f>HEX2DEC(RIGHT(Table132321279[[#This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149</v>
      </c>
      <c r="P850" s="48">
        <f>HEX2DEC(RIGHT(Table132321279[[#This Row],[h1]],8))</f>
        <v>0</v>
      </c>
      <c r="Q850" s="48" t="s">
        <v>149</v>
      </c>
      <c r="R850" s="48">
        <f>HEX2DEC(RIGHT(Table132321279[[#This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149</v>
      </c>
      <c r="P851" s="48">
        <f>HEX2DEC(RIGHT(Table132321279[[#This Row],[h1]],8))</f>
        <v>0</v>
      </c>
      <c r="Q851" s="48" t="s">
        <v>149</v>
      </c>
      <c r="R851" s="48">
        <f>HEX2DEC(RIGHT(Table132321279[[#This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149</v>
      </c>
      <c r="P852" s="48">
        <f>HEX2DEC(RIGHT(Table132321279[[#This Row],[h1]],8))</f>
        <v>0</v>
      </c>
      <c r="Q852" s="48" t="s">
        <v>149</v>
      </c>
      <c r="R852" s="48">
        <f>HEX2DEC(RIGHT(Table132321279[[#This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149</v>
      </c>
      <c r="P853" s="48">
        <f>HEX2DEC(RIGHT(Table132321279[[#This Row],[h1]],8))</f>
        <v>0</v>
      </c>
      <c r="Q853" s="48" t="s">
        <v>149</v>
      </c>
      <c r="R853" s="48">
        <f>HEX2DEC(RIGHT(Table132321279[[#This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149</v>
      </c>
      <c r="P854" s="48">
        <f>HEX2DEC(RIGHT(Table132321279[[#This Row],[h1]],8))</f>
        <v>0</v>
      </c>
      <c r="Q854" s="48" t="s">
        <v>149</v>
      </c>
      <c r="R854" s="48">
        <f>HEX2DEC(RIGHT(Table132321279[[#This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149</v>
      </c>
      <c r="P855" s="48">
        <f>HEX2DEC(RIGHT(Table132321279[[#This Row],[h1]],8))</f>
        <v>0</v>
      </c>
      <c r="Q855" s="48" t="s">
        <v>149</v>
      </c>
      <c r="R855" s="48">
        <f>HEX2DEC(RIGHT(Table132321279[[#This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149</v>
      </c>
      <c r="P856" s="48">
        <f>HEX2DEC(RIGHT(Table132321279[[#This Row],[h1]],8))</f>
        <v>0</v>
      </c>
      <c r="Q856" s="48" t="s">
        <v>149</v>
      </c>
      <c r="R856" s="48">
        <f>HEX2DEC(RIGHT(Table132321279[[#This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149</v>
      </c>
      <c r="P857" s="48">
        <f>HEX2DEC(RIGHT(Table132321279[[#This Row],[h1]],8))</f>
        <v>0</v>
      </c>
      <c r="Q857" s="48" t="s">
        <v>149</v>
      </c>
      <c r="R857" s="48">
        <f>HEX2DEC(RIGHT(Table132321279[[#This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149</v>
      </c>
      <c r="P858" s="48">
        <f>HEX2DEC(RIGHT(Table132321279[[#This Row],[h1]],8))</f>
        <v>0</v>
      </c>
      <c r="Q858" s="48" t="s">
        <v>149</v>
      </c>
      <c r="R858" s="48">
        <f>HEX2DEC(RIGHT(Table132321279[[#This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149</v>
      </c>
      <c r="P859" s="48">
        <f>HEX2DEC(RIGHT(Table132321279[[#This Row],[h1]],8))</f>
        <v>0</v>
      </c>
      <c r="Q859" s="48" t="s">
        <v>149</v>
      </c>
      <c r="R859" s="48">
        <f>HEX2DEC(RIGHT(Table132321279[[#This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149</v>
      </c>
      <c r="P860" s="48">
        <f>HEX2DEC(RIGHT(Table132321279[[#This Row],[h1]],8))</f>
        <v>0</v>
      </c>
      <c r="Q860" s="48" t="s">
        <v>149</v>
      </c>
      <c r="R860" s="48">
        <f>HEX2DEC(RIGHT(Table132321279[[#This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149</v>
      </c>
      <c r="P861" s="48">
        <f>HEX2DEC(RIGHT(Table132321279[[#This Row],[h1]],8))</f>
        <v>0</v>
      </c>
      <c r="Q861" s="48" t="s">
        <v>149</v>
      </c>
      <c r="R861" s="48">
        <f>HEX2DEC(RIGHT(Table132321279[[#This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149</v>
      </c>
      <c r="P862" s="48">
        <f>HEX2DEC(RIGHT(Table132321279[[#This Row],[h1]],8))</f>
        <v>0</v>
      </c>
      <c r="Q862" s="48" t="s">
        <v>149</v>
      </c>
      <c r="R862" s="48">
        <f>HEX2DEC(RIGHT(Table132321279[[#This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149</v>
      </c>
      <c r="P863" s="48">
        <f>HEX2DEC(RIGHT(Table132321279[[#This Row],[h1]],8))</f>
        <v>0</v>
      </c>
      <c r="Q863" s="48" t="s">
        <v>149</v>
      </c>
      <c r="R863" s="48">
        <f>HEX2DEC(RIGHT(Table132321279[[#This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149</v>
      </c>
      <c r="P864" s="48">
        <f>HEX2DEC(RIGHT(Table132321279[[#This Row],[h1]],8))</f>
        <v>0</v>
      </c>
      <c r="Q864" s="48" t="s">
        <v>149</v>
      </c>
      <c r="R864" s="48">
        <f>HEX2DEC(RIGHT(Table132321279[[#This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149</v>
      </c>
      <c r="P865" s="48">
        <f>HEX2DEC(RIGHT(Table132321279[[#This Row],[h1]],8))</f>
        <v>0</v>
      </c>
      <c r="Q865" s="48" t="s">
        <v>149</v>
      </c>
      <c r="R865" s="48">
        <f>HEX2DEC(RIGHT(Table132321279[[#This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149</v>
      </c>
      <c r="P866" s="48">
        <f>HEX2DEC(RIGHT(Table132321279[[#This Row],[h1]],8))</f>
        <v>0</v>
      </c>
      <c r="Q866" s="48" t="s">
        <v>149</v>
      </c>
      <c r="R866" s="48">
        <f>HEX2DEC(RIGHT(Table132321279[[#This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149</v>
      </c>
      <c r="P867" s="48">
        <f>HEX2DEC(RIGHT(Table132321279[[#This Row],[h1]],8))</f>
        <v>0</v>
      </c>
      <c r="Q867" s="48" t="s">
        <v>149</v>
      </c>
      <c r="R867" s="48">
        <f>HEX2DEC(RIGHT(Table132321279[[#This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149</v>
      </c>
      <c r="P868" s="48">
        <f>HEX2DEC(RIGHT(Table132321279[[#This Row],[h1]],8))</f>
        <v>0</v>
      </c>
      <c r="Q868" s="48" t="s">
        <v>149</v>
      </c>
      <c r="R868" s="48">
        <f>HEX2DEC(RIGHT(Table132321279[[#This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149</v>
      </c>
      <c r="P869" s="48">
        <f>HEX2DEC(RIGHT(Table132321279[[#This Row],[h1]],8))</f>
        <v>0</v>
      </c>
      <c r="Q869" s="48" t="s">
        <v>149</v>
      </c>
      <c r="R869" s="48">
        <f>HEX2DEC(RIGHT(Table132321279[[#This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149</v>
      </c>
      <c r="P870" s="48">
        <f>HEX2DEC(RIGHT(Table132321279[[#This Row],[h1]],8))</f>
        <v>0</v>
      </c>
      <c r="Q870" s="48" t="s">
        <v>149</v>
      </c>
      <c r="R870" s="48">
        <f>HEX2DEC(RIGHT(Table132321279[[#This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149</v>
      </c>
      <c r="P871" s="48">
        <f>HEX2DEC(RIGHT(Table132321279[[#This Row],[h1]],8))</f>
        <v>0</v>
      </c>
      <c r="Q871" s="48" t="s">
        <v>149</v>
      </c>
      <c r="R871" s="48">
        <f>HEX2DEC(RIGHT(Table132321279[[#This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149</v>
      </c>
      <c r="P872" s="48">
        <f>HEX2DEC(RIGHT(Table132321279[[#This Row],[h1]],8))</f>
        <v>0</v>
      </c>
      <c r="Q872" s="48" t="s">
        <v>149</v>
      </c>
      <c r="R872" s="48">
        <f>HEX2DEC(RIGHT(Table132321279[[#This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149</v>
      </c>
      <c r="P873" s="48">
        <f>HEX2DEC(RIGHT(Table132321279[[#This Row],[h1]],8))</f>
        <v>0</v>
      </c>
      <c r="Q873" s="48" t="s">
        <v>149</v>
      </c>
      <c r="R873" s="48">
        <f>HEX2DEC(RIGHT(Table132321279[[#This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149</v>
      </c>
      <c r="P874" s="48">
        <f>HEX2DEC(RIGHT(Table132321279[[#This Row],[h1]],8))</f>
        <v>0</v>
      </c>
      <c r="Q874" s="48" t="s">
        <v>149</v>
      </c>
      <c r="R874" s="48">
        <f>HEX2DEC(RIGHT(Table132321279[[#This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149</v>
      </c>
      <c r="P875" s="48">
        <f>HEX2DEC(RIGHT(Table132321279[[#This Row],[h1]],8))</f>
        <v>0</v>
      </c>
      <c r="Q875" s="48" t="s">
        <v>149</v>
      </c>
      <c r="R875" s="48">
        <f>HEX2DEC(RIGHT(Table132321279[[#This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149</v>
      </c>
      <c r="P876" s="48">
        <f>HEX2DEC(RIGHT(Table132321279[[#This Row],[h1]],8))</f>
        <v>0</v>
      </c>
      <c r="Q876" s="48" t="s">
        <v>149</v>
      </c>
      <c r="R876" s="48">
        <f>HEX2DEC(RIGHT(Table132321279[[#This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149</v>
      </c>
      <c r="P877" s="48">
        <f>HEX2DEC(RIGHT(Table132321279[[#This Row],[h1]],8))</f>
        <v>0</v>
      </c>
      <c r="Q877" s="48" t="s">
        <v>149</v>
      </c>
      <c r="R877" s="48">
        <f>HEX2DEC(RIGHT(Table132321279[[#This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149</v>
      </c>
      <c r="P878" s="48">
        <f>HEX2DEC(RIGHT(Table132321279[[#This Row],[h1]],8))</f>
        <v>0</v>
      </c>
      <c r="Q878" s="48" t="s">
        <v>149</v>
      </c>
      <c r="R878" s="48">
        <f>HEX2DEC(RIGHT(Table132321279[[#This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149</v>
      </c>
      <c r="P879" s="48">
        <f>HEX2DEC(RIGHT(Table132321279[[#This Row],[h1]],8))</f>
        <v>0</v>
      </c>
      <c r="Q879" s="48" t="s">
        <v>149</v>
      </c>
      <c r="R879" s="48">
        <f>HEX2DEC(RIGHT(Table132321279[[#This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149</v>
      </c>
      <c r="P880" s="48">
        <f>HEX2DEC(RIGHT(Table132321279[[#This Row],[h1]],8))</f>
        <v>0</v>
      </c>
      <c r="Q880" s="48" t="s">
        <v>149</v>
      </c>
      <c r="R880" s="48">
        <f>HEX2DEC(RIGHT(Table132321279[[#This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149</v>
      </c>
      <c r="P881" s="48">
        <f>HEX2DEC(RIGHT(Table132321279[[#This Row],[h1]],8))</f>
        <v>0</v>
      </c>
      <c r="Q881" s="48" t="s">
        <v>149</v>
      </c>
      <c r="R881" s="48">
        <f>HEX2DEC(RIGHT(Table132321279[[#This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149</v>
      </c>
      <c r="P882" s="48">
        <f>HEX2DEC(RIGHT(Table132321279[[#This Row],[h1]],8))</f>
        <v>0</v>
      </c>
      <c r="Q882" s="48" t="s">
        <v>149</v>
      </c>
      <c r="R882" s="48">
        <f>HEX2DEC(RIGHT(Table132321279[[#This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149</v>
      </c>
      <c r="P883" s="48">
        <f>HEX2DEC(RIGHT(Table132321279[[#This Row],[h1]],8))</f>
        <v>0</v>
      </c>
      <c r="Q883" s="48" t="s">
        <v>149</v>
      </c>
      <c r="R883" s="48">
        <f>HEX2DEC(RIGHT(Table132321279[[#This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149</v>
      </c>
      <c r="P884" s="48">
        <f>HEX2DEC(RIGHT(Table132321279[[#This Row],[h1]],8))</f>
        <v>0</v>
      </c>
      <c r="Q884" s="48" t="s">
        <v>149</v>
      </c>
      <c r="R884" s="48">
        <f>HEX2DEC(RIGHT(Table132321279[[#This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149</v>
      </c>
      <c r="P885" s="48">
        <f>HEX2DEC(RIGHT(Table132321279[[#This Row],[h1]],8))</f>
        <v>0</v>
      </c>
      <c r="Q885" s="48" t="s">
        <v>149</v>
      </c>
      <c r="R885" s="48">
        <f>HEX2DEC(RIGHT(Table132321279[[#This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149</v>
      </c>
      <c r="P886" s="48">
        <f>HEX2DEC(RIGHT(Table132321279[[#This Row],[h1]],8))</f>
        <v>0</v>
      </c>
      <c r="Q886" s="48" t="s">
        <v>149</v>
      </c>
      <c r="R886" s="48">
        <f>HEX2DEC(RIGHT(Table132321279[[#This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149</v>
      </c>
      <c r="P887" s="48">
        <f>HEX2DEC(RIGHT(Table132321279[[#This Row],[h1]],8))</f>
        <v>0</v>
      </c>
      <c r="Q887" s="48" t="s">
        <v>149</v>
      </c>
      <c r="R887" s="48">
        <f>HEX2DEC(RIGHT(Table132321279[[#This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149</v>
      </c>
      <c r="P888" s="48">
        <f>HEX2DEC(RIGHT(Table132321279[[#This Row],[h1]],8))</f>
        <v>0</v>
      </c>
      <c r="Q888" s="48" t="s">
        <v>149</v>
      </c>
      <c r="R888" s="48">
        <f>HEX2DEC(RIGHT(Table132321279[[#This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149</v>
      </c>
      <c r="P889" s="48">
        <f>HEX2DEC(RIGHT(Table132321279[[#This Row],[h1]],8))</f>
        <v>0</v>
      </c>
      <c r="Q889" s="48" t="s">
        <v>149</v>
      </c>
      <c r="R889" s="48">
        <f>HEX2DEC(RIGHT(Table132321279[[#This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149</v>
      </c>
      <c r="P890" s="48">
        <f>HEX2DEC(RIGHT(Table132321279[[#This Row],[h1]],8))</f>
        <v>0</v>
      </c>
      <c r="Q890" s="48" t="s">
        <v>149</v>
      </c>
      <c r="R890" s="48">
        <f>HEX2DEC(RIGHT(Table132321279[[#This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149</v>
      </c>
      <c r="P891" s="48">
        <f>HEX2DEC(RIGHT(Table132321279[[#This Row],[h1]],8))</f>
        <v>0</v>
      </c>
      <c r="Q891" s="48" t="s">
        <v>149</v>
      </c>
      <c r="R891" s="48">
        <f>HEX2DEC(RIGHT(Table132321279[[#This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149</v>
      </c>
      <c r="P892" s="48">
        <f>HEX2DEC(RIGHT(Table132321279[[#This Row],[h1]],8))</f>
        <v>0</v>
      </c>
      <c r="Q892" s="48" t="s">
        <v>149</v>
      </c>
      <c r="R892" s="48">
        <f>HEX2DEC(RIGHT(Table132321279[[#This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149</v>
      </c>
      <c r="P893" s="48">
        <f>HEX2DEC(RIGHT(Table132321279[[#This Row],[h1]],8))</f>
        <v>0</v>
      </c>
      <c r="Q893" s="48" t="s">
        <v>149</v>
      </c>
      <c r="R893" s="48">
        <f>HEX2DEC(RIGHT(Table132321279[[#This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149</v>
      </c>
      <c r="P894" s="48">
        <f>HEX2DEC(RIGHT(Table132321279[[#This Row],[h1]],8))</f>
        <v>0</v>
      </c>
      <c r="Q894" s="48" t="s">
        <v>149</v>
      </c>
      <c r="R894" s="48">
        <f>HEX2DEC(RIGHT(Table132321279[[#This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149</v>
      </c>
      <c r="P895" s="48">
        <f>HEX2DEC(RIGHT(Table132321279[[#This Row],[h1]],8))</f>
        <v>0</v>
      </c>
      <c r="Q895" s="48" t="s">
        <v>149</v>
      </c>
      <c r="R895" s="48">
        <f>HEX2DEC(RIGHT(Table132321279[[#This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149</v>
      </c>
      <c r="P896" s="48">
        <f>HEX2DEC(RIGHT(Table132321279[[#This Row],[h1]],8))</f>
        <v>0</v>
      </c>
      <c r="Q896" s="48" t="s">
        <v>149</v>
      </c>
      <c r="R896" s="48">
        <f>HEX2DEC(RIGHT(Table132321279[[#This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149</v>
      </c>
      <c r="P897" s="48">
        <f>HEX2DEC(RIGHT(Table132321279[[#This Row],[h1]],8))</f>
        <v>0</v>
      </c>
      <c r="Q897" s="48" t="s">
        <v>149</v>
      </c>
      <c r="R897" s="48">
        <f>HEX2DEC(RIGHT(Table132321279[[#This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149</v>
      </c>
      <c r="P898" s="48">
        <f>HEX2DEC(RIGHT(Table132321279[[#This Row],[h1]],8))</f>
        <v>0</v>
      </c>
      <c r="Q898" s="48" t="s">
        <v>149</v>
      </c>
      <c r="R898" s="48">
        <f>HEX2DEC(RIGHT(Table132321279[[#This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149</v>
      </c>
      <c r="P899" s="48">
        <f>HEX2DEC(RIGHT(Table132321279[[#This Row],[h1]],8))</f>
        <v>0</v>
      </c>
      <c r="Q899" s="48" t="s">
        <v>149</v>
      </c>
      <c r="R899" s="48">
        <f>HEX2DEC(RIGHT(Table132321279[[#This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149</v>
      </c>
      <c r="P900" s="48">
        <f>HEX2DEC(RIGHT(Table132321279[[#This Row],[h1]],8))</f>
        <v>0</v>
      </c>
      <c r="Q900" s="48" t="s">
        <v>149</v>
      </c>
      <c r="R900" s="48">
        <f>HEX2DEC(RIGHT(Table132321279[[#This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149</v>
      </c>
      <c r="P901" s="48">
        <f>HEX2DEC(RIGHT(Table132321279[[#This Row],[h1]],8))</f>
        <v>0</v>
      </c>
      <c r="Q901" s="48" t="s">
        <v>149</v>
      </c>
      <c r="R901" s="48">
        <f>HEX2DEC(RIGHT(Table132321279[[#This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149</v>
      </c>
      <c r="P902" s="48">
        <f>HEX2DEC(RIGHT(Table132321279[[#This Row],[h1]],8))</f>
        <v>0</v>
      </c>
      <c r="Q902" s="48" t="s">
        <v>149</v>
      </c>
      <c r="R902" s="48">
        <f>HEX2DEC(RIGHT(Table132321279[[#This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149</v>
      </c>
      <c r="P903" s="48">
        <f>HEX2DEC(RIGHT(Table132321279[[#This Row],[h1]],8))</f>
        <v>0</v>
      </c>
      <c r="Q903" s="48" t="s">
        <v>149</v>
      </c>
      <c r="R903" s="48">
        <f>HEX2DEC(RIGHT(Table132321279[[#This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149</v>
      </c>
      <c r="P904" s="48">
        <f>HEX2DEC(RIGHT(Table132321279[[#This Row],[h1]],8))</f>
        <v>0</v>
      </c>
      <c r="Q904" s="48" t="s">
        <v>149</v>
      </c>
      <c r="R904" s="48">
        <f>HEX2DEC(RIGHT(Table132321279[[#This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149</v>
      </c>
      <c r="P905" s="48">
        <f>HEX2DEC(RIGHT(Table132321279[[#This Row],[h1]],8))</f>
        <v>0</v>
      </c>
      <c r="Q905" s="48" t="s">
        <v>149</v>
      </c>
      <c r="R905" s="48">
        <f>HEX2DEC(RIGHT(Table132321279[[#This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149</v>
      </c>
      <c r="P906" s="48">
        <f>HEX2DEC(RIGHT(Table132321279[[#This Row],[h1]],8))</f>
        <v>0</v>
      </c>
      <c r="Q906" s="48" t="s">
        <v>149</v>
      </c>
      <c r="R906" s="48">
        <f>HEX2DEC(RIGHT(Table132321279[[#This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149</v>
      </c>
      <c r="P907" s="48">
        <f>HEX2DEC(RIGHT(Table132321279[[#This Row],[h1]],8))</f>
        <v>0</v>
      </c>
      <c r="Q907" s="48" t="s">
        <v>149</v>
      </c>
      <c r="R907" s="48">
        <f>HEX2DEC(RIGHT(Table132321279[[#This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149</v>
      </c>
      <c r="P908" s="48">
        <f>HEX2DEC(RIGHT(Table132321279[[#This Row],[h1]],8))</f>
        <v>0</v>
      </c>
      <c r="Q908" s="48" t="s">
        <v>149</v>
      </c>
      <c r="R908" s="48">
        <f>HEX2DEC(RIGHT(Table132321279[[#This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149</v>
      </c>
      <c r="P909" s="48">
        <f>HEX2DEC(RIGHT(Table132321279[[#This Row],[h1]],8))</f>
        <v>0</v>
      </c>
      <c r="Q909" s="48" t="s">
        <v>149</v>
      </c>
      <c r="R909" s="48">
        <f>HEX2DEC(RIGHT(Table132321279[[#This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149</v>
      </c>
      <c r="P910" s="48">
        <f>HEX2DEC(RIGHT(Table132321279[[#This Row],[h1]],8))</f>
        <v>0</v>
      </c>
      <c r="Q910" s="48" t="s">
        <v>149</v>
      </c>
      <c r="R910" s="48">
        <f>HEX2DEC(RIGHT(Table132321279[[#This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149</v>
      </c>
      <c r="P911" s="48">
        <f>HEX2DEC(RIGHT(Table132321279[[#This Row],[h1]],8))</f>
        <v>0</v>
      </c>
      <c r="Q911" s="48" t="s">
        <v>149</v>
      </c>
      <c r="R911" s="48">
        <f>HEX2DEC(RIGHT(Table132321279[[#This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149</v>
      </c>
      <c r="P912" s="48">
        <f>HEX2DEC(RIGHT(Table132321279[[#This Row],[h1]],8))</f>
        <v>0</v>
      </c>
      <c r="Q912" s="48" t="s">
        <v>149</v>
      </c>
      <c r="R912" s="48">
        <f>HEX2DEC(RIGHT(Table132321279[[#This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149</v>
      </c>
      <c r="P913" s="48">
        <f>HEX2DEC(RIGHT(Table132321279[[#This Row],[h1]],8))</f>
        <v>0</v>
      </c>
      <c r="Q913" s="48" t="s">
        <v>149</v>
      </c>
      <c r="R913" s="48">
        <f>HEX2DEC(RIGHT(Table132321279[[#This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149</v>
      </c>
      <c r="P914" s="48">
        <f>HEX2DEC(RIGHT(Table132321279[[#This Row],[h1]],8))</f>
        <v>0</v>
      </c>
      <c r="Q914" s="48" t="s">
        <v>149</v>
      </c>
      <c r="R914" s="48">
        <f>HEX2DEC(RIGHT(Table132321279[[#This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149</v>
      </c>
      <c r="P915" s="48">
        <f>HEX2DEC(RIGHT(Table132321279[[#This Row],[h1]],8))</f>
        <v>0</v>
      </c>
      <c r="Q915" s="48" t="s">
        <v>149</v>
      </c>
      <c r="R915" s="48">
        <f>HEX2DEC(RIGHT(Table132321279[[#This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149</v>
      </c>
      <c r="P916" s="48">
        <f>HEX2DEC(RIGHT(Table132321279[[#This Row],[h1]],8))</f>
        <v>0</v>
      </c>
      <c r="Q916" s="48" t="s">
        <v>149</v>
      </c>
      <c r="R916" s="48">
        <f>HEX2DEC(RIGHT(Table132321279[[#This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149</v>
      </c>
      <c r="P917" s="48">
        <f>HEX2DEC(RIGHT(Table132321279[[#This Row],[h1]],8))</f>
        <v>0</v>
      </c>
      <c r="Q917" s="48" t="s">
        <v>149</v>
      </c>
      <c r="R917" s="48">
        <f>HEX2DEC(RIGHT(Table132321279[[#This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149</v>
      </c>
      <c r="P918" s="48">
        <f>HEX2DEC(RIGHT(Table132321279[[#This Row],[h1]],8))</f>
        <v>0</v>
      </c>
      <c r="Q918" s="48" t="s">
        <v>149</v>
      </c>
      <c r="R918" s="48">
        <f>HEX2DEC(RIGHT(Table132321279[[#This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149</v>
      </c>
      <c r="P919" s="48">
        <f>HEX2DEC(RIGHT(Table132321279[[#This Row],[h1]],8))</f>
        <v>0</v>
      </c>
      <c r="Q919" s="48" t="s">
        <v>149</v>
      </c>
      <c r="R919" s="48">
        <f>HEX2DEC(RIGHT(Table132321279[[#This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149</v>
      </c>
      <c r="P920" s="48">
        <f>HEX2DEC(RIGHT(Table132321279[[#This Row],[h1]],8))</f>
        <v>0</v>
      </c>
      <c r="Q920" s="48" t="s">
        <v>149</v>
      </c>
      <c r="R920" s="48">
        <f>HEX2DEC(RIGHT(Table132321279[[#This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149</v>
      </c>
      <c r="P921" s="48">
        <f>HEX2DEC(RIGHT(Table132321279[[#This Row],[h1]],8))</f>
        <v>0</v>
      </c>
      <c r="Q921" s="48" t="s">
        <v>149</v>
      </c>
      <c r="R921" s="48">
        <f>HEX2DEC(RIGHT(Table132321279[[#This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149</v>
      </c>
      <c r="P922" s="48">
        <f>HEX2DEC(RIGHT(Table132321279[[#This Row],[h1]],8))</f>
        <v>0</v>
      </c>
      <c r="Q922" s="48" t="s">
        <v>149</v>
      </c>
      <c r="R922" s="48">
        <f>HEX2DEC(RIGHT(Table132321279[[#This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149</v>
      </c>
      <c r="P923" s="48">
        <f>HEX2DEC(RIGHT(Table132321279[[#This Row],[h1]],8))</f>
        <v>0</v>
      </c>
      <c r="Q923" s="48" t="s">
        <v>149</v>
      </c>
      <c r="R923" s="48">
        <f>HEX2DEC(RIGHT(Table132321279[[#This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149</v>
      </c>
      <c r="P924" s="48">
        <f>HEX2DEC(RIGHT(Table132321279[[#This Row],[h1]],8))</f>
        <v>0</v>
      </c>
      <c r="Q924" s="48" t="s">
        <v>149</v>
      </c>
      <c r="R924" s="48">
        <f>HEX2DEC(RIGHT(Table132321279[[#This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149</v>
      </c>
      <c r="P925" s="48">
        <f>HEX2DEC(RIGHT(Table132321279[[#This Row],[h1]],8))</f>
        <v>0</v>
      </c>
      <c r="Q925" s="48" t="s">
        <v>149</v>
      </c>
      <c r="R925" s="48">
        <f>HEX2DEC(RIGHT(Table132321279[[#This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149</v>
      </c>
      <c r="P926" s="48">
        <f>HEX2DEC(RIGHT(Table132321279[[#This Row],[h1]],8))</f>
        <v>0</v>
      </c>
      <c r="Q926" s="48" t="s">
        <v>149</v>
      </c>
      <c r="R926" s="48">
        <f>HEX2DEC(RIGHT(Table132321279[[#This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149</v>
      </c>
      <c r="P927" s="48">
        <f>HEX2DEC(RIGHT(Table132321279[[#This Row],[h1]],8))</f>
        <v>0</v>
      </c>
      <c r="Q927" s="48" t="s">
        <v>149</v>
      </c>
      <c r="R927" s="48">
        <f>HEX2DEC(RIGHT(Table132321279[[#This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149</v>
      </c>
      <c r="P928" s="48">
        <f>HEX2DEC(RIGHT(Table132321279[[#This Row],[h1]],8))</f>
        <v>0</v>
      </c>
      <c r="Q928" s="48" t="s">
        <v>149</v>
      </c>
      <c r="R928" s="48">
        <f>HEX2DEC(RIGHT(Table132321279[[#This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149</v>
      </c>
      <c r="P929" s="48">
        <f>HEX2DEC(RIGHT(Table132321279[[#This Row],[h1]],8))</f>
        <v>0</v>
      </c>
      <c r="Q929" s="48" t="s">
        <v>149</v>
      </c>
      <c r="R929" s="48">
        <f>HEX2DEC(RIGHT(Table132321279[[#This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149</v>
      </c>
      <c r="P930" s="48">
        <f>HEX2DEC(RIGHT(Table132321279[[#This Row],[h1]],8))</f>
        <v>0</v>
      </c>
      <c r="Q930" s="48" t="s">
        <v>149</v>
      </c>
      <c r="R930" s="48">
        <f>HEX2DEC(RIGHT(Table132321279[[#This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149</v>
      </c>
      <c r="P931" s="48">
        <f>HEX2DEC(RIGHT(Table132321279[[#This Row],[h1]],8))</f>
        <v>0</v>
      </c>
      <c r="Q931" s="48" t="s">
        <v>149</v>
      </c>
      <c r="R931" s="48">
        <f>HEX2DEC(RIGHT(Table132321279[[#This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149</v>
      </c>
      <c r="P932" s="48">
        <f>HEX2DEC(RIGHT(Table132321279[[#This Row],[h1]],8))</f>
        <v>0</v>
      </c>
      <c r="Q932" s="48" t="s">
        <v>149</v>
      </c>
      <c r="R932" s="48">
        <f>HEX2DEC(RIGHT(Table132321279[[#This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149</v>
      </c>
      <c r="P933" s="48">
        <f>HEX2DEC(RIGHT(Table132321279[[#This Row],[h1]],8))</f>
        <v>0</v>
      </c>
      <c r="Q933" s="48" t="s">
        <v>149</v>
      </c>
      <c r="R933" s="48">
        <f>HEX2DEC(RIGHT(Table132321279[[#This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149</v>
      </c>
      <c r="P934" s="48">
        <f>HEX2DEC(RIGHT(Table132321279[[#This Row],[h1]],8))</f>
        <v>0</v>
      </c>
      <c r="Q934" s="48" t="s">
        <v>149</v>
      </c>
      <c r="R934" s="48">
        <f>HEX2DEC(RIGHT(Table132321279[[#This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149</v>
      </c>
      <c r="P935" s="48">
        <f>HEX2DEC(RIGHT(Table132321279[[#This Row],[h1]],8))</f>
        <v>0</v>
      </c>
      <c r="Q935" s="48" t="s">
        <v>149</v>
      </c>
      <c r="R935" s="48">
        <f>HEX2DEC(RIGHT(Table132321279[[#This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149</v>
      </c>
      <c r="P936" s="48">
        <f>HEX2DEC(RIGHT(Table132321279[[#This Row],[h1]],8))</f>
        <v>0</v>
      </c>
      <c r="Q936" s="48" t="s">
        <v>149</v>
      </c>
      <c r="R936" s="48">
        <f>HEX2DEC(RIGHT(Table132321279[[#This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149</v>
      </c>
      <c r="P937" s="48">
        <f>HEX2DEC(RIGHT(Table132321279[[#This Row],[h1]],8))</f>
        <v>0</v>
      </c>
      <c r="Q937" s="48" t="s">
        <v>149</v>
      </c>
      <c r="R937" s="48">
        <f>HEX2DEC(RIGHT(Table132321279[[#This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149</v>
      </c>
      <c r="P938" s="48">
        <f>HEX2DEC(RIGHT(Table132321279[[#This Row],[h1]],8))</f>
        <v>0</v>
      </c>
      <c r="Q938" s="48" t="s">
        <v>149</v>
      </c>
      <c r="R938" s="48">
        <f>HEX2DEC(RIGHT(Table132321279[[#This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149</v>
      </c>
      <c r="P939" s="48">
        <f>HEX2DEC(RIGHT(Table132321279[[#This Row],[h1]],8))</f>
        <v>0</v>
      </c>
      <c r="Q939" s="48" t="s">
        <v>149</v>
      </c>
      <c r="R939" s="48">
        <f>HEX2DEC(RIGHT(Table132321279[[#This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149</v>
      </c>
      <c r="P940" s="48">
        <f>HEX2DEC(RIGHT(Table132321279[[#This Row],[h1]],8))</f>
        <v>0</v>
      </c>
      <c r="Q940" s="48" t="s">
        <v>149</v>
      </c>
      <c r="R940" s="48">
        <f>HEX2DEC(RIGHT(Table132321279[[#This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149</v>
      </c>
      <c r="P941" s="48">
        <f>HEX2DEC(RIGHT(Table132321279[[#This Row],[h1]],8))</f>
        <v>0</v>
      </c>
      <c r="Q941" s="48" t="s">
        <v>149</v>
      </c>
      <c r="R941" s="48">
        <f>HEX2DEC(RIGHT(Table132321279[[#This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149</v>
      </c>
      <c r="P942" s="48">
        <f>HEX2DEC(RIGHT(Table132321279[[#This Row],[h1]],8))</f>
        <v>0</v>
      </c>
      <c r="Q942" s="48" t="s">
        <v>149</v>
      </c>
      <c r="R942" s="48">
        <f>HEX2DEC(RIGHT(Table132321279[[#This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149</v>
      </c>
      <c r="P943" s="48">
        <f>HEX2DEC(RIGHT(Table132321279[[#This Row],[h1]],8))</f>
        <v>0</v>
      </c>
      <c r="Q943" s="48" t="s">
        <v>149</v>
      </c>
      <c r="R943" s="48">
        <f>HEX2DEC(RIGHT(Table132321279[[#This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149</v>
      </c>
      <c r="P944" s="48">
        <f>HEX2DEC(RIGHT(Table132321279[[#This Row],[h1]],8))</f>
        <v>0</v>
      </c>
      <c r="Q944" s="48" t="s">
        <v>149</v>
      </c>
      <c r="R944" s="48">
        <f>HEX2DEC(RIGHT(Table132321279[[#This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149</v>
      </c>
      <c r="P945" s="48">
        <f>HEX2DEC(RIGHT(Table132321279[[#This Row],[h1]],8))</f>
        <v>0</v>
      </c>
      <c r="Q945" s="48" t="s">
        <v>149</v>
      </c>
      <c r="R945" s="48">
        <f>HEX2DEC(RIGHT(Table132321279[[#This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149</v>
      </c>
      <c r="P946" s="48">
        <f>HEX2DEC(RIGHT(Table132321279[[#This Row],[h1]],8))</f>
        <v>0</v>
      </c>
      <c r="Q946" s="48" t="s">
        <v>149</v>
      </c>
      <c r="R946" s="48">
        <f>HEX2DEC(RIGHT(Table132321279[[#This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149</v>
      </c>
      <c r="P947" s="48">
        <f>HEX2DEC(RIGHT(Table132321279[[#This Row],[h1]],8))</f>
        <v>0</v>
      </c>
      <c r="Q947" s="48" t="s">
        <v>149</v>
      </c>
      <c r="R947" s="48">
        <f>HEX2DEC(RIGHT(Table132321279[[#This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149</v>
      </c>
      <c r="P948" s="48">
        <f>HEX2DEC(RIGHT(Table132321279[[#This Row],[h1]],8))</f>
        <v>0</v>
      </c>
      <c r="Q948" s="48" t="s">
        <v>149</v>
      </c>
      <c r="R948" s="48">
        <f>HEX2DEC(RIGHT(Table132321279[[#This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149</v>
      </c>
      <c r="P949" s="48">
        <f>HEX2DEC(RIGHT(Table132321279[[#This Row],[h1]],8))</f>
        <v>0</v>
      </c>
      <c r="Q949" s="48" t="s">
        <v>149</v>
      </c>
      <c r="R949" s="48">
        <f>HEX2DEC(RIGHT(Table132321279[[#This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149</v>
      </c>
      <c r="P950" s="48">
        <f>HEX2DEC(RIGHT(Table132321279[[#This Row],[h1]],8))</f>
        <v>0</v>
      </c>
      <c r="Q950" s="48" t="s">
        <v>149</v>
      </c>
      <c r="R950" s="48">
        <f>HEX2DEC(RIGHT(Table132321279[[#This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149</v>
      </c>
      <c r="P951" s="48">
        <f>HEX2DEC(RIGHT(Table132321279[[#This Row],[h1]],8))</f>
        <v>0</v>
      </c>
      <c r="Q951" s="48" t="s">
        <v>149</v>
      </c>
      <c r="R951" s="48">
        <f>HEX2DEC(RIGHT(Table132321279[[#This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149</v>
      </c>
      <c r="P952" s="48">
        <f>HEX2DEC(RIGHT(Table132321279[[#This Row],[h1]],8))</f>
        <v>0</v>
      </c>
      <c r="Q952" s="48" t="s">
        <v>149</v>
      </c>
      <c r="R952" s="48">
        <f>HEX2DEC(RIGHT(Table132321279[[#This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149</v>
      </c>
      <c r="P953" s="48">
        <f>HEX2DEC(RIGHT(Table132321279[[#This Row],[h1]],8))</f>
        <v>0</v>
      </c>
      <c r="Q953" s="48" t="s">
        <v>149</v>
      </c>
      <c r="R953" s="48">
        <f>HEX2DEC(RIGHT(Table132321279[[#This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149</v>
      </c>
      <c r="P954" s="48">
        <f>HEX2DEC(RIGHT(Table132321279[[#This Row],[h1]],8))</f>
        <v>0</v>
      </c>
      <c r="Q954" s="48" t="s">
        <v>149</v>
      </c>
      <c r="R954" s="48">
        <f>HEX2DEC(RIGHT(Table132321279[[#This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149</v>
      </c>
      <c r="P955" s="48">
        <f>HEX2DEC(RIGHT(Table132321279[[#This Row],[h1]],8))</f>
        <v>0</v>
      </c>
      <c r="Q955" s="48" t="s">
        <v>149</v>
      </c>
      <c r="R955" s="48">
        <f>HEX2DEC(RIGHT(Table132321279[[#This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149</v>
      </c>
      <c r="P956" s="48">
        <f>HEX2DEC(RIGHT(Table132321279[[#This Row],[h1]],8))</f>
        <v>0</v>
      </c>
      <c r="Q956" s="48" t="s">
        <v>149</v>
      </c>
      <c r="R956" s="48">
        <f>HEX2DEC(RIGHT(Table132321279[[#This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149</v>
      </c>
      <c r="P957" s="48">
        <f>HEX2DEC(RIGHT(Table132321279[[#This Row],[h1]],8))</f>
        <v>0</v>
      </c>
      <c r="Q957" s="48" t="s">
        <v>149</v>
      </c>
      <c r="R957" s="48">
        <f>HEX2DEC(RIGHT(Table132321279[[#This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149</v>
      </c>
      <c r="P958" s="48">
        <f>HEX2DEC(RIGHT(Table132321279[[#This Row],[h1]],8))</f>
        <v>0</v>
      </c>
      <c r="Q958" s="48" t="s">
        <v>149</v>
      </c>
      <c r="R958" s="48">
        <f>HEX2DEC(RIGHT(Table132321279[[#This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149</v>
      </c>
      <c r="P959" s="48">
        <f>HEX2DEC(RIGHT(Table132321279[[#This Row],[h1]],8))</f>
        <v>0</v>
      </c>
      <c r="Q959" s="48" t="s">
        <v>149</v>
      </c>
      <c r="R959" s="48">
        <f>HEX2DEC(RIGHT(Table132321279[[#This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149</v>
      </c>
      <c r="P960" s="48">
        <f>HEX2DEC(RIGHT(Table132321279[[#This Row],[h1]],8))</f>
        <v>0</v>
      </c>
      <c r="Q960" s="48" t="s">
        <v>149</v>
      </c>
      <c r="R960" s="48">
        <f>HEX2DEC(RIGHT(Table132321279[[#This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149</v>
      </c>
      <c r="P961" s="48">
        <f>HEX2DEC(RIGHT(Table132321279[[#This Row],[h1]],8))</f>
        <v>0</v>
      </c>
      <c r="Q961" s="48" t="s">
        <v>149</v>
      </c>
      <c r="R961" s="48">
        <f>HEX2DEC(RIGHT(Table132321279[[#This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149</v>
      </c>
      <c r="P962" s="48">
        <f>HEX2DEC(RIGHT(Table132321279[[#This Row],[h1]],8))</f>
        <v>0</v>
      </c>
      <c r="Q962" s="48" t="s">
        <v>149</v>
      </c>
      <c r="R962" s="48">
        <f>HEX2DEC(RIGHT(Table132321279[[#This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149</v>
      </c>
      <c r="P963" s="48">
        <f>HEX2DEC(RIGHT(Table132321279[[#This Row],[h1]],8))</f>
        <v>0</v>
      </c>
      <c r="Q963" s="48" t="s">
        <v>149</v>
      </c>
      <c r="R963" s="48">
        <f>HEX2DEC(RIGHT(Table132321279[[#This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149</v>
      </c>
      <c r="P964" s="48">
        <f>HEX2DEC(RIGHT(Table132321279[[#This Row],[h1]],8))</f>
        <v>0</v>
      </c>
      <c r="Q964" s="48" t="s">
        <v>149</v>
      </c>
      <c r="R964" s="48">
        <f>HEX2DEC(RIGHT(Table132321279[[#This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149</v>
      </c>
      <c r="P965" s="48">
        <f>HEX2DEC(RIGHT(Table132321279[[#This Row],[h1]],8))</f>
        <v>0</v>
      </c>
      <c r="Q965" s="48" t="s">
        <v>149</v>
      </c>
      <c r="R965" s="48">
        <f>HEX2DEC(RIGHT(Table132321279[[#This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149</v>
      </c>
      <c r="P966" s="48">
        <f>HEX2DEC(RIGHT(Table132321279[[#This Row],[h1]],8))</f>
        <v>0</v>
      </c>
      <c r="Q966" s="48" t="s">
        <v>149</v>
      </c>
      <c r="R966" s="48">
        <f>HEX2DEC(RIGHT(Table132321279[[#This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149</v>
      </c>
      <c r="P967" s="48">
        <f>HEX2DEC(RIGHT(Table132321279[[#This Row],[h1]],8))</f>
        <v>0</v>
      </c>
      <c r="Q967" s="48" t="s">
        <v>149</v>
      </c>
      <c r="R967" s="48">
        <f>HEX2DEC(RIGHT(Table132321279[[#This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149</v>
      </c>
      <c r="P968" s="48">
        <f>HEX2DEC(RIGHT(Table132321279[[#This Row],[h1]],8))</f>
        <v>0</v>
      </c>
      <c r="Q968" s="48" t="s">
        <v>149</v>
      </c>
      <c r="R968" s="48">
        <f>HEX2DEC(RIGHT(Table132321279[[#This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149</v>
      </c>
      <c r="P969" s="48">
        <f>HEX2DEC(RIGHT(Table132321279[[#This Row],[h1]],8))</f>
        <v>0</v>
      </c>
      <c r="Q969" s="48" t="s">
        <v>149</v>
      </c>
      <c r="R969" s="48">
        <f>HEX2DEC(RIGHT(Table132321279[[#This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149</v>
      </c>
      <c r="P970" s="48">
        <f>HEX2DEC(RIGHT(Table132321279[[#This Row],[h1]],8))</f>
        <v>0</v>
      </c>
      <c r="Q970" s="48" t="s">
        <v>149</v>
      </c>
      <c r="R970" s="48">
        <f>HEX2DEC(RIGHT(Table132321279[[#This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149</v>
      </c>
      <c r="P971" s="48">
        <f>HEX2DEC(RIGHT(Table132321279[[#This Row],[h1]],8))</f>
        <v>0</v>
      </c>
      <c r="Q971" s="48" t="s">
        <v>149</v>
      </c>
      <c r="R971" s="48">
        <f>HEX2DEC(RIGHT(Table132321279[[#This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149</v>
      </c>
      <c r="P972" s="48">
        <f>HEX2DEC(RIGHT(Table132321279[[#This Row],[h1]],8))</f>
        <v>0</v>
      </c>
      <c r="Q972" s="48" t="s">
        <v>149</v>
      </c>
      <c r="R972" s="48">
        <f>HEX2DEC(RIGHT(Table132321279[[#This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149</v>
      </c>
      <c r="P973" s="48">
        <f>HEX2DEC(RIGHT(Table132321279[[#This Row],[h1]],8))</f>
        <v>0</v>
      </c>
      <c r="Q973" s="48" t="s">
        <v>149</v>
      </c>
      <c r="R973" s="48">
        <f>HEX2DEC(RIGHT(Table132321279[[#This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149</v>
      </c>
      <c r="P974" s="48">
        <f>HEX2DEC(RIGHT(Table132321279[[#This Row],[h1]],8))</f>
        <v>0</v>
      </c>
      <c r="Q974" s="48" t="s">
        <v>149</v>
      </c>
      <c r="R974" s="48">
        <f>HEX2DEC(RIGHT(Table132321279[[#This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149</v>
      </c>
      <c r="P975" s="48">
        <f>HEX2DEC(RIGHT(Table132321279[[#This Row],[h1]],8))</f>
        <v>0</v>
      </c>
      <c r="Q975" s="48" t="s">
        <v>149</v>
      </c>
      <c r="R975" s="48">
        <f>HEX2DEC(RIGHT(Table132321279[[#This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149</v>
      </c>
      <c r="P976" s="48">
        <f>HEX2DEC(RIGHT(Table132321279[[#This Row],[h1]],8))</f>
        <v>0</v>
      </c>
      <c r="Q976" s="48" t="s">
        <v>149</v>
      </c>
      <c r="R976" s="48">
        <f>HEX2DEC(RIGHT(Table132321279[[#This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149</v>
      </c>
      <c r="P977" s="48">
        <f>HEX2DEC(RIGHT(Table132321279[[#This Row],[h1]],8))</f>
        <v>0</v>
      </c>
      <c r="Q977" s="48" t="s">
        <v>149</v>
      </c>
      <c r="R977" s="48">
        <f>HEX2DEC(RIGHT(Table132321279[[#This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149</v>
      </c>
      <c r="P978" s="48">
        <f>HEX2DEC(RIGHT(Table132321279[[#This Row],[h1]],8))</f>
        <v>0</v>
      </c>
      <c r="Q978" s="48" t="s">
        <v>149</v>
      </c>
      <c r="R978" s="48">
        <f>HEX2DEC(RIGHT(Table132321279[[#This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149</v>
      </c>
      <c r="P979" s="48">
        <f>HEX2DEC(RIGHT(Table132321279[[#This Row],[h1]],8))</f>
        <v>0</v>
      </c>
      <c r="Q979" s="48" t="s">
        <v>149</v>
      </c>
      <c r="R979" s="48">
        <f>HEX2DEC(RIGHT(Table132321279[[#This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149</v>
      </c>
      <c r="P980" s="48">
        <f>HEX2DEC(RIGHT(Table132321279[[#This Row],[h1]],8))</f>
        <v>0</v>
      </c>
      <c r="Q980" s="48" t="s">
        <v>149</v>
      </c>
      <c r="R980" s="48">
        <f>HEX2DEC(RIGHT(Table132321279[[#This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149</v>
      </c>
      <c r="P981" s="48">
        <f>HEX2DEC(RIGHT(Table132321279[[#This Row],[h1]],8))</f>
        <v>0</v>
      </c>
      <c r="Q981" s="48" t="s">
        <v>149</v>
      </c>
      <c r="R981" s="48">
        <f>HEX2DEC(RIGHT(Table132321279[[#This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149</v>
      </c>
      <c r="P982" s="48">
        <f>HEX2DEC(RIGHT(Table132321279[[#This Row],[h1]],8))</f>
        <v>0</v>
      </c>
      <c r="Q982" s="48" t="s">
        <v>149</v>
      </c>
      <c r="R982" s="48">
        <f>HEX2DEC(RIGHT(Table132321279[[#This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149</v>
      </c>
      <c r="P983" s="48">
        <f>HEX2DEC(RIGHT(Table132321279[[#This Row],[h1]],8))</f>
        <v>0</v>
      </c>
      <c r="Q983" s="48" t="s">
        <v>149</v>
      </c>
      <c r="R983" s="48">
        <f>HEX2DEC(RIGHT(Table132321279[[#This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149</v>
      </c>
      <c r="P984" s="48">
        <f>HEX2DEC(RIGHT(Table132321279[[#This Row],[h1]],8))</f>
        <v>0</v>
      </c>
      <c r="Q984" s="48" t="s">
        <v>149</v>
      </c>
      <c r="R984" s="48">
        <f>HEX2DEC(RIGHT(Table132321279[[#This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149</v>
      </c>
      <c r="P985" s="48">
        <f>HEX2DEC(RIGHT(Table132321279[[#This Row],[h1]],8))</f>
        <v>0</v>
      </c>
      <c r="Q985" s="48" t="s">
        <v>149</v>
      </c>
      <c r="R985" s="48">
        <f>HEX2DEC(RIGHT(Table132321279[[#This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149</v>
      </c>
      <c r="P986" s="48">
        <f>HEX2DEC(RIGHT(Table132321279[[#This Row],[h1]],8))</f>
        <v>0</v>
      </c>
      <c r="Q986" s="48" t="s">
        <v>149</v>
      </c>
      <c r="R986" s="48">
        <f>HEX2DEC(RIGHT(Table132321279[[#This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149</v>
      </c>
      <c r="P987" s="48">
        <f>HEX2DEC(RIGHT(Table132321279[[#This Row],[h1]],8))</f>
        <v>0</v>
      </c>
      <c r="Q987" s="48" t="s">
        <v>149</v>
      </c>
      <c r="R987" s="48">
        <f>HEX2DEC(RIGHT(Table132321279[[#This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149</v>
      </c>
      <c r="P988" s="48">
        <f>HEX2DEC(RIGHT(Table132321279[[#This Row],[h1]],8))</f>
        <v>0</v>
      </c>
      <c r="Q988" s="48" t="s">
        <v>149</v>
      </c>
      <c r="R988" s="48">
        <f>HEX2DEC(RIGHT(Table132321279[[#This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149</v>
      </c>
      <c r="P989" s="48">
        <f>HEX2DEC(RIGHT(Table132321279[[#This Row],[h1]],8))</f>
        <v>0</v>
      </c>
      <c r="Q989" s="48" t="s">
        <v>149</v>
      </c>
      <c r="R989" s="48">
        <f>HEX2DEC(RIGHT(Table132321279[[#This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149</v>
      </c>
      <c r="P990" s="48">
        <f>HEX2DEC(RIGHT(Table132321279[[#This Row],[h1]],8))</f>
        <v>0</v>
      </c>
      <c r="Q990" s="48" t="s">
        <v>149</v>
      </c>
      <c r="R990" s="48">
        <f>HEX2DEC(RIGHT(Table132321279[[#This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149</v>
      </c>
      <c r="P991" s="48">
        <f>HEX2DEC(RIGHT(Table132321279[[#This Row],[h1]],8))</f>
        <v>0</v>
      </c>
      <c r="Q991" s="48" t="s">
        <v>149</v>
      </c>
      <c r="R991" s="48">
        <f>HEX2DEC(RIGHT(Table132321279[[#This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149</v>
      </c>
      <c r="P992" s="48">
        <f>HEX2DEC(RIGHT(Table132321279[[#This Row],[h1]],8))</f>
        <v>0</v>
      </c>
      <c r="Q992" s="48" t="s">
        <v>149</v>
      </c>
      <c r="R992" s="48">
        <f>HEX2DEC(RIGHT(Table132321279[[#This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149</v>
      </c>
      <c r="P993" s="48">
        <f>HEX2DEC(RIGHT(Table132321279[[#This Row],[h1]],8))</f>
        <v>0</v>
      </c>
      <c r="Q993" s="48" t="s">
        <v>149</v>
      </c>
      <c r="R993" s="48">
        <f>HEX2DEC(RIGHT(Table132321279[[#This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149</v>
      </c>
      <c r="P994" s="48">
        <f>HEX2DEC(RIGHT(Table132321279[[#This Row],[h1]],8))</f>
        <v>0</v>
      </c>
      <c r="Q994" s="48" t="s">
        <v>149</v>
      </c>
      <c r="R994" s="48">
        <f>HEX2DEC(RIGHT(Table132321279[[#This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149</v>
      </c>
      <c r="P995" s="48">
        <f>HEX2DEC(RIGHT(Table132321279[[#This Row],[h1]],8))</f>
        <v>0</v>
      </c>
      <c r="Q995" s="48" t="s">
        <v>149</v>
      </c>
      <c r="R995" s="48">
        <f>HEX2DEC(RIGHT(Table132321279[[#This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149</v>
      </c>
      <c r="P996" s="48">
        <f>HEX2DEC(RIGHT(Table132321279[[#This Row],[h1]],8))</f>
        <v>0</v>
      </c>
      <c r="Q996" s="48" t="s">
        <v>149</v>
      </c>
      <c r="R996" s="48">
        <f>HEX2DEC(RIGHT(Table132321279[[#This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149</v>
      </c>
      <c r="P997" s="48">
        <f>HEX2DEC(RIGHT(Table132321279[[#This Row],[h1]],8))</f>
        <v>0</v>
      </c>
      <c r="Q997" s="48" t="s">
        <v>149</v>
      </c>
      <c r="R997" s="48">
        <f>HEX2DEC(RIGHT(Table132321279[[#This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149</v>
      </c>
      <c r="P998" s="48">
        <f>HEX2DEC(RIGHT(Table132321279[[#This Row],[h1]],8))</f>
        <v>0</v>
      </c>
      <c r="Q998" s="48" t="s">
        <v>149</v>
      </c>
      <c r="R998" s="48">
        <f>HEX2DEC(RIGHT(Table132321279[[#This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149</v>
      </c>
      <c r="P999" s="48">
        <f>HEX2DEC(RIGHT(Table132321279[[#This Row],[h1]],8))</f>
        <v>0</v>
      </c>
      <c r="Q999" s="48" t="s">
        <v>149</v>
      </c>
      <c r="R999" s="48">
        <f>HEX2DEC(RIGHT(Table132321279[[#This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149</v>
      </c>
      <c r="P1000" s="48">
        <f>HEX2DEC(RIGHT(Table132321279[[#This Row],[h1]],8))</f>
        <v>0</v>
      </c>
      <c r="Q1000" s="48" t="s">
        <v>149</v>
      </c>
      <c r="R1000" s="48">
        <f>HEX2DEC(RIGHT(Table132321279[[#This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149</v>
      </c>
      <c r="P1001" s="48">
        <f>HEX2DEC(RIGHT(Table132321279[[#This Row],[h1]],8))</f>
        <v>0</v>
      </c>
      <c r="Q1001" s="48" t="s">
        <v>149</v>
      </c>
      <c r="R1001" s="48">
        <f>HEX2DEC(RIGHT(Table132321279[[#This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149</v>
      </c>
      <c r="P1002" s="48">
        <f>HEX2DEC(RIGHT(Table132321279[[#This Row],[h1]],8))</f>
        <v>0</v>
      </c>
      <c r="Q1002" s="48" t="s">
        <v>149</v>
      </c>
      <c r="R1002" s="48">
        <f>HEX2DEC(RIGHT(Table132321279[[#This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149</v>
      </c>
      <c r="P1003" s="48">
        <f>HEX2DEC(RIGHT(Table132321279[[#This Row],[h1]],8))</f>
        <v>0</v>
      </c>
      <c r="Q1003" s="48" t="s">
        <v>149</v>
      </c>
      <c r="R1003" s="48">
        <f>HEX2DEC(RIGHT(Table132321279[[#This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149</v>
      </c>
      <c r="P1004" s="48">
        <f>HEX2DEC(RIGHT(Table132321279[[#This Row],[h1]],8))</f>
        <v>0</v>
      </c>
      <c r="Q1004" s="48" t="s">
        <v>149</v>
      </c>
      <c r="R1004" s="48">
        <f>HEX2DEC(RIGHT(Table132321279[[#This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149</v>
      </c>
      <c r="P1005" s="48">
        <f>HEX2DEC(RIGHT(Table132321279[[#This Row],[h1]],8))</f>
        <v>0</v>
      </c>
      <c r="Q1005" s="48" t="s">
        <v>149</v>
      </c>
      <c r="R1005" s="48">
        <f>HEX2DEC(RIGHT(Table132321279[[#This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149</v>
      </c>
      <c r="P1006" s="48">
        <f>HEX2DEC(RIGHT(Table132321279[[#This Row],[h1]],8))</f>
        <v>0</v>
      </c>
      <c r="Q1006" s="48" t="s">
        <v>149</v>
      </c>
      <c r="R1006" s="48">
        <f>HEX2DEC(RIGHT(Table132321279[[#This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149</v>
      </c>
      <c r="P1007" s="48">
        <f>HEX2DEC(RIGHT(Table132321279[[#This Row],[h1]],8))</f>
        <v>0</v>
      </c>
      <c r="Q1007" s="48" t="s">
        <v>149</v>
      </c>
      <c r="R1007" s="48">
        <f>HEX2DEC(RIGHT(Table132321279[[#This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149</v>
      </c>
      <c r="P1008" s="48">
        <f>HEX2DEC(RIGHT(Table132321279[[#This Row],[h1]],8))</f>
        <v>0</v>
      </c>
      <c r="Q1008" s="48" t="s">
        <v>149</v>
      </c>
      <c r="R1008" s="48">
        <f>HEX2DEC(RIGHT(Table132321279[[#This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149</v>
      </c>
      <c r="P1009" s="48">
        <f>HEX2DEC(RIGHT(Table132321279[[#This Row],[h1]],8))</f>
        <v>0</v>
      </c>
      <c r="Q1009" s="48" t="s">
        <v>149</v>
      </c>
      <c r="R1009" s="48">
        <f>HEX2DEC(RIGHT(Table132321279[[#This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149</v>
      </c>
      <c r="P1010" s="48">
        <f>HEX2DEC(RIGHT(Table132321279[[#This Row],[h1]],8))</f>
        <v>0</v>
      </c>
      <c r="Q1010" s="48" t="s">
        <v>149</v>
      </c>
      <c r="R1010" s="48">
        <f>HEX2DEC(RIGHT(Table132321279[[#This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149</v>
      </c>
      <c r="P1011" s="48">
        <f>HEX2DEC(RIGHT(Table132321279[[#This Row],[h1]],8))</f>
        <v>0</v>
      </c>
      <c r="Q1011" s="48" t="s">
        <v>149</v>
      </c>
      <c r="R1011" s="48">
        <f>HEX2DEC(RIGHT(Table132321279[[#This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149</v>
      </c>
      <c r="P1012" s="48">
        <f>HEX2DEC(RIGHT(Table132321279[[#This Row],[h1]],8))</f>
        <v>0</v>
      </c>
      <c r="Q1012" s="48" t="s">
        <v>149</v>
      </c>
      <c r="R1012" s="48">
        <f>HEX2DEC(RIGHT(Table132321279[[#This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149</v>
      </c>
      <c r="P1013" s="48">
        <f>HEX2DEC(RIGHT(Table132321279[[#This Row],[h1]],8))</f>
        <v>0</v>
      </c>
      <c r="Q1013" s="48" t="s">
        <v>149</v>
      </c>
      <c r="R1013" s="48">
        <f>HEX2DEC(RIGHT(Table132321279[[#This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149</v>
      </c>
      <c r="P1014" s="48">
        <f>HEX2DEC(RIGHT(Table132321279[[#This Row],[h1]],8))</f>
        <v>0</v>
      </c>
      <c r="Q1014" s="48" t="s">
        <v>149</v>
      </c>
      <c r="R1014" s="48">
        <f>HEX2DEC(RIGHT(Table132321279[[#This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149</v>
      </c>
      <c r="P1015" s="48">
        <f>HEX2DEC(RIGHT(Table132321279[[#This Row],[h1]],8))</f>
        <v>0</v>
      </c>
      <c r="Q1015" s="48" t="s">
        <v>149</v>
      </c>
      <c r="R1015" s="48">
        <f>HEX2DEC(RIGHT(Table132321279[[#This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149</v>
      </c>
      <c r="P1016" s="48">
        <f>HEX2DEC(RIGHT(Table132321279[[#This Row],[h1]],8))</f>
        <v>0</v>
      </c>
      <c r="Q1016" s="48" t="s">
        <v>149</v>
      </c>
      <c r="R1016" s="48">
        <f>HEX2DEC(RIGHT(Table132321279[[#This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149</v>
      </c>
      <c r="P1017" s="48">
        <f>HEX2DEC(RIGHT(Table132321279[[#This Row],[h1]],8))</f>
        <v>0</v>
      </c>
      <c r="Q1017" s="48" t="s">
        <v>149</v>
      </c>
      <c r="R1017" s="48">
        <f>HEX2DEC(RIGHT(Table132321279[[#This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149</v>
      </c>
      <c r="P1018" s="48">
        <f>HEX2DEC(RIGHT(Table132321279[[#This Row],[h1]],8))</f>
        <v>0</v>
      </c>
      <c r="Q1018" s="48" t="s">
        <v>149</v>
      </c>
      <c r="R1018" s="48">
        <f>HEX2DEC(RIGHT(Table132321279[[#This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149</v>
      </c>
      <c r="P1019" s="48">
        <f>HEX2DEC(RIGHT(Table132321279[[#This Row],[h1]],8))</f>
        <v>0</v>
      </c>
      <c r="Q1019" s="48" t="s">
        <v>149</v>
      </c>
      <c r="R1019" s="48">
        <f>HEX2DEC(RIGHT(Table132321279[[#This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149</v>
      </c>
      <c r="P1020" s="48">
        <f>HEX2DEC(RIGHT(Table132321279[[#This Row],[h1]],8))</f>
        <v>0</v>
      </c>
      <c r="Q1020" s="48" t="s">
        <v>149</v>
      </c>
      <c r="R1020" s="48">
        <f>HEX2DEC(RIGHT(Table132321279[[#This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149</v>
      </c>
      <c r="P1021" s="48">
        <f>HEX2DEC(RIGHT(Table132321279[[#This Row],[h1]],8))</f>
        <v>0</v>
      </c>
      <c r="Q1021" s="48" t="s">
        <v>149</v>
      </c>
      <c r="R1021" s="48">
        <f>HEX2DEC(RIGHT(Table132321279[[#This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149</v>
      </c>
      <c r="P1022" s="48">
        <f>HEX2DEC(RIGHT(Table132321279[[#This Row],[h1]],8))</f>
        <v>0</v>
      </c>
      <c r="Q1022" s="48" t="s">
        <v>149</v>
      </c>
      <c r="R1022" s="48">
        <f>HEX2DEC(RIGHT(Table132321279[[#This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149</v>
      </c>
      <c r="P1023" s="48">
        <f>HEX2DEC(RIGHT(Table132321279[[#This Row],[h1]],8))</f>
        <v>0</v>
      </c>
      <c r="Q1023" s="48" t="s">
        <v>149</v>
      </c>
      <c r="R1023" s="48">
        <f>HEX2DEC(RIGHT(Table132321279[[#This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149</v>
      </c>
      <c r="P1024" s="48">
        <f>HEX2DEC(RIGHT(Table132321279[[#This Row],[h1]],8))</f>
        <v>0</v>
      </c>
      <c r="Q1024" s="48" t="s">
        <v>149</v>
      </c>
      <c r="R1024" s="48">
        <f>HEX2DEC(RIGHT(Table132321279[[#This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149</v>
      </c>
      <c r="P1025" s="48">
        <f>HEX2DEC(RIGHT(Table132321279[[#This Row],[h1]],8))</f>
        <v>0</v>
      </c>
      <c r="Q1025" s="48" t="s">
        <v>149</v>
      </c>
      <c r="R1025" s="48">
        <f>HEX2DEC(RIGHT(Table132321279[[#This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149</v>
      </c>
      <c r="P1026" s="48">
        <f>HEX2DEC(RIGHT(Table132321279[[#This Row],[h1]],8))</f>
        <v>0</v>
      </c>
      <c r="Q1026" s="48" t="s">
        <v>149</v>
      </c>
      <c r="R1026" s="48">
        <f>HEX2DEC(RIGHT(Table132321279[[#This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149</v>
      </c>
      <c r="P1027" s="48">
        <f>HEX2DEC(RIGHT(Table132321279[[#This Row],[h1]],8))</f>
        <v>0</v>
      </c>
      <c r="Q1027" s="48" t="s">
        <v>149</v>
      </c>
      <c r="R1027" s="48">
        <f>HEX2DEC(RIGHT(Table132321279[[#This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149</v>
      </c>
      <c r="P1028" s="48">
        <f>HEX2DEC(RIGHT(Table132321279[[#This Row],[h1]],8))</f>
        <v>0</v>
      </c>
      <c r="Q1028" s="48" t="s">
        <v>149</v>
      </c>
      <c r="R1028" s="48">
        <f>HEX2DEC(RIGHT(Table132321279[[#This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149</v>
      </c>
      <c r="P1029" s="48">
        <f>HEX2DEC(RIGHT(Table132321279[[#This Row],[h1]],8))</f>
        <v>0</v>
      </c>
      <c r="Q1029" s="48" t="s">
        <v>149</v>
      </c>
      <c r="R1029" s="48">
        <f>HEX2DEC(RIGHT(Table132321279[[#This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149</v>
      </c>
      <c r="P1030" s="48">
        <f>HEX2DEC(RIGHT(Table132321279[[#This Row],[h1]],8))</f>
        <v>0</v>
      </c>
      <c r="Q1030" s="48" t="s">
        <v>149</v>
      </c>
      <c r="R1030" s="48">
        <f>HEX2DEC(RIGHT(Table132321279[[#This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149</v>
      </c>
      <c r="P1031" s="48">
        <f>HEX2DEC(RIGHT(Table132321279[[#This Row],[h1]],8))</f>
        <v>0</v>
      </c>
      <c r="Q1031" s="48" t="s">
        <v>149</v>
      </c>
      <c r="R1031" s="48">
        <f>HEX2DEC(RIGHT(Table132321279[[#This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149</v>
      </c>
      <c r="P1032" s="48">
        <f>HEX2DEC(RIGHT(Table132321279[[#This Row],[h1]],8))</f>
        <v>0</v>
      </c>
      <c r="Q1032" s="48" t="s">
        <v>149</v>
      </c>
      <c r="R1032" s="48">
        <f>HEX2DEC(RIGHT(Table132321279[[#This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149</v>
      </c>
      <c r="P1033" s="48">
        <f>HEX2DEC(RIGHT(Table132321279[[#This Row],[h1]],8))</f>
        <v>0</v>
      </c>
      <c r="Q1033" s="48" t="s">
        <v>149</v>
      </c>
      <c r="R1033" s="48">
        <f>HEX2DEC(RIGHT(Table132321279[[#This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149</v>
      </c>
      <c r="P1034" s="48">
        <f>HEX2DEC(RIGHT(Table132321279[[#This Row],[h1]],8))</f>
        <v>0</v>
      </c>
      <c r="Q1034" s="48" t="s">
        <v>149</v>
      </c>
      <c r="R1034" s="48">
        <f>HEX2DEC(RIGHT(Table132321279[[#This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149</v>
      </c>
      <c r="P1035" s="48">
        <f>HEX2DEC(RIGHT(Table132321279[[#This Row],[h1]],8))</f>
        <v>0</v>
      </c>
      <c r="Q1035" s="48" t="s">
        <v>149</v>
      </c>
      <c r="R1035" s="48">
        <f>HEX2DEC(RIGHT(Table132321279[[#This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149</v>
      </c>
      <c r="P1036" s="48">
        <f>HEX2DEC(RIGHT(Table132321279[[#This Row],[h1]],8))</f>
        <v>0</v>
      </c>
      <c r="Q1036" s="48" t="s">
        <v>149</v>
      </c>
      <c r="R1036" s="48">
        <f>HEX2DEC(RIGHT(Table132321279[[#This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149</v>
      </c>
      <c r="P1037" s="48">
        <f>HEX2DEC(RIGHT(Table132321279[[#This Row],[h1]],8))</f>
        <v>0</v>
      </c>
      <c r="Q1037" s="48" t="s">
        <v>149</v>
      </c>
      <c r="R1037" s="48">
        <f>HEX2DEC(RIGHT(Table132321279[[#This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149</v>
      </c>
      <c r="P1038" s="48">
        <f>HEX2DEC(RIGHT(Table132321279[[#This Row],[h1]],8))</f>
        <v>0</v>
      </c>
      <c r="Q1038" s="48" t="s">
        <v>149</v>
      </c>
      <c r="R1038" s="48">
        <f>HEX2DEC(RIGHT(Table132321279[[#This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149</v>
      </c>
      <c r="P1039" s="48">
        <f>HEX2DEC(RIGHT(Table132321279[[#This Row],[h1]],8))</f>
        <v>0</v>
      </c>
      <c r="Q1039" s="48" t="s">
        <v>149</v>
      </c>
      <c r="R1039" s="48">
        <f>HEX2DEC(RIGHT(Table132321279[[#This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149</v>
      </c>
      <c r="P1040" s="48">
        <f>HEX2DEC(RIGHT(Table132321279[[#This Row],[h1]],8))</f>
        <v>0</v>
      </c>
      <c r="Q1040" s="48" t="s">
        <v>149</v>
      </c>
      <c r="R1040" s="48">
        <f>HEX2DEC(RIGHT(Table132321279[[#This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149</v>
      </c>
      <c r="P1041" s="48">
        <f>HEX2DEC(RIGHT(Table132321279[[#This Row],[h1]],8))</f>
        <v>0</v>
      </c>
      <c r="Q1041" s="48" t="s">
        <v>149</v>
      </c>
      <c r="R1041" s="48">
        <f>HEX2DEC(RIGHT(Table132321279[[#This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149</v>
      </c>
      <c r="P1042" s="48">
        <f>HEX2DEC(RIGHT(Table132321279[[#This Row],[h1]],8))</f>
        <v>0</v>
      </c>
      <c r="Q1042" s="48" t="s">
        <v>149</v>
      </c>
      <c r="R1042" s="48">
        <f>HEX2DEC(RIGHT(Table132321279[[#This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149</v>
      </c>
      <c r="P1043" s="48">
        <f>HEX2DEC(RIGHT(Table132321279[[#This Row],[h1]],8))</f>
        <v>0</v>
      </c>
      <c r="Q1043" s="48" t="s">
        <v>149</v>
      </c>
      <c r="R1043" s="48">
        <f>HEX2DEC(RIGHT(Table132321279[[#This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149</v>
      </c>
      <c r="P1044" s="48">
        <f>HEX2DEC(RIGHT(Table132321279[[#This Row],[h1]],8))</f>
        <v>0</v>
      </c>
      <c r="Q1044" s="48" t="s">
        <v>149</v>
      </c>
      <c r="R1044" s="48">
        <f>HEX2DEC(RIGHT(Table132321279[[#This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149</v>
      </c>
      <c r="P1045" s="48">
        <f>HEX2DEC(RIGHT(Table132321279[[#This Row],[h1]],8))</f>
        <v>0</v>
      </c>
      <c r="Q1045" s="48" t="s">
        <v>149</v>
      </c>
      <c r="R1045" s="48">
        <f>HEX2DEC(RIGHT(Table132321279[[#This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149</v>
      </c>
      <c r="P1046" s="48">
        <f>HEX2DEC(RIGHT(Table132321279[[#This Row],[h1]],8))</f>
        <v>0</v>
      </c>
      <c r="Q1046" s="48" t="s">
        <v>149</v>
      </c>
      <c r="R1046" s="48">
        <f>HEX2DEC(RIGHT(Table132321279[[#This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149</v>
      </c>
      <c r="P1047" s="48">
        <f>HEX2DEC(RIGHT(Table132321279[[#This Row],[h1]],8))</f>
        <v>0</v>
      </c>
      <c r="Q1047" s="48" t="s">
        <v>149</v>
      </c>
      <c r="R1047" s="48">
        <f>HEX2DEC(RIGHT(Table132321279[[#This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149</v>
      </c>
      <c r="P1048" s="48">
        <f>HEX2DEC(RIGHT(Table132321279[[#This Row],[h1]],8))</f>
        <v>0</v>
      </c>
      <c r="Q1048" s="48" t="s">
        <v>149</v>
      </c>
      <c r="R1048" s="48">
        <f>HEX2DEC(RIGHT(Table132321279[[#This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149</v>
      </c>
      <c r="P1049" s="48">
        <f>HEX2DEC(RIGHT(Table132321279[[#This Row],[h1]],8))</f>
        <v>0</v>
      </c>
      <c r="Q1049" s="48" t="s">
        <v>149</v>
      </c>
      <c r="R1049" s="48">
        <f>HEX2DEC(RIGHT(Table132321279[[#This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149</v>
      </c>
      <c r="P1050" s="48">
        <f>HEX2DEC(RIGHT(Table132321279[[#This Row],[h1]],8))</f>
        <v>0</v>
      </c>
      <c r="Q1050" s="48" t="s">
        <v>149</v>
      </c>
      <c r="R1050" s="48">
        <f>HEX2DEC(RIGHT(Table132321279[[#This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149</v>
      </c>
      <c r="P1051" s="48">
        <f>HEX2DEC(RIGHT(Table132321279[[#This Row],[h1]],8))</f>
        <v>0</v>
      </c>
      <c r="Q1051" s="48" t="s">
        <v>149</v>
      </c>
      <c r="R1051" s="48">
        <f>HEX2DEC(RIGHT(Table132321279[[#This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149</v>
      </c>
      <c r="P1052" s="48">
        <f>HEX2DEC(RIGHT(Table132321279[[#This Row],[h1]],8))</f>
        <v>0</v>
      </c>
      <c r="Q1052" s="48" t="s">
        <v>149</v>
      </c>
      <c r="R1052" s="48">
        <f>HEX2DEC(RIGHT(Table132321279[[#This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149</v>
      </c>
      <c r="P1053" s="48">
        <f>HEX2DEC(RIGHT(Table132321279[[#This Row],[h1]],8))</f>
        <v>0</v>
      </c>
      <c r="Q1053" s="48" t="s">
        <v>149</v>
      </c>
      <c r="R1053" s="48">
        <f>HEX2DEC(RIGHT(Table132321279[[#This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149</v>
      </c>
      <c r="P1054" s="48">
        <f>HEX2DEC(RIGHT(Table132321279[[#This Row],[h1]],8))</f>
        <v>0</v>
      </c>
      <c r="Q1054" s="48" t="s">
        <v>149</v>
      </c>
      <c r="R1054" s="48">
        <f>HEX2DEC(RIGHT(Table132321279[[#This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149</v>
      </c>
      <c r="P1055" s="48">
        <f>HEX2DEC(RIGHT(Table132321279[[#This Row],[h1]],8))</f>
        <v>0</v>
      </c>
      <c r="Q1055" s="48" t="s">
        <v>149</v>
      </c>
      <c r="R1055" s="48">
        <f>HEX2DEC(RIGHT(Table132321279[[#This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149</v>
      </c>
      <c r="P1056" s="48">
        <f>HEX2DEC(RIGHT(Table132321279[[#This Row],[h1]],8))</f>
        <v>0</v>
      </c>
      <c r="Q1056" s="48" t="s">
        <v>149</v>
      </c>
      <c r="R1056" s="48">
        <f>HEX2DEC(RIGHT(Table132321279[[#This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149</v>
      </c>
      <c r="P1057" s="48">
        <f>HEX2DEC(RIGHT(Table132321279[[#This Row],[h1]],8))</f>
        <v>0</v>
      </c>
      <c r="Q1057" s="48" t="s">
        <v>149</v>
      </c>
      <c r="R1057" s="48">
        <f>HEX2DEC(RIGHT(Table132321279[[#This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149</v>
      </c>
      <c r="P1058" s="48">
        <f>HEX2DEC(RIGHT(Table132321279[[#This Row],[h1]],8))</f>
        <v>0</v>
      </c>
      <c r="Q1058" s="48" t="s">
        <v>149</v>
      </c>
      <c r="R1058" s="48">
        <f>HEX2DEC(RIGHT(Table132321279[[#This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149</v>
      </c>
      <c r="P1059" s="48">
        <f>HEX2DEC(RIGHT(Table132321279[[#This Row],[h1]],8))</f>
        <v>0</v>
      </c>
      <c r="Q1059" s="48" t="s">
        <v>149</v>
      </c>
      <c r="R1059" s="48">
        <f>HEX2DEC(RIGHT(Table132321279[[#This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149</v>
      </c>
      <c r="P1060" s="48">
        <f>HEX2DEC(RIGHT(Table132321279[[#This Row],[h1]],8))</f>
        <v>0</v>
      </c>
      <c r="Q1060" s="48" t="s">
        <v>149</v>
      </c>
      <c r="R1060" s="48">
        <f>HEX2DEC(RIGHT(Table132321279[[#This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149</v>
      </c>
      <c r="P1061" s="48">
        <f>HEX2DEC(RIGHT(Table132321279[[#This Row],[h1]],8))</f>
        <v>0</v>
      </c>
      <c r="Q1061" s="48" t="s">
        <v>149</v>
      </c>
      <c r="R1061" s="48">
        <f>HEX2DEC(RIGHT(Table132321279[[#This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149</v>
      </c>
      <c r="P1062" s="48">
        <f>HEX2DEC(RIGHT(Table132321279[[#This Row],[h1]],8))</f>
        <v>0</v>
      </c>
      <c r="Q1062" s="48" t="s">
        <v>149</v>
      </c>
      <c r="R1062" s="48">
        <f>HEX2DEC(RIGHT(Table132321279[[#This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149</v>
      </c>
      <c r="P1063" s="48">
        <f>HEX2DEC(RIGHT(Table132321279[[#This Row],[h1]],8))</f>
        <v>0</v>
      </c>
      <c r="Q1063" s="48" t="s">
        <v>149</v>
      </c>
      <c r="R1063" s="48">
        <f>HEX2DEC(RIGHT(Table132321279[[#This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149</v>
      </c>
      <c r="P1064" s="48">
        <f>HEX2DEC(RIGHT(Table132321279[[#This Row],[h1]],8))</f>
        <v>0</v>
      </c>
      <c r="Q1064" s="48" t="s">
        <v>149</v>
      </c>
      <c r="R1064" s="48">
        <f>HEX2DEC(RIGHT(Table132321279[[#This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149</v>
      </c>
      <c r="P1065" s="48">
        <f>HEX2DEC(RIGHT(Table132321279[[#This Row],[h1]],8))</f>
        <v>0</v>
      </c>
      <c r="Q1065" s="48" t="s">
        <v>149</v>
      </c>
      <c r="R1065" s="48">
        <f>HEX2DEC(RIGHT(Table132321279[[#This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149</v>
      </c>
      <c r="P1066" s="48">
        <f>HEX2DEC(RIGHT(Table132321279[[#This Row],[h1]],8))</f>
        <v>0</v>
      </c>
      <c r="Q1066" s="48" t="s">
        <v>149</v>
      </c>
      <c r="R1066" s="48">
        <f>HEX2DEC(RIGHT(Table132321279[[#This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149</v>
      </c>
      <c r="P1067" s="48">
        <f>HEX2DEC(RIGHT(Table132321279[[#This Row],[h1]],8))</f>
        <v>0</v>
      </c>
      <c r="Q1067" s="48" t="s">
        <v>149</v>
      </c>
      <c r="R1067" s="48">
        <f>HEX2DEC(RIGHT(Table132321279[[#This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149</v>
      </c>
      <c r="P1068" s="48">
        <f>HEX2DEC(RIGHT(Table132321279[[#This Row],[h1]],8))</f>
        <v>0</v>
      </c>
      <c r="Q1068" s="48" t="s">
        <v>149</v>
      </c>
      <c r="R1068" s="48">
        <f>HEX2DEC(RIGHT(Table132321279[[#This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149</v>
      </c>
      <c r="P1069" s="48">
        <f>HEX2DEC(RIGHT(Table132321279[[#This Row],[h1]],8))</f>
        <v>0</v>
      </c>
      <c r="Q1069" s="48" t="s">
        <v>149</v>
      </c>
      <c r="R1069" s="48">
        <f>HEX2DEC(RIGHT(Table132321279[[#This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149</v>
      </c>
      <c r="P1070" s="48">
        <f>HEX2DEC(RIGHT(Table132321279[[#This Row],[h1]],8))</f>
        <v>0</v>
      </c>
      <c r="Q1070" s="48" t="s">
        <v>149</v>
      </c>
      <c r="R1070" s="48">
        <f>HEX2DEC(RIGHT(Table132321279[[#This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149</v>
      </c>
      <c r="P1071" s="48">
        <f>HEX2DEC(RIGHT(Table132321279[[#This Row],[h1]],8))</f>
        <v>0</v>
      </c>
      <c r="Q1071" s="48" t="s">
        <v>149</v>
      </c>
      <c r="R1071" s="48">
        <f>HEX2DEC(RIGHT(Table132321279[[#This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149</v>
      </c>
      <c r="P1072" s="48">
        <f>HEX2DEC(RIGHT(Table132321279[[#This Row],[h1]],8))</f>
        <v>0</v>
      </c>
      <c r="Q1072" s="48" t="s">
        <v>149</v>
      </c>
      <c r="R1072" s="48">
        <f>HEX2DEC(RIGHT(Table132321279[[#This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149</v>
      </c>
      <c r="P1073" s="48">
        <f>HEX2DEC(RIGHT(Table132321279[[#This Row],[h1]],8))</f>
        <v>0</v>
      </c>
      <c r="Q1073" s="48" t="s">
        <v>149</v>
      </c>
      <c r="R1073" s="48">
        <f>HEX2DEC(RIGHT(Table132321279[[#This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149</v>
      </c>
      <c r="P1074" s="48">
        <f>HEX2DEC(RIGHT(Table132321279[[#This Row],[h1]],8))</f>
        <v>0</v>
      </c>
      <c r="Q1074" s="48" t="s">
        <v>149</v>
      </c>
      <c r="R1074" s="48">
        <f>HEX2DEC(RIGHT(Table132321279[[#This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149</v>
      </c>
      <c r="P1075" s="48">
        <f>HEX2DEC(RIGHT(Table132321279[[#This Row],[h1]],8))</f>
        <v>0</v>
      </c>
      <c r="Q1075" s="48" t="s">
        <v>149</v>
      </c>
      <c r="R1075" s="48">
        <f>HEX2DEC(RIGHT(Table132321279[[#This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149</v>
      </c>
      <c r="P1076" s="48">
        <f>HEX2DEC(RIGHT(Table132321279[[#This Row],[h1]],8))</f>
        <v>0</v>
      </c>
      <c r="Q1076" s="48" t="s">
        <v>149</v>
      </c>
      <c r="R1076" s="48">
        <f>HEX2DEC(RIGHT(Table132321279[[#This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149</v>
      </c>
      <c r="P1077" s="48">
        <f>HEX2DEC(RIGHT(Table132321279[[#This Row],[h1]],8))</f>
        <v>0</v>
      </c>
      <c r="Q1077" s="48" t="s">
        <v>149</v>
      </c>
      <c r="R1077" s="48">
        <f>HEX2DEC(RIGHT(Table132321279[[#This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149</v>
      </c>
      <c r="P1078" s="48">
        <f>HEX2DEC(RIGHT(Table132321279[[#This Row],[h1]],8))</f>
        <v>0</v>
      </c>
      <c r="Q1078" s="48" t="s">
        <v>149</v>
      </c>
      <c r="R1078" s="48">
        <f>HEX2DEC(RIGHT(Table132321279[[#This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149</v>
      </c>
      <c r="P1079" s="48">
        <f>HEX2DEC(RIGHT(Table132321279[[#This Row],[h1]],8))</f>
        <v>0</v>
      </c>
      <c r="Q1079" s="48" t="s">
        <v>149</v>
      </c>
      <c r="R1079" s="48">
        <f>HEX2DEC(RIGHT(Table132321279[[#This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149</v>
      </c>
      <c r="P1080" s="48">
        <f>HEX2DEC(RIGHT(Table132321279[[#This Row],[h1]],8))</f>
        <v>0</v>
      </c>
      <c r="Q1080" s="48" t="s">
        <v>149</v>
      </c>
      <c r="R1080" s="48">
        <f>HEX2DEC(RIGHT(Table132321279[[#This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149</v>
      </c>
      <c r="P1081" s="48">
        <f>HEX2DEC(RIGHT(Table132321279[[#This Row],[h1]],8))</f>
        <v>0</v>
      </c>
      <c r="Q1081" s="48" t="s">
        <v>149</v>
      </c>
      <c r="R1081" s="48">
        <f>HEX2DEC(RIGHT(Table132321279[[#This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149</v>
      </c>
      <c r="P1082" s="48">
        <f>HEX2DEC(RIGHT(Table132321279[[#This Row],[h1]],8))</f>
        <v>0</v>
      </c>
      <c r="Q1082" s="48" t="s">
        <v>149</v>
      </c>
      <c r="R1082" s="48">
        <f>HEX2DEC(RIGHT(Table132321279[[#This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149</v>
      </c>
      <c r="P1083" s="48">
        <f>HEX2DEC(RIGHT(Table132321279[[#This Row],[h1]],8))</f>
        <v>0</v>
      </c>
      <c r="Q1083" s="48" t="s">
        <v>149</v>
      </c>
      <c r="R1083" s="48">
        <f>HEX2DEC(RIGHT(Table132321279[[#This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149</v>
      </c>
      <c r="P1084" s="48">
        <f>HEX2DEC(RIGHT(Table132321279[[#This Row],[h1]],8))</f>
        <v>0</v>
      </c>
      <c r="Q1084" s="48" t="s">
        <v>149</v>
      </c>
      <c r="R1084" s="48">
        <f>HEX2DEC(RIGHT(Table132321279[[#This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149</v>
      </c>
      <c r="P1085" s="48">
        <f>HEX2DEC(RIGHT(Table132321279[[#This Row],[h1]],8))</f>
        <v>0</v>
      </c>
      <c r="Q1085" s="48" t="s">
        <v>149</v>
      </c>
      <c r="R1085" s="48">
        <f>HEX2DEC(RIGHT(Table132321279[[#This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149</v>
      </c>
      <c r="P1086" s="48">
        <f>HEX2DEC(RIGHT(Table132321279[[#This Row],[h1]],8))</f>
        <v>0</v>
      </c>
      <c r="Q1086" s="48" t="s">
        <v>149</v>
      </c>
      <c r="R1086" s="48">
        <f>HEX2DEC(RIGHT(Table132321279[[#This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149</v>
      </c>
      <c r="P1087" s="48">
        <f>HEX2DEC(RIGHT(Table132321279[[#This Row],[h1]],8))</f>
        <v>0</v>
      </c>
      <c r="Q1087" s="48" t="s">
        <v>149</v>
      </c>
      <c r="R1087" s="48">
        <f>HEX2DEC(RIGHT(Table132321279[[#This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149</v>
      </c>
      <c r="P1088" s="48">
        <f>HEX2DEC(RIGHT(Table132321279[[#This Row],[h1]],8))</f>
        <v>0</v>
      </c>
      <c r="Q1088" s="48" t="s">
        <v>149</v>
      </c>
      <c r="R1088" s="48">
        <f>HEX2DEC(RIGHT(Table132321279[[#This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149</v>
      </c>
      <c r="P1089" s="48">
        <f>HEX2DEC(RIGHT(Table132321279[[#This Row],[h1]],8))</f>
        <v>0</v>
      </c>
      <c r="Q1089" s="48" t="s">
        <v>149</v>
      </c>
      <c r="R1089" s="48">
        <f>HEX2DEC(RIGHT(Table132321279[[#This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149</v>
      </c>
      <c r="P1090" s="48">
        <f>HEX2DEC(RIGHT(Table132321279[[#This Row],[h1]],8))</f>
        <v>0</v>
      </c>
      <c r="Q1090" s="48" t="s">
        <v>149</v>
      </c>
      <c r="R1090" s="48">
        <f>HEX2DEC(RIGHT(Table132321279[[#This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149</v>
      </c>
      <c r="P1091" s="48">
        <f>HEX2DEC(RIGHT(Table132321279[[#This Row],[h1]],8))</f>
        <v>0</v>
      </c>
      <c r="Q1091" s="48" t="s">
        <v>149</v>
      </c>
      <c r="R1091" s="48">
        <f>HEX2DEC(RIGHT(Table132321279[[#This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149</v>
      </c>
      <c r="P1092" s="48">
        <f>HEX2DEC(RIGHT(Table132321279[[#This Row],[h1]],8))</f>
        <v>0</v>
      </c>
      <c r="Q1092" s="48" t="s">
        <v>149</v>
      </c>
      <c r="R1092" s="48">
        <f>HEX2DEC(RIGHT(Table132321279[[#This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149</v>
      </c>
      <c r="P1093" s="48">
        <f>HEX2DEC(RIGHT(Table132321279[[#This Row],[h1]],8))</f>
        <v>0</v>
      </c>
      <c r="Q1093" s="48" t="s">
        <v>149</v>
      </c>
      <c r="R1093" s="48">
        <f>HEX2DEC(RIGHT(Table132321279[[#This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149</v>
      </c>
      <c r="P1094" s="48">
        <f>HEX2DEC(RIGHT(Table132321279[[#This Row],[h1]],8))</f>
        <v>0</v>
      </c>
      <c r="Q1094" s="48" t="s">
        <v>149</v>
      </c>
      <c r="R1094" s="48">
        <f>HEX2DEC(RIGHT(Table132321279[[#This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149</v>
      </c>
      <c r="P1095" s="48">
        <f>HEX2DEC(RIGHT(Table132321279[[#This Row],[h1]],8))</f>
        <v>0</v>
      </c>
      <c r="Q1095" s="48" t="s">
        <v>149</v>
      </c>
      <c r="R1095" s="48">
        <f>HEX2DEC(RIGHT(Table132321279[[#This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149</v>
      </c>
      <c r="P1096" s="48">
        <f>HEX2DEC(RIGHT(Table132321279[[#This Row],[h1]],8))</f>
        <v>0</v>
      </c>
      <c r="Q1096" s="48" t="s">
        <v>149</v>
      </c>
      <c r="R1096" s="48">
        <f>HEX2DEC(RIGHT(Table132321279[[#This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149</v>
      </c>
      <c r="P1097" s="48">
        <f>HEX2DEC(RIGHT(Table132321279[[#This Row],[h1]],8))</f>
        <v>0</v>
      </c>
      <c r="Q1097" s="48" t="s">
        <v>149</v>
      </c>
      <c r="R1097" s="48">
        <f>HEX2DEC(RIGHT(Table132321279[[#This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149</v>
      </c>
      <c r="P1098" s="48">
        <f>HEX2DEC(RIGHT(Table132321279[[#This Row],[h1]],8))</f>
        <v>0</v>
      </c>
      <c r="Q1098" s="48" t="s">
        <v>149</v>
      </c>
      <c r="R1098" s="48">
        <f>HEX2DEC(RIGHT(Table132321279[[#This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149</v>
      </c>
      <c r="P1099" s="48">
        <f>HEX2DEC(RIGHT(Table132321279[[#This Row],[h1]],8))</f>
        <v>0</v>
      </c>
      <c r="Q1099" s="48" t="s">
        <v>149</v>
      </c>
      <c r="R1099" s="48">
        <f>HEX2DEC(RIGHT(Table132321279[[#This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149</v>
      </c>
      <c r="P1100" s="48">
        <f>HEX2DEC(RIGHT(Table132321279[[#This Row],[h1]],8))</f>
        <v>0</v>
      </c>
      <c r="Q1100" s="48" t="s">
        <v>149</v>
      </c>
      <c r="R1100" s="48">
        <f>HEX2DEC(RIGHT(Table132321279[[#This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149</v>
      </c>
      <c r="P1101" s="48">
        <f>HEX2DEC(RIGHT(Table132321279[[#This Row],[h1]],8))</f>
        <v>0</v>
      </c>
      <c r="Q1101" s="48" t="s">
        <v>149</v>
      </c>
      <c r="R1101" s="48">
        <f>HEX2DEC(RIGHT(Table132321279[[#This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149</v>
      </c>
      <c r="P1102" s="48">
        <f>HEX2DEC(RIGHT(Table132321279[[#This Row],[h1]],8))</f>
        <v>0</v>
      </c>
      <c r="Q1102" s="48" t="s">
        <v>149</v>
      </c>
      <c r="R1102" s="48">
        <f>HEX2DEC(RIGHT(Table132321279[[#This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149</v>
      </c>
      <c r="P1103" s="48">
        <f>HEX2DEC(RIGHT(Table132321279[[#This Row],[h1]],8))</f>
        <v>0</v>
      </c>
      <c r="Q1103" s="48" t="s">
        <v>149</v>
      </c>
      <c r="R1103" s="48">
        <f>HEX2DEC(RIGHT(Table132321279[[#This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149</v>
      </c>
      <c r="P1104" s="48">
        <f>HEX2DEC(RIGHT(Table132321279[[#This Row],[h1]],8))</f>
        <v>0</v>
      </c>
      <c r="Q1104" s="48" t="s">
        <v>149</v>
      </c>
      <c r="R1104" s="48">
        <f>HEX2DEC(RIGHT(Table132321279[[#This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149</v>
      </c>
      <c r="P1105" s="48">
        <f>HEX2DEC(RIGHT(Table132321279[[#This Row],[h1]],8))</f>
        <v>0</v>
      </c>
      <c r="Q1105" s="48" t="s">
        <v>149</v>
      </c>
      <c r="R1105" s="48">
        <f>HEX2DEC(RIGHT(Table132321279[[#This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149</v>
      </c>
      <c r="P1106" s="48">
        <f>HEX2DEC(RIGHT(Table132321279[[#This Row],[h1]],8))</f>
        <v>0</v>
      </c>
      <c r="Q1106" s="48" t="s">
        <v>149</v>
      </c>
      <c r="R1106" s="48">
        <f>HEX2DEC(RIGHT(Table132321279[[#This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149</v>
      </c>
      <c r="P1107" s="48">
        <f>HEX2DEC(RIGHT(Table132321279[[#This Row],[h1]],8))</f>
        <v>0</v>
      </c>
      <c r="Q1107" s="48" t="s">
        <v>149</v>
      </c>
      <c r="R1107" s="48">
        <f>HEX2DEC(RIGHT(Table132321279[[#This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149</v>
      </c>
      <c r="P1108" s="48">
        <f>HEX2DEC(RIGHT(Table132321279[[#This Row],[h1]],8))</f>
        <v>0</v>
      </c>
      <c r="Q1108" s="48" t="s">
        <v>149</v>
      </c>
      <c r="R1108" s="48">
        <f>HEX2DEC(RIGHT(Table132321279[[#This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149</v>
      </c>
      <c r="P1109" s="48">
        <f>HEX2DEC(RIGHT(Table132321279[[#This Row],[h1]],8))</f>
        <v>0</v>
      </c>
      <c r="Q1109" s="48" t="s">
        <v>149</v>
      </c>
      <c r="R1109" s="48">
        <f>HEX2DEC(RIGHT(Table132321279[[#This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149</v>
      </c>
      <c r="P1110" s="48">
        <f>HEX2DEC(RIGHT(Table132321279[[#This Row],[h1]],8))</f>
        <v>0</v>
      </c>
      <c r="Q1110" s="48" t="s">
        <v>149</v>
      </c>
      <c r="R1110" s="48">
        <f>HEX2DEC(RIGHT(Table132321279[[#This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149</v>
      </c>
      <c r="P1111" s="48">
        <f>HEX2DEC(RIGHT(Table132321279[[#This Row],[h1]],8))</f>
        <v>0</v>
      </c>
      <c r="Q1111" s="48" t="s">
        <v>149</v>
      </c>
      <c r="R1111" s="48">
        <f>HEX2DEC(RIGHT(Table132321279[[#This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149</v>
      </c>
      <c r="P1112" s="48">
        <f>HEX2DEC(RIGHT(Table132321279[[#This Row],[h1]],8))</f>
        <v>0</v>
      </c>
      <c r="Q1112" s="48" t="s">
        <v>149</v>
      </c>
      <c r="R1112" s="48">
        <f>HEX2DEC(RIGHT(Table132321279[[#This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149</v>
      </c>
      <c r="P1113" s="48">
        <f>HEX2DEC(RIGHT(Table132321279[[#This Row],[h1]],8))</f>
        <v>0</v>
      </c>
      <c r="Q1113" s="48" t="s">
        <v>149</v>
      </c>
      <c r="R1113" s="48">
        <f>HEX2DEC(RIGHT(Table132321279[[#This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149</v>
      </c>
      <c r="P1114" s="48">
        <f>HEX2DEC(RIGHT(Table132321279[[#This Row],[h1]],8))</f>
        <v>0</v>
      </c>
      <c r="Q1114" s="48" t="s">
        <v>149</v>
      </c>
      <c r="R1114" s="48">
        <f>HEX2DEC(RIGHT(Table132321279[[#This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149</v>
      </c>
      <c r="P1115" s="48">
        <f>HEX2DEC(RIGHT(Table132321279[[#This Row],[h1]],8))</f>
        <v>0</v>
      </c>
      <c r="Q1115" s="48" t="s">
        <v>149</v>
      </c>
      <c r="R1115" s="48">
        <f>HEX2DEC(RIGHT(Table132321279[[#This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149</v>
      </c>
      <c r="P1116" s="48">
        <f>HEX2DEC(RIGHT(Table132321279[[#This Row],[h1]],8))</f>
        <v>0</v>
      </c>
      <c r="Q1116" s="48" t="s">
        <v>149</v>
      </c>
      <c r="R1116" s="48">
        <f>HEX2DEC(RIGHT(Table132321279[[#This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149</v>
      </c>
      <c r="P1117" s="48">
        <f>HEX2DEC(RIGHT(Table132321279[[#This Row],[h1]],8))</f>
        <v>0</v>
      </c>
      <c r="Q1117" s="48" t="s">
        <v>149</v>
      </c>
      <c r="R1117" s="48">
        <f>HEX2DEC(RIGHT(Table132321279[[#This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149</v>
      </c>
      <c r="P1118" s="48">
        <f>HEX2DEC(RIGHT(Table132321279[[#This Row],[h1]],8))</f>
        <v>0</v>
      </c>
      <c r="Q1118" s="48" t="s">
        <v>149</v>
      </c>
      <c r="R1118" s="48">
        <f>HEX2DEC(RIGHT(Table132321279[[#This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149</v>
      </c>
      <c r="P1119" s="48">
        <f>HEX2DEC(RIGHT(Table132321279[[#This Row],[h1]],8))</f>
        <v>0</v>
      </c>
      <c r="Q1119" s="48" t="s">
        <v>149</v>
      </c>
      <c r="R1119" s="48">
        <f>HEX2DEC(RIGHT(Table132321279[[#This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149</v>
      </c>
      <c r="P1120" s="48">
        <f>HEX2DEC(RIGHT(Table132321279[[#This Row],[h1]],8))</f>
        <v>0</v>
      </c>
      <c r="Q1120" s="48" t="s">
        <v>149</v>
      </c>
      <c r="R1120" s="48">
        <f>HEX2DEC(RIGHT(Table132321279[[#This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149</v>
      </c>
      <c r="P1121" s="48">
        <f>HEX2DEC(RIGHT(Table132321279[[#This Row],[h1]],8))</f>
        <v>0</v>
      </c>
      <c r="Q1121" s="48" t="s">
        <v>149</v>
      </c>
      <c r="R1121" s="48">
        <f>HEX2DEC(RIGHT(Table132321279[[#This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149</v>
      </c>
      <c r="P1122" s="48">
        <f>HEX2DEC(RIGHT(Table132321279[[#This Row],[h1]],8))</f>
        <v>0</v>
      </c>
      <c r="Q1122" s="48" t="s">
        <v>149</v>
      </c>
      <c r="R1122" s="48">
        <f>HEX2DEC(RIGHT(Table132321279[[#This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149</v>
      </c>
      <c r="P1123" s="48">
        <f>HEX2DEC(RIGHT(Table132321279[[#This Row],[h1]],8))</f>
        <v>0</v>
      </c>
      <c r="Q1123" s="48" t="s">
        <v>149</v>
      </c>
      <c r="R1123" s="48">
        <f>HEX2DEC(RIGHT(Table132321279[[#This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149</v>
      </c>
      <c r="P1124" s="48">
        <f>HEX2DEC(RIGHT(Table132321279[[#This Row],[h1]],8))</f>
        <v>0</v>
      </c>
      <c r="Q1124" s="48" t="s">
        <v>149</v>
      </c>
      <c r="R1124" s="48">
        <f>HEX2DEC(RIGHT(Table132321279[[#This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149</v>
      </c>
      <c r="P1125" s="48">
        <f>HEX2DEC(RIGHT(Table132321279[[#This Row],[h1]],8))</f>
        <v>0</v>
      </c>
      <c r="Q1125" s="48" t="s">
        <v>149</v>
      </c>
      <c r="R1125" s="48">
        <f>HEX2DEC(RIGHT(Table132321279[[#This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149</v>
      </c>
      <c r="P1126" s="48">
        <f>HEX2DEC(RIGHT(Table132321279[[#This Row],[h1]],8))</f>
        <v>0</v>
      </c>
      <c r="Q1126" s="48" t="s">
        <v>149</v>
      </c>
      <c r="R1126" s="48">
        <f>HEX2DEC(RIGHT(Table132321279[[#This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149</v>
      </c>
      <c r="P1127" s="48">
        <f>HEX2DEC(RIGHT(Table132321279[[#This Row],[h1]],8))</f>
        <v>0</v>
      </c>
      <c r="Q1127" s="48" t="s">
        <v>149</v>
      </c>
      <c r="R1127" s="48">
        <f>HEX2DEC(RIGHT(Table132321279[[#This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149</v>
      </c>
      <c r="P1128" s="48">
        <f>HEX2DEC(RIGHT(Table132321279[[#This Row],[h1]],8))</f>
        <v>0</v>
      </c>
      <c r="Q1128" s="48" t="s">
        <v>149</v>
      </c>
      <c r="R1128" s="48">
        <f>HEX2DEC(RIGHT(Table132321279[[#This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149</v>
      </c>
      <c r="P1129" s="48">
        <f>HEX2DEC(RIGHT(Table132321279[[#This Row],[h1]],8))</f>
        <v>0</v>
      </c>
      <c r="Q1129" s="48" t="s">
        <v>149</v>
      </c>
      <c r="R1129" s="48">
        <f>HEX2DEC(RIGHT(Table132321279[[#This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149</v>
      </c>
      <c r="P1130" s="48">
        <f>HEX2DEC(RIGHT(Table132321279[[#This Row],[h1]],8))</f>
        <v>0</v>
      </c>
      <c r="Q1130" s="48" t="s">
        <v>149</v>
      </c>
      <c r="R1130" s="48">
        <f>HEX2DEC(RIGHT(Table132321279[[#This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149</v>
      </c>
      <c r="P1131" s="48">
        <f>HEX2DEC(RIGHT(Table132321279[[#This Row],[h1]],8))</f>
        <v>0</v>
      </c>
      <c r="Q1131" s="48" t="s">
        <v>149</v>
      </c>
      <c r="R1131" s="48">
        <f>HEX2DEC(RIGHT(Table132321279[[#This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149</v>
      </c>
      <c r="P1132" s="48">
        <f>HEX2DEC(RIGHT(Table132321279[[#This Row],[h1]],8))</f>
        <v>0</v>
      </c>
      <c r="Q1132" s="48" t="s">
        <v>149</v>
      </c>
      <c r="R1132" s="48">
        <f>HEX2DEC(RIGHT(Table132321279[[#This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149</v>
      </c>
      <c r="P1133" s="48">
        <f>HEX2DEC(RIGHT(Table132321279[[#This Row],[h1]],8))</f>
        <v>0</v>
      </c>
      <c r="Q1133" s="48" t="s">
        <v>149</v>
      </c>
      <c r="R1133" s="48">
        <f>HEX2DEC(RIGHT(Table132321279[[#This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149</v>
      </c>
      <c r="P1134" s="48">
        <f>HEX2DEC(RIGHT(Table132321279[[#This Row],[h1]],8))</f>
        <v>0</v>
      </c>
      <c r="Q1134" s="48" t="s">
        <v>149</v>
      </c>
      <c r="R1134" s="48">
        <f>HEX2DEC(RIGHT(Table132321279[[#This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149</v>
      </c>
      <c r="P1135" s="48">
        <f>HEX2DEC(RIGHT(Table132321279[[#This Row],[h1]],8))</f>
        <v>0</v>
      </c>
      <c r="Q1135" s="48" t="s">
        <v>149</v>
      </c>
      <c r="R1135" s="48">
        <f>HEX2DEC(RIGHT(Table132321279[[#This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149</v>
      </c>
      <c r="P1136" s="48">
        <f>HEX2DEC(RIGHT(Table132321279[[#This Row],[h1]],8))</f>
        <v>0</v>
      </c>
      <c r="Q1136" s="48" t="s">
        <v>149</v>
      </c>
      <c r="R1136" s="48">
        <f>HEX2DEC(RIGHT(Table132321279[[#This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149</v>
      </c>
      <c r="P1137" s="48">
        <f>HEX2DEC(RIGHT(Table132321279[[#This Row],[h1]],8))</f>
        <v>0</v>
      </c>
      <c r="Q1137" s="48" t="s">
        <v>149</v>
      </c>
      <c r="R1137" s="48">
        <f>HEX2DEC(RIGHT(Table132321279[[#This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149</v>
      </c>
      <c r="P1138" s="48">
        <f>HEX2DEC(RIGHT(Table132321279[[#This Row],[h1]],8))</f>
        <v>0</v>
      </c>
      <c r="Q1138" s="48" t="s">
        <v>149</v>
      </c>
      <c r="R1138" s="48">
        <f>HEX2DEC(RIGHT(Table132321279[[#This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149</v>
      </c>
      <c r="P1139" s="48">
        <f>HEX2DEC(RIGHT(Table132321279[[#This Row],[h1]],8))</f>
        <v>0</v>
      </c>
      <c r="Q1139" s="48" t="s">
        <v>149</v>
      </c>
      <c r="R1139" s="48">
        <f>HEX2DEC(RIGHT(Table132321279[[#This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149</v>
      </c>
      <c r="P1140" s="48">
        <f>HEX2DEC(RIGHT(Table132321279[[#This Row],[h1]],8))</f>
        <v>0</v>
      </c>
      <c r="Q1140" s="48" t="s">
        <v>149</v>
      </c>
      <c r="R1140" s="48">
        <f>HEX2DEC(RIGHT(Table132321279[[#This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149</v>
      </c>
      <c r="P1141" s="48">
        <f>HEX2DEC(RIGHT(Table132321279[[#This Row],[h1]],8))</f>
        <v>0</v>
      </c>
      <c r="Q1141" s="48" t="s">
        <v>149</v>
      </c>
      <c r="R1141" s="48">
        <f>HEX2DEC(RIGHT(Table132321279[[#This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149</v>
      </c>
      <c r="P1142" s="48">
        <f>HEX2DEC(RIGHT(Table132321279[[#This Row],[h1]],8))</f>
        <v>0</v>
      </c>
      <c r="Q1142" s="48" t="s">
        <v>149</v>
      </c>
      <c r="R1142" s="48">
        <f>HEX2DEC(RIGHT(Table132321279[[#This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149</v>
      </c>
      <c r="P1143" s="48">
        <f>HEX2DEC(RIGHT(Table132321279[[#This Row],[h1]],8))</f>
        <v>0</v>
      </c>
      <c r="Q1143" s="48" t="s">
        <v>149</v>
      </c>
      <c r="R1143" s="48">
        <f>HEX2DEC(RIGHT(Table132321279[[#This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149</v>
      </c>
      <c r="P1144" s="48">
        <f>HEX2DEC(RIGHT(Table132321279[[#This Row],[h1]],8))</f>
        <v>0</v>
      </c>
      <c r="Q1144" s="48" t="s">
        <v>149</v>
      </c>
      <c r="R1144" s="48">
        <f>HEX2DEC(RIGHT(Table132321279[[#This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149</v>
      </c>
      <c r="P1145" s="48">
        <f>HEX2DEC(RIGHT(Table132321279[[#This Row],[h1]],8))</f>
        <v>0</v>
      </c>
      <c r="Q1145" s="48" t="s">
        <v>149</v>
      </c>
      <c r="R1145" s="48">
        <f>HEX2DEC(RIGHT(Table132321279[[#This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149</v>
      </c>
      <c r="P1146" s="48">
        <f>HEX2DEC(RIGHT(Table132321279[[#This Row],[h1]],8))</f>
        <v>0</v>
      </c>
      <c r="Q1146" s="48" t="s">
        <v>149</v>
      </c>
      <c r="R1146" s="48">
        <f>HEX2DEC(RIGHT(Table132321279[[#This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149</v>
      </c>
      <c r="P1147" s="48">
        <f>HEX2DEC(RIGHT(Table132321279[[#This Row],[h1]],8))</f>
        <v>0</v>
      </c>
      <c r="Q1147" s="48" t="s">
        <v>149</v>
      </c>
      <c r="R1147" s="48">
        <f>HEX2DEC(RIGHT(Table132321279[[#This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149</v>
      </c>
      <c r="P1148" s="48">
        <f>HEX2DEC(RIGHT(Table132321279[[#This Row],[h1]],8))</f>
        <v>0</v>
      </c>
      <c r="Q1148" s="48" t="s">
        <v>149</v>
      </c>
      <c r="R1148" s="48">
        <f>HEX2DEC(RIGHT(Table132321279[[#This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149</v>
      </c>
      <c r="P1149" s="48">
        <f>HEX2DEC(RIGHT(Table132321279[[#This Row],[h1]],8))</f>
        <v>0</v>
      </c>
      <c r="Q1149" s="48" t="s">
        <v>149</v>
      </c>
      <c r="R1149" s="48">
        <f>HEX2DEC(RIGHT(Table132321279[[#This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149</v>
      </c>
      <c r="P1150" s="48">
        <f>HEX2DEC(RIGHT(Table132321279[[#This Row],[h1]],8))</f>
        <v>0</v>
      </c>
      <c r="Q1150" s="48" t="s">
        <v>149</v>
      </c>
      <c r="R1150" s="48">
        <f>HEX2DEC(RIGHT(Table132321279[[#This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149</v>
      </c>
      <c r="P1151" s="48">
        <f>HEX2DEC(RIGHT(Table132321279[[#This Row],[h1]],8))</f>
        <v>0</v>
      </c>
      <c r="Q1151" s="48" t="s">
        <v>149</v>
      </c>
      <c r="R1151" s="48">
        <f>HEX2DEC(RIGHT(Table132321279[[#This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149</v>
      </c>
      <c r="P1152" s="48">
        <f>HEX2DEC(RIGHT(Table132321279[[#This Row],[h1]],8))</f>
        <v>0</v>
      </c>
      <c r="Q1152" s="48" t="s">
        <v>149</v>
      </c>
      <c r="R1152" s="48">
        <f>HEX2DEC(RIGHT(Table132321279[[#This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149</v>
      </c>
      <c r="P1153" s="48">
        <f>HEX2DEC(RIGHT(Table132321279[[#This Row],[h1]],8))</f>
        <v>0</v>
      </c>
      <c r="Q1153" s="48" t="s">
        <v>149</v>
      </c>
      <c r="R1153" s="48">
        <f>HEX2DEC(RIGHT(Table132321279[[#This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149</v>
      </c>
      <c r="P1154" s="48">
        <f>HEX2DEC(RIGHT(Table132321279[[#This Row],[h1]],8))</f>
        <v>0</v>
      </c>
      <c r="Q1154" s="48" t="s">
        <v>149</v>
      </c>
      <c r="R1154" s="48">
        <f>HEX2DEC(RIGHT(Table132321279[[#This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149</v>
      </c>
      <c r="P1155" s="48">
        <f>HEX2DEC(RIGHT(Table132321279[[#This Row],[h1]],8))</f>
        <v>0</v>
      </c>
      <c r="Q1155" s="48" t="s">
        <v>149</v>
      </c>
      <c r="R1155" s="48">
        <f>HEX2DEC(RIGHT(Table132321279[[#This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149</v>
      </c>
      <c r="P1156" s="48">
        <f>HEX2DEC(RIGHT(Table132321279[[#This Row],[h1]],8))</f>
        <v>0</v>
      </c>
      <c r="Q1156" s="48" t="s">
        <v>149</v>
      </c>
      <c r="R1156" s="48">
        <f>HEX2DEC(RIGHT(Table132321279[[#This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149</v>
      </c>
      <c r="P1157" s="48">
        <f>HEX2DEC(RIGHT(Table132321279[[#This Row],[h1]],8))</f>
        <v>0</v>
      </c>
      <c r="Q1157" s="48" t="s">
        <v>149</v>
      </c>
      <c r="R1157" s="48">
        <f>HEX2DEC(RIGHT(Table132321279[[#This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149</v>
      </c>
      <c r="P1158" s="48">
        <f>HEX2DEC(RIGHT(Table132321279[[#This Row],[h1]],8))</f>
        <v>0</v>
      </c>
      <c r="Q1158" s="48" t="s">
        <v>149</v>
      </c>
      <c r="R1158" s="48">
        <f>HEX2DEC(RIGHT(Table132321279[[#This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149</v>
      </c>
      <c r="P1159" s="48">
        <f>HEX2DEC(RIGHT(Table132321279[[#This Row],[h1]],8))</f>
        <v>0</v>
      </c>
      <c r="Q1159" s="48" t="s">
        <v>149</v>
      </c>
      <c r="R1159" s="48">
        <f>HEX2DEC(RIGHT(Table132321279[[#This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149</v>
      </c>
      <c r="P1160" s="48">
        <f>HEX2DEC(RIGHT(Table132321279[[#This Row],[h1]],8))</f>
        <v>0</v>
      </c>
      <c r="Q1160" s="48" t="s">
        <v>149</v>
      </c>
      <c r="R1160" s="48">
        <f>HEX2DEC(RIGHT(Table132321279[[#This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149</v>
      </c>
      <c r="P1161" s="48">
        <f>HEX2DEC(RIGHT(Table132321279[[#This Row],[h1]],8))</f>
        <v>0</v>
      </c>
      <c r="Q1161" s="48" t="s">
        <v>149</v>
      </c>
      <c r="R1161" s="48">
        <f>HEX2DEC(RIGHT(Table132321279[[#This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149</v>
      </c>
      <c r="P1162" s="48">
        <f>HEX2DEC(RIGHT(Table132321279[[#This Row],[h1]],8))</f>
        <v>0</v>
      </c>
      <c r="Q1162" s="48" t="s">
        <v>149</v>
      </c>
      <c r="R1162" s="48">
        <f>HEX2DEC(RIGHT(Table132321279[[#This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149</v>
      </c>
      <c r="P1163" s="48">
        <f>HEX2DEC(RIGHT(Table132321279[[#This Row],[h1]],8))</f>
        <v>0</v>
      </c>
      <c r="Q1163" s="48" t="s">
        <v>149</v>
      </c>
      <c r="R1163" s="48">
        <f>HEX2DEC(RIGHT(Table132321279[[#This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149</v>
      </c>
      <c r="P1164" s="48">
        <f>HEX2DEC(RIGHT(Table132321279[[#This Row],[h1]],8))</f>
        <v>0</v>
      </c>
      <c r="Q1164" s="48" t="s">
        <v>149</v>
      </c>
      <c r="R1164" s="48">
        <f>HEX2DEC(RIGHT(Table132321279[[#This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149</v>
      </c>
      <c r="P1165" s="48">
        <f>HEX2DEC(RIGHT(Table132321279[[#This Row],[h1]],8))</f>
        <v>0</v>
      </c>
      <c r="Q1165" s="48" t="s">
        <v>149</v>
      </c>
      <c r="R1165" s="48">
        <f>HEX2DEC(RIGHT(Table132321279[[#This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149</v>
      </c>
      <c r="P1166" s="48">
        <f>HEX2DEC(RIGHT(Table132321279[[#This Row],[h1]],8))</f>
        <v>0</v>
      </c>
      <c r="Q1166" s="48" t="s">
        <v>149</v>
      </c>
      <c r="R1166" s="48">
        <f>HEX2DEC(RIGHT(Table132321279[[#This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149</v>
      </c>
      <c r="P1167" s="48">
        <f>HEX2DEC(RIGHT(Table132321279[[#This Row],[h1]],8))</f>
        <v>0</v>
      </c>
      <c r="Q1167" s="48" t="s">
        <v>149</v>
      </c>
      <c r="R1167" s="48">
        <f>HEX2DEC(RIGHT(Table132321279[[#This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149</v>
      </c>
      <c r="P1168" s="48">
        <f>HEX2DEC(RIGHT(Table132321279[[#This Row],[h1]],8))</f>
        <v>0</v>
      </c>
      <c r="Q1168" s="48" t="s">
        <v>149</v>
      </c>
      <c r="R1168" s="48">
        <f>HEX2DEC(RIGHT(Table132321279[[#This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149</v>
      </c>
      <c r="P1169" s="48">
        <f>HEX2DEC(RIGHT(Table132321279[[#This Row],[h1]],8))</f>
        <v>0</v>
      </c>
      <c r="Q1169" s="48" t="s">
        <v>149</v>
      </c>
      <c r="R1169" s="48">
        <f>HEX2DEC(RIGHT(Table132321279[[#This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149</v>
      </c>
      <c r="P1170" s="48">
        <f>HEX2DEC(RIGHT(Table132321279[[#This Row],[h1]],8))</f>
        <v>0</v>
      </c>
      <c r="Q1170" s="48" t="s">
        <v>149</v>
      </c>
      <c r="R1170" s="48">
        <f>HEX2DEC(RIGHT(Table132321279[[#This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149</v>
      </c>
      <c r="P1171" s="48">
        <f>HEX2DEC(RIGHT(Table132321279[[#This Row],[h1]],8))</f>
        <v>0</v>
      </c>
      <c r="Q1171" s="48" t="s">
        <v>149</v>
      </c>
      <c r="R1171" s="48">
        <f>HEX2DEC(RIGHT(Table132321279[[#This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149</v>
      </c>
      <c r="P1172" s="48">
        <f>HEX2DEC(RIGHT(Table132321279[[#This Row],[h1]],8))</f>
        <v>0</v>
      </c>
      <c r="Q1172" s="48" t="s">
        <v>149</v>
      </c>
      <c r="R1172" s="48">
        <f>HEX2DEC(RIGHT(Table132321279[[#This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149</v>
      </c>
      <c r="P1173" s="48">
        <f>HEX2DEC(RIGHT(Table132321279[[#This Row],[h1]],8))</f>
        <v>0</v>
      </c>
      <c r="Q1173" s="48" t="s">
        <v>149</v>
      </c>
      <c r="R1173" s="48">
        <f>HEX2DEC(RIGHT(Table132321279[[#This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149</v>
      </c>
      <c r="P1174" s="48">
        <f>HEX2DEC(RIGHT(Table132321279[[#This Row],[h1]],8))</f>
        <v>0</v>
      </c>
      <c r="Q1174" s="48" t="s">
        <v>149</v>
      </c>
      <c r="R1174" s="48">
        <f>HEX2DEC(RIGHT(Table132321279[[#This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149</v>
      </c>
      <c r="P1175" s="48">
        <f>HEX2DEC(RIGHT(Table132321279[[#This Row],[h1]],8))</f>
        <v>0</v>
      </c>
      <c r="Q1175" s="48" t="s">
        <v>149</v>
      </c>
      <c r="R1175" s="48">
        <f>HEX2DEC(RIGHT(Table132321279[[#This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149</v>
      </c>
      <c r="P1176" s="48">
        <f>HEX2DEC(RIGHT(Table132321279[[#This Row],[h1]],8))</f>
        <v>0</v>
      </c>
      <c r="Q1176" s="48" t="s">
        <v>149</v>
      </c>
      <c r="R1176" s="48">
        <f>HEX2DEC(RIGHT(Table132321279[[#This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149</v>
      </c>
      <c r="P1177" s="48">
        <f>HEX2DEC(RIGHT(Table132321279[[#This Row],[h1]],8))</f>
        <v>0</v>
      </c>
      <c r="Q1177" s="48" t="s">
        <v>149</v>
      </c>
      <c r="R1177" s="48">
        <f>HEX2DEC(RIGHT(Table132321279[[#This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149</v>
      </c>
      <c r="P1178" s="48">
        <f>HEX2DEC(RIGHT(Table132321279[[#This Row],[h1]],8))</f>
        <v>0</v>
      </c>
      <c r="Q1178" s="48" t="s">
        <v>149</v>
      </c>
      <c r="R1178" s="48">
        <f>HEX2DEC(RIGHT(Table132321279[[#This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149</v>
      </c>
      <c r="P1179" s="48">
        <f>HEX2DEC(RIGHT(Table132321279[[#This Row],[h1]],8))</f>
        <v>0</v>
      </c>
      <c r="Q1179" s="48" t="s">
        <v>149</v>
      </c>
      <c r="R1179" s="48">
        <f>HEX2DEC(RIGHT(Table132321279[[#This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149</v>
      </c>
      <c r="P1180" s="48">
        <f>HEX2DEC(RIGHT(Table132321279[[#This Row],[h1]],8))</f>
        <v>0</v>
      </c>
      <c r="Q1180" s="48" t="s">
        <v>149</v>
      </c>
      <c r="R1180" s="48">
        <f>HEX2DEC(RIGHT(Table132321279[[#This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149</v>
      </c>
      <c r="P1181" s="48">
        <f>HEX2DEC(RIGHT(Table132321279[[#This Row],[h1]],8))</f>
        <v>0</v>
      </c>
      <c r="Q1181" s="48" t="s">
        <v>149</v>
      </c>
      <c r="R1181" s="48">
        <f>HEX2DEC(RIGHT(Table132321279[[#This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149</v>
      </c>
      <c r="P1182" s="48">
        <f>HEX2DEC(RIGHT(Table132321279[[#This Row],[h1]],8))</f>
        <v>0</v>
      </c>
      <c r="Q1182" s="48" t="s">
        <v>149</v>
      </c>
      <c r="R1182" s="48">
        <f>HEX2DEC(RIGHT(Table132321279[[#This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149</v>
      </c>
      <c r="P1183" s="48">
        <f>HEX2DEC(RIGHT(Table132321279[[#This Row],[h1]],8))</f>
        <v>0</v>
      </c>
      <c r="Q1183" s="48" t="s">
        <v>149</v>
      </c>
      <c r="R1183" s="48">
        <f>HEX2DEC(RIGHT(Table132321279[[#This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149</v>
      </c>
      <c r="P1184" s="48">
        <f>HEX2DEC(RIGHT(Table132321279[[#This Row],[h1]],8))</f>
        <v>0</v>
      </c>
      <c r="Q1184" s="48" t="s">
        <v>149</v>
      </c>
      <c r="R1184" s="48">
        <f>HEX2DEC(RIGHT(Table132321279[[#This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149</v>
      </c>
      <c r="P1185" s="48">
        <f>HEX2DEC(RIGHT(Table132321279[[#This Row],[h1]],8))</f>
        <v>0</v>
      </c>
      <c r="Q1185" s="48" t="s">
        <v>149</v>
      </c>
      <c r="R1185" s="48">
        <f>HEX2DEC(RIGHT(Table132321279[[#This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149</v>
      </c>
      <c r="P1186" s="48">
        <f>HEX2DEC(RIGHT(Table132321279[[#This Row],[h1]],8))</f>
        <v>0</v>
      </c>
      <c r="Q1186" s="48" t="s">
        <v>149</v>
      </c>
      <c r="R1186" s="48">
        <f>HEX2DEC(RIGHT(Table132321279[[#This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149</v>
      </c>
      <c r="P1187" s="48">
        <f>HEX2DEC(RIGHT(Table132321279[[#This Row],[h1]],8))</f>
        <v>0</v>
      </c>
      <c r="Q1187" s="48" t="s">
        <v>149</v>
      </c>
      <c r="R1187" s="48">
        <f>HEX2DEC(RIGHT(Table132321279[[#This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149</v>
      </c>
      <c r="P1188" s="48">
        <f>HEX2DEC(RIGHT(Table132321279[[#This Row],[h1]],8))</f>
        <v>0</v>
      </c>
      <c r="Q1188" s="48" t="s">
        <v>149</v>
      </c>
      <c r="R1188" s="48">
        <f>HEX2DEC(RIGHT(Table132321279[[#This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149</v>
      </c>
      <c r="P1189" s="48">
        <f>HEX2DEC(RIGHT(Table132321279[[#This Row],[h1]],8))</f>
        <v>0</v>
      </c>
      <c r="Q1189" s="48" t="s">
        <v>149</v>
      </c>
      <c r="R1189" s="48">
        <f>HEX2DEC(RIGHT(Table132321279[[#This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149</v>
      </c>
      <c r="P1190" s="48">
        <f>HEX2DEC(RIGHT(Table132321279[[#This Row],[h1]],8))</f>
        <v>0</v>
      </c>
      <c r="Q1190" s="48" t="s">
        <v>149</v>
      </c>
      <c r="R1190" s="48">
        <f>HEX2DEC(RIGHT(Table132321279[[#This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149</v>
      </c>
      <c r="P1191" s="48">
        <f>HEX2DEC(RIGHT(Table132321279[[#This Row],[h1]],8))</f>
        <v>0</v>
      </c>
      <c r="Q1191" s="48" t="s">
        <v>149</v>
      </c>
      <c r="R1191" s="48">
        <f>HEX2DEC(RIGHT(Table132321279[[#This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149</v>
      </c>
      <c r="P1192" s="48">
        <f>HEX2DEC(RIGHT(Table132321279[[#This Row],[h1]],8))</f>
        <v>0</v>
      </c>
      <c r="Q1192" s="48" t="s">
        <v>149</v>
      </c>
      <c r="R1192" s="48">
        <f>HEX2DEC(RIGHT(Table132321279[[#This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149</v>
      </c>
      <c r="P1193" s="48">
        <f>HEX2DEC(RIGHT(Table132321279[[#This Row],[h1]],8))</f>
        <v>0</v>
      </c>
      <c r="Q1193" s="48" t="s">
        <v>149</v>
      </c>
      <c r="R1193" s="48">
        <f>HEX2DEC(RIGHT(Table132321279[[#This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149</v>
      </c>
      <c r="P1194" s="48">
        <f>HEX2DEC(RIGHT(Table132321279[[#This Row],[h1]],8))</f>
        <v>0</v>
      </c>
      <c r="Q1194" s="48" t="s">
        <v>149</v>
      </c>
      <c r="R1194" s="48">
        <f>HEX2DEC(RIGHT(Table132321279[[#This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149</v>
      </c>
      <c r="P1195" s="48">
        <f>HEX2DEC(RIGHT(Table132321279[[#This Row],[h1]],8))</f>
        <v>0</v>
      </c>
      <c r="Q1195" s="48" t="s">
        <v>149</v>
      </c>
      <c r="R1195" s="48">
        <f>HEX2DEC(RIGHT(Table132321279[[#This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149</v>
      </c>
      <c r="P1196" s="48">
        <f>HEX2DEC(RIGHT(Table132321279[[#This Row],[h1]],8))</f>
        <v>0</v>
      </c>
      <c r="Q1196" s="48" t="s">
        <v>149</v>
      </c>
      <c r="R1196" s="48">
        <f>HEX2DEC(RIGHT(Table132321279[[#This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149</v>
      </c>
      <c r="P1197" s="48">
        <f>HEX2DEC(RIGHT(Table132321279[[#This Row],[h1]],8))</f>
        <v>0</v>
      </c>
      <c r="Q1197" s="48" t="s">
        <v>149</v>
      </c>
      <c r="R1197" s="48">
        <f>HEX2DEC(RIGHT(Table132321279[[#This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149</v>
      </c>
      <c r="P1198" s="48">
        <f>HEX2DEC(RIGHT(Table132321279[[#This Row],[h1]],8))</f>
        <v>0</v>
      </c>
      <c r="Q1198" s="48" t="s">
        <v>149</v>
      </c>
      <c r="R1198" s="48">
        <f>HEX2DEC(RIGHT(Table132321279[[#This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149</v>
      </c>
      <c r="P1199" s="48">
        <f>HEX2DEC(RIGHT(Table132321279[[#This Row],[h1]],8))</f>
        <v>0</v>
      </c>
      <c r="Q1199" s="48" t="s">
        <v>149</v>
      </c>
      <c r="R1199" s="48">
        <f>HEX2DEC(RIGHT(Table132321279[[#This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149</v>
      </c>
      <c r="P1200" s="48">
        <f>HEX2DEC(RIGHT(Table132321279[[#This Row],[h1]],8))</f>
        <v>0</v>
      </c>
      <c r="Q1200" s="48" t="s">
        <v>149</v>
      </c>
      <c r="R1200" s="48">
        <f>HEX2DEC(RIGHT(Table132321279[[#This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149</v>
      </c>
      <c r="P1201" s="48">
        <f>HEX2DEC(RIGHT(Table132321279[[#This Row],[h1]],8))</f>
        <v>0</v>
      </c>
      <c r="Q1201" s="48" t="s">
        <v>149</v>
      </c>
      <c r="R1201" s="48">
        <f>HEX2DEC(RIGHT(Table132321279[[#This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149</v>
      </c>
      <c r="P1202" s="48">
        <f>HEX2DEC(RIGHT(Table132321279[[#This Row],[h1]],8))</f>
        <v>0</v>
      </c>
      <c r="Q1202" s="48" t="s">
        <v>149</v>
      </c>
      <c r="R1202" s="48">
        <f>HEX2DEC(RIGHT(Table132321279[[#This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149</v>
      </c>
      <c r="P1203" s="48">
        <f>HEX2DEC(RIGHT(Table132321279[[#This Row],[h1]],8))</f>
        <v>0</v>
      </c>
      <c r="Q1203" s="48" t="s">
        <v>149</v>
      </c>
      <c r="R1203" s="48">
        <f>HEX2DEC(RIGHT(Table132321279[[#This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149</v>
      </c>
      <c r="P1204" s="48">
        <f>HEX2DEC(RIGHT(Table132321279[[#This Row],[h1]],8))</f>
        <v>0</v>
      </c>
      <c r="Q1204" s="48" t="s">
        <v>149</v>
      </c>
      <c r="R1204" s="48">
        <f>HEX2DEC(RIGHT(Table132321279[[#This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149</v>
      </c>
      <c r="P1205" s="48">
        <f>HEX2DEC(RIGHT(Table132321279[[#This Row],[h1]],8))</f>
        <v>0</v>
      </c>
      <c r="Q1205" s="48" t="s">
        <v>149</v>
      </c>
      <c r="R1205" s="48">
        <f>HEX2DEC(RIGHT(Table132321279[[#This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149</v>
      </c>
      <c r="P1206" s="48">
        <f>HEX2DEC(RIGHT(Table132321279[[#This Row],[h1]],8))</f>
        <v>0</v>
      </c>
      <c r="Q1206" s="48" t="s">
        <v>149</v>
      </c>
      <c r="R1206" s="48">
        <f>HEX2DEC(RIGHT(Table132321279[[#This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149</v>
      </c>
      <c r="P1207" s="48">
        <f>HEX2DEC(RIGHT(Table132321279[[#This Row],[h1]],8))</f>
        <v>0</v>
      </c>
      <c r="Q1207" s="48" t="s">
        <v>149</v>
      </c>
      <c r="R1207" s="48">
        <f>HEX2DEC(RIGHT(Table132321279[[#This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149</v>
      </c>
      <c r="P1208" s="48">
        <f>HEX2DEC(RIGHT(Table132321279[[#This Row],[h1]],8))</f>
        <v>0</v>
      </c>
      <c r="Q1208" s="48" t="s">
        <v>149</v>
      </c>
      <c r="R1208" s="48">
        <f>HEX2DEC(RIGHT(Table132321279[[#This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149</v>
      </c>
      <c r="P1209" s="48">
        <f>HEX2DEC(RIGHT(Table132321279[[#This Row],[h1]],8))</f>
        <v>0</v>
      </c>
      <c r="Q1209" s="48" t="s">
        <v>149</v>
      </c>
      <c r="R1209" s="48">
        <f>HEX2DEC(RIGHT(Table132321279[[#This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149</v>
      </c>
      <c r="P1210" s="48">
        <f>HEX2DEC(RIGHT(Table132321279[[#This Row],[h1]],8))</f>
        <v>0</v>
      </c>
      <c r="Q1210" s="48" t="s">
        <v>149</v>
      </c>
      <c r="R1210" s="48">
        <f>HEX2DEC(RIGHT(Table132321279[[#This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149</v>
      </c>
      <c r="P1211" s="48">
        <f>HEX2DEC(RIGHT(Table132321279[[#This Row],[h1]],8))</f>
        <v>0</v>
      </c>
      <c r="Q1211" s="48" t="s">
        <v>149</v>
      </c>
      <c r="R1211" s="48">
        <f>HEX2DEC(RIGHT(Table132321279[[#This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149</v>
      </c>
      <c r="P1212" s="48">
        <f>HEX2DEC(RIGHT(Table132321279[[#This Row],[h1]],8))</f>
        <v>0</v>
      </c>
      <c r="Q1212" s="48" t="s">
        <v>149</v>
      </c>
      <c r="R1212" s="48">
        <f>HEX2DEC(RIGHT(Table132321279[[#This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149</v>
      </c>
      <c r="P1213" s="48">
        <f>HEX2DEC(RIGHT(Table132321279[[#This Row],[h1]],8))</f>
        <v>0</v>
      </c>
      <c r="Q1213" s="48" t="s">
        <v>149</v>
      </c>
      <c r="R1213" s="48">
        <f>HEX2DEC(RIGHT(Table132321279[[#This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149</v>
      </c>
      <c r="P1214" s="48">
        <f>HEX2DEC(RIGHT(Table132321279[[#This Row],[h1]],8))</f>
        <v>0</v>
      </c>
      <c r="Q1214" s="48" t="s">
        <v>149</v>
      </c>
      <c r="R1214" s="48">
        <f>HEX2DEC(RIGHT(Table132321279[[#This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149</v>
      </c>
      <c r="P1215" s="48">
        <f>HEX2DEC(RIGHT(Table132321279[[#This Row],[h1]],8))</f>
        <v>0</v>
      </c>
      <c r="Q1215" s="48" t="s">
        <v>149</v>
      </c>
      <c r="R1215" s="48">
        <f>HEX2DEC(RIGHT(Table132321279[[#This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149</v>
      </c>
      <c r="P1216" s="48">
        <f>HEX2DEC(RIGHT(Table132321279[[#This Row],[h1]],8))</f>
        <v>0</v>
      </c>
      <c r="Q1216" s="48" t="s">
        <v>149</v>
      </c>
      <c r="R1216" s="48">
        <f>HEX2DEC(RIGHT(Table132321279[[#This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149</v>
      </c>
      <c r="P1217" s="48">
        <f>HEX2DEC(RIGHT(Table132321279[[#This Row],[h1]],8))</f>
        <v>0</v>
      </c>
      <c r="Q1217" s="48" t="s">
        <v>149</v>
      </c>
      <c r="R1217" s="48">
        <f>HEX2DEC(RIGHT(Table132321279[[#This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149</v>
      </c>
      <c r="P1218" s="48">
        <f>HEX2DEC(RIGHT(Table132321279[[#This Row],[h1]],8))</f>
        <v>0</v>
      </c>
      <c r="Q1218" s="48" t="s">
        <v>149</v>
      </c>
      <c r="R1218" s="48">
        <f>HEX2DEC(RIGHT(Table132321279[[#This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149</v>
      </c>
      <c r="P1219" s="48">
        <f>HEX2DEC(RIGHT(Table132321279[[#This Row],[h1]],8))</f>
        <v>0</v>
      </c>
      <c r="Q1219" s="48" t="s">
        <v>149</v>
      </c>
      <c r="R1219" s="48">
        <f>HEX2DEC(RIGHT(Table132321279[[#This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149</v>
      </c>
      <c r="P1220" s="48">
        <f>HEX2DEC(RIGHT(Table132321279[[#This Row],[h1]],8))</f>
        <v>0</v>
      </c>
      <c r="Q1220" s="48" t="s">
        <v>149</v>
      </c>
      <c r="R1220" s="48">
        <f>HEX2DEC(RIGHT(Table132321279[[#This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149</v>
      </c>
      <c r="P1221" s="48">
        <f>HEX2DEC(RIGHT(Table132321279[[#This Row],[h1]],8))</f>
        <v>0</v>
      </c>
      <c r="Q1221" s="48" t="s">
        <v>149</v>
      </c>
      <c r="R1221" s="48">
        <f>HEX2DEC(RIGHT(Table132321279[[#This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149</v>
      </c>
      <c r="P1222" s="48">
        <f>HEX2DEC(RIGHT(Table132321279[[#This Row],[h1]],8))</f>
        <v>0</v>
      </c>
      <c r="Q1222" s="48" t="s">
        <v>149</v>
      </c>
      <c r="R1222" s="48">
        <f>HEX2DEC(RIGHT(Table132321279[[#This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149</v>
      </c>
      <c r="P1223" s="48">
        <f>HEX2DEC(RIGHT(Table132321279[[#This Row],[h1]],8))</f>
        <v>0</v>
      </c>
      <c r="Q1223" s="48" t="s">
        <v>149</v>
      </c>
      <c r="R1223" s="48">
        <f>HEX2DEC(RIGHT(Table132321279[[#This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149</v>
      </c>
      <c r="P1224" s="48">
        <f>HEX2DEC(RIGHT(Table132321279[[#This Row],[h1]],8))</f>
        <v>0</v>
      </c>
      <c r="Q1224" s="48" t="s">
        <v>149</v>
      </c>
      <c r="R1224" s="48">
        <f>HEX2DEC(RIGHT(Table132321279[[#This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149</v>
      </c>
      <c r="P1225" s="48">
        <f>HEX2DEC(RIGHT(Table132321279[[#This Row],[h1]],8))</f>
        <v>0</v>
      </c>
      <c r="Q1225" s="48" t="s">
        <v>149</v>
      </c>
      <c r="R1225" s="48">
        <f>HEX2DEC(RIGHT(Table132321279[[#This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149</v>
      </c>
      <c r="P1226" s="48">
        <f>HEX2DEC(RIGHT(Table132321279[[#This Row],[h1]],8))</f>
        <v>0</v>
      </c>
      <c r="Q1226" s="48" t="s">
        <v>149</v>
      </c>
      <c r="R1226" s="48">
        <f>HEX2DEC(RIGHT(Table132321279[[#This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149</v>
      </c>
      <c r="P1227" s="48">
        <f>HEX2DEC(RIGHT(Table132321279[[#This Row],[h1]],8))</f>
        <v>0</v>
      </c>
      <c r="Q1227" s="48" t="s">
        <v>149</v>
      </c>
      <c r="R1227" s="48">
        <f>HEX2DEC(RIGHT(Table132321279[[#This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149</v>
      </c>
      <c r="P1228" s="48">
        <f>HEX2DEC(RIGHT(Table132321279[[#This Row],[h1]],8))</f>
        <v>0</v>
      </c>
      <c r="Q1228" s="48" t="s">
        <v>149</v>
      </c>
      <c r="R1228" s="48">
        <f>HEX2DEC(RIGHT(Table132321279[[#This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149</v>
      </c>
      <c r="P1229" s="48">
        <f>HEX2DEC(RIGHT(Table132321279[[#This Row],[h1]],8))</f>
        <v>0</v>
      </c>
      <c r="Q1229" s="48" t="s">
        <v>149</v>
      </c>
      <c r="R1229" s="48">
        <f>HEX2DEC(RIGHT(Table132321279[[#This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149</v>
      </c>
      <c r="P1230" s="48">
        <f>HEX2DEC(RIGHT(Table132321279[[#This Row],[h1]],8))</f>
        <v>0</v>
      </c>
      <c r="Q1230" s="48" t="s">
        <v>149</v>
      </c>
      <c r="R1230" s="48">
        <f>HEX2DEC(RIGHT(Table132321279[[#This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149</v>
      </c>
      <c r="P1231" s="48">
        <f>HEX2DEC(RIGHT(Table132321279[[#This Row],[h1]],8))</f>
        <v>0</v>
      </c>
      <c r="Q1231" s="48" t="s">
        <v>149</v>
      </c>
      <c r="R1231" s="48">
        <f>HEX2DEC(RIGHT(Table132321279[[#This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149</v>
      </c>
      <c r="P1232" s="48">
        <f>HEX2DEC(RIGHT(Table132321279[[#This Row],[h1]],8))</f>
        <v>0</v>
      </c>
      <c r="Q1232" s="48" t="s">
        <v>149</v>
      </c>
      <c r="R1232" s="48">
        <f>HEX2DEC(RIGHT(Table132321279[[#This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149</v>
      </c>
      <c r="P1233" s="48">
        <f>HEX2DEC(RIGHT(Table132321279[[#This Row],[h1]],8))</f>
        <v>0</v>
      </c>
      <c r="Q1233" s="48" t="s">
        <v>149</v>
      </c>
      <c r="R1233" s="48">
        <f>HEX2DEC(RIGHT(Table132321279[[#This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149</v>
      </c>
      <c r="P1234" s="48">
        <f>HEX2DEC(RIGHT(Table132321279[[#This Row],[h1]],8))</f>
        <v>0</v>
      </c>
      <c r="Q1234" s="48" t="s">
        <v>149</v>
      </c>
      <c r="R1234" s="48">
        <f>HEX2DEC(RIGHT(Table132321279[[#This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149</v>
      </c>
      <c r="P1235" s="48">
        <f>HEX2DEC(RIGHT(Table132321279[[#This Row],[h1]],8))</f>
        <v>0</v>
      </c>
      <c r="Q1235" s="48" t="s">
        <v>149</v>
      </c>
      <c r="R1235" s="48">
        <f>HEX2DEC(RIGHT(Table132321279[[#This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149</v>
      </c>
      <c r="P1236" s="48">
        <f>HEX2DEC(RIGHT(Table132321279[[#This Row],[h1]],8))</f>
        <v>0</v>
      </c>
      <c r="Q1236" s="48" t="s">
        <v>149</v>
      </c>
      <c r="R1236" s="48">
        <f>HEX2DEC(RIGHT(Table132321279[[#This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149</v>
      </c>
      <c r="P1237" s="48">
        <f>HEX2DEC(RIGHT(Table132321279[[#This Row],[h1]],8))</f>
        <v>0</v>
      </c>
      <c r="Q1237" s="48" t="s">
        <v>149</v>
      </c>
      <c r="R1237" s="48">
        <f>HEX2DEC(RIGHT(Table132321279[[#This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149</v>
      </c>
      <c r="P1238" s="48">
        <f>HEX2DEC(RIGHT(Table132321279[[#This Row],[h1]],8))</f>
        <v>0</v>
      </c>
      <c r="Q1238" s="48" t="s">
        <v>149</v>
      </c>
      <c r="R1238" s="48">
        <f>HEX2DEC(RIGHT(Table132321279[[#This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149</v>
      </c>
      <c r="P1239" s="48">
        <f>HEX2DEC(RIGHT(Table132321279[[#This Row],[h1]],8))</f>
        <v>0</v>
      </c>
      <c r="Q1239" s="48" t="s">
        <v>149</v>
      </c>
      <c r="R1239" s="48">
        <f>HEX2DEC(RIGHT(Table132321279[[#This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149</v>
      </c>
      <c r="P1240" s="48">
        <f>HEX2DEC(RIGHT(Table132321279[[#This Row],[h1]],8))</f>
        <v>0</v>
      </c>
      <c r="Q1240" s="48" t="s">
        <v>149</v>
      </c>
      <c r="R1240" s="48">
        <f>HEX2DEC(RIGHT(Table132321279[[#This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149</v>
      </c>
      <c r="P1241" s="48">
        <f>HEX2DEC(RIGHT(Table132321279[[#This Row],[h1]],8))</f>
        <v>0</v>
      </c>
      <c r="Q1241" s="48" t="s">
        <v>149</v>
      </c>
      <c r="R1241" s="48">
        <f>HEX2DEC(RIGHT(Table132321279[[#This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149</v>
      </c>
      <c r="P1242" s="48">
        <f>HEX2DEC(RIGHT(Table132321279[[#This Row],[h1]],8))</f>
        <v>0</v>
      </c>
      <c r="Q1242" s="48" t="s">
        <v>149</v>
      </c>
      <c r="R1242" s="48">
        <f>HEX2DEC(RIGHT(Table132321279[[#This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149</v>
      </c>
      <c r="P1243" s="48">
        <f>HEX2DEC(RIGHT(Table132321279[[#This Row],[h1]],8))</f>
        <v>0</v>
      </c>
      <c r="Q1243" s="48" t="s">
        <v>149</v>
      </c>
      <c r="R1243" s="48">
        <f>HEX2DEC(RIGHT(Table132321279[[#This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149</v>
      </c>
      <c r="P1244" s="48">
        <f>HEX2DEC(RIGHT(Table132321279[[#This Row],[h1]],8))</f>
        <v>0</v>
      </c>
      <c r="Q1244" s="48" t="s">
        <v>149</v>
      </c>
      <c r="R1244" s="48">
        <f>HEX2DEC(RIGHT(Table132321279[[#This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149</v>
      </c>
      <c r="P1245" s="48">
        <f>HEX2DEC(RIGHT(Table132321279[[#This Row],[h1]],8))</f>
        <v>0</v>
      </c>
      <c r="Q1245" s="48" t="s">
        <v>149</v>
      </c>
      <c r="R1245" s="48">
        <f>HEX2DEC(RIGHT(Table132321279[[#This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149</v>
      </c>
      <c r="P1246" s="48">
        <f>HEX2DEC(RIGHT(Table132321279[[#This Row],[h1]],8))</f>
        <v>0</v>
      </c>
      <c r="Q1246" s="48" t="s">
        <v>149</v>
      </c>
      <c r="R1246" s="48">
        <f>HEX2DEC(RIGHT(Table132321279[[#This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149</v>
      </c>
      <c r="P1247" s="48">
        <f>HEX2DEC(RIGHT(Table132321279[[#This Row],[h1]],8))</f>
        <v>0</v>
      </c>
      <c r="Q1247" s="48" t="s">
        <v>149</v>
      </c>
      <c r="R1247" s="48">
        <f>HEX2DEC(RIGHT(Table132321279[[#This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149</v>
      </c>
      <c r="P1248" s="48">
        <f>HEX2DEC(RIGHT(Table132321279[[#This Row],[h1]],8))</f>
        <v>0</v>
      </c>
      <c r="Q1248" s="48" t="s">
        <v>149</v>
      </c>
      <c r="R1248" s="48">
        <f>HEX2DEC(RIGHT(Table132321279[[#This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149</v>
      </c>
      <c r="P1249" s="48">
        <f>HEX2DEC(RIGHT(Table132321279[[#This Row],[h1]],8))</f>
        <v>0</v>
      </c>
      <c r="Q1249" s="48" t="s">
        <v>149</v>
      </c>
      <c r="R1249" s="48">
        <f>HEX2DEC(RIGHT(Table132321279[[#This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149</v>
      </c>
      <c r="P1250" s="48">
        <f>HEX2DEC(RIGHT(Table132321279[[#This Row],[h1]],8))</f>
        <v>0</v>
      </c>
      <c r="Q1250" s="48" t="s">
        <v>149</v>
      </c>
      <c r="R1250" s="48">
        <f>HEX2DEC(RIGHT(Table132321279[[#This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149</v>
      </c>
      <c r="P1251" s="48">
        <f>HEX2DEC(RIGHT(Table132321279[[#This Row],[h1]],8))</f>
        <v>0</v>
      </c>
      <c r="Q1251" s="48" t="s">
        <v>149</v>
      </c>
      <c r="R1251" s="48">
        <f>HEX2DEC(RIGHT(Table132321279[[#This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149</v>
      </c>
      <c r="P1252" s="48">
        <f>HEX2DEC(RIGHT(Table132321279[[#This Row],[h1]],8))</f>
        <v>0</v>
      </c>
      <c r="Q1252" s="48" t="s">
        <v>149</v>
      </c>
      <c r="R1252" s="48">
        <f>HEX2DEC(RIGHT(Table132321279[[#This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149</v>
      </c>
      <c r="P1253" s="48">
        <f>HEX2DEC(RIGHT(Table132321279[[#This Row],[h1]],8))</f>
        <v>0</v>
      </c>
      <c r="Q1253" s="48" t="s">
        <v>149</v>
      </c>
      <c r="R1253" s="48">
        <f>HEX2DEC(RIGHT(Table132321279[[#This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149</v>
      </c>
      <c r="P1254" s="48">
        <f>HEX2DEC(RIGHT(Table132321279[[#This Row],[h1]],8))</f>
        <v>0</v>
      </c>
      <c r="Q1254" s="48" t="s">
        <v>149</v>
      </c>
      <c r="R1254" s="48">
        <f>HEX2DEC(RIGHT(Table132321279[[#This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149</v>
      </c>
      <c r="P1255" s="48">
        <f>HEX2DEC(RIGHT(Table132321279[[#This Row],[h1]],8))</f>
        <v>0</v>
      </c>
      <c r="Q1255" s="48" t="s">
        <v>149</v>
      </c>
      <c r="R1255" s="48">
        <f>HEX2DEC(RIGHT(Table132321279[[#This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149</v>
      </c>
      <c r="P1256" s="48">
        <f>HEX2DEC(RIGHT(Table132321279[[#This Row],[h1]],8))</f>
        <v>0</v>
      </c>
      <c r="Q1256" s="48" t="s">
        <v>149</v>
      </c>
      <c r="R1256" s="48">
        <f>HEX2DEC(RIGHT(Table132321279[[#This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149</v>
      </c>
      <c r="P1257" s="48">
        <f>HEX2DEC(RIGHT(Table132321279[[#This Row],[h1]],8))</f>
        <v>0</v>
      </c>
      <c r="Q1257" s="48" t="s">
        <v>149</v>
      </c>
      <c r="R1257" s="48">
        <f>HEX2DEC(RIGHT(Table132321279[[#This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149</v>
      </c>
      <c r="P1258" s="48">
        <f>HEX2DEC(RIGHT(Table132321279[[#This Row],[h1]],8))</f>
        <v>0</v>
      </c>
      <c r="Q1258" s="48" t="s">
        <v>149</v>
      </c>
      <c r="R1258" s="48">
        <f>HEX2DEC(RIGHT(Table132321279[[#This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149</v>
      </c>
      <c r="P1259" s="48">
        <f>HEX2DEC(RIGHT(Table132321279[[#This Row],[h1]],8))</f>
        <v>0</v>
      </c>
      <c r="Q1259" s="48" t="s">
        <v>149</v>
      </c>
      <c r="R1259" s="48">
        <f>HEX2DEC(RIGHT(Table132321279[[#This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149</v>
      </c>
      <c r="P1260" s="48">
        <f>HEX2DEC(RIGHT(Table132321279[[#This Row],[h1]],8))</f>
        <v>0</v>
      </c>
      <c r="Q1260" s="48" t="s">
        <v>149</v>
      </c>
      <c r="R1260" s="48">
        <f>HEX2DEC(RIGHT(Table132321279[[#This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149</v>
      </c>
      <c r="P1261" s="48">
        <f>HEX2DEC(RIGHT(Table132321279[[#This Row],[h1]],8))</f>
        <v>0</v>
      </c>
      <c r="Q1261" s="48" t="s">
        <v>149</v>
      </c>
      <c r="R1261" s="48">
        <f>HEX2DEC(RIGHT(Table132321279[[#This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149</v>
      </c>
      <c r="P1262" s="48">
        <f>HEX2DEC(RIGHT(Table132321279[[#This Row],[h1]],8))</f>
        <v>0</v>
      </c>
      <c r="Q1262" s="48" t="s">
        <v>149</v>
      </c>
      <c r="R1262" s="48">
        <f>HEX2DEC(RIGHT(Table132321279[[#This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149</v>
      </c>
      <c r="P1263" s="48">
        <f>HEX2DEC(RIGHT(Table132321279[[#This Row],[h1]],8))</f>
        <v>0</v>
      </c>
      <c r="Q1263" s="48" t="s">
        <v>149</v>
      </c>
      <c r="R1263" s="48">
        <f>HEX2DEC(RIGHT(Table132321279[[#This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149</v>
      </c>
      <c r="P1264" s="48">
        <f>HEX2DEC(RIGHT(Table132321279[[#This Row],[h1]],8))</f>
        <v>0</v>
      </c>
      <c r="Q1264" s="48" t="s">
        <v>149</v>
      </c>
      <c r="R1264" s="48">
        <f>HEX2DEC(RIGHT(Table132321279[[#This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149</v>
      </c>
      <c r="P1265" s="48">
        <f>HEX2DEC(RIGHT(Table132321279[[#This Row],[h1]],8))</f>
        <v>0</v>
      </c>
      <c r="Q1265" s="48" t="s">
        <v>149</v>
      </c>
      <c r="R1265" s="48">
        <f>HEX2DEC(RIGHT(Table132321279[[#This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149</v>
      </c>
      <c r="P1266" s="48">
        <f>HEX2DEC(RIGHT(Table132321279[[#This Row],[h1]],8))</f>
        <v>0</v>
      </c>
      <c r="Q1266" s="48" t="s">
        <v>149</v>
      </c>
      <c r="R1266" s="48">
        <f>HEX2DEC(RIGHT(Table132321279[[#This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149</v>
      </c>
      <c r="P1267" s="48">
        <f>HEX2DEC(RIGHT(Table132321279[[#This Row],[h1]],8))</f>
        <v>0</v>
      </c>
      <c r="Q1267" s="48" t="s">
        <v>149</v>
      </c>
      <c r="R1267" s="48">
        <f>HEX2DEC(RIGHT(Table132321279[[#This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149</v>
      </c>
      <c r="P1268" s="48">
        <f>HEX2DEC(RIGHT(Table132321279[[#This Row],[h1]],8))</f>
        <v>0</v>
      </c>
      <c r="Q1268" s="48" t="s">
        <v>149</v>
      </c>
      <c r="R1268" s="48">
        <f>HEX2DEC(RIGHT(Table132321279[[#This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149</v>
      </c>
      <c r="P1269" s="48">
        <f>HEX2DEC(RIGHT(Table132321279[[#This Row],[h1]],8))</f>
        <v>0</v>
      </c>
      <c r="Q1269" s="48" t="s">
        <v>149</v>
      </c>
      <c r="R1269" s="48">
        <f>HEX2DEC(RIGHT(Table132321279[[#This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149</v>
      </c>
      <c r="P1270" s="48">
        <f>HEX2DEC(RIGHT(Table132321279[[#This Row],[h1]],8))</f>
        <v>0</v>
      </c>
      <c r="Q1270" s="48" t="s">
        <v>149</v>
      </c>
      <c r="R1270" s="48">
        <f>HEX2DEC(RIGHT(Table132321279[[#This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149</v>
      </c>
      <c r="P1271" s="48">
        <f>HEX2DEC(RIGHT(Table132321279[[#This Row],[h1]],8))</f>
        <v>0</v>
      </c>
      <c r="Q1271" s="48" t="s">
        <v>149</v>
      </c>
      <c r="R1271" s="48">
        <f>HEX2DEC(RIGHT(Table132321279[[#This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149</v>
      </c>
      <c r="P1272" s="48">
        <f>HEX2DEC(RIGHT(Table132321279[[#This Row],[h1]],8))</f>
        <v>0</v>
      </c>
      <c r="Q1272" s="48" t="s">
        <v>149</v>
      </c>
      <c r="R1272" s="48">
        <f>HEX2DEC(RIGHT(Table132321279[[#This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149</v>
      </c>
      <c r="P1273" s="48">
        <f>HEX2DEC(RIGHT(Table132321279[[#This Row],[h1]],8))</f>
        <v>0</v>
      </c>
      <c r="Q1273" s="48" t="s">
        <v>149</v>
      </c>
      <c r="R1273" s="48">
        <f>HEX2DEC(RIGHT(Table132321279[[#This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149</v>
      </c>
      <c r="P1274" s="48">
        <f>HEX2DEC(RIGHT(Table132321279[[#This Row],[h1]],8))</f>
        <v>0</v>
      </c>
      <c r="Q1274" s="48" t="s">
        <v>149</v>
      </c>
      <c r="R1274" s="48">
        <f>HEX2DEC(RIGHT(Table132321279[[#This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149</v>
      </c>
      <c r="P1275" s="48">
        <f>HEX2DEC(RIGHT(Table132321279[[#This Row],[h1]],8))</f>
        <v>0</v>
      </c>
      <c r="Q1275" s="48" t="s">
        <v>149</v>
      </c>
      <c r="R1275" s="48">
        <f>HEX2DEC(RIGHT(Table132321279[[#This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149</v>
      </c>
      <c r="P1276" s="48">
        <f>HEX2DEC(RIGHT(Table132321279[[#This Row],[h1]],8))</f>
        <v>0</v>
      </c>
      <c r="Q1276" s="48" t="s">
        <v>149</v>
      </c>
      <c r="R1276" s="48">
        <f>HEX2DEC(RIGHT(Table132321279[[#This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149</v>
      </c>
      <c r="P1277" s="48">
        <f>HEX2DEC(RIGHT(Table132321279[[#This Row],[h1]],8))</f>
        <v>0</v>
      </c>
      <c r="Q1277" s="48" t="s">
        <v>149</v>
      </c>
      <c r="R1277" s="48">
        <f>HEX2DEC(RIGHT(Table132321279[[#This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149</v>
      </c>
      <c r="P1278" s="48">
        <f>HEX2DEC(RIGHT(Table132321279[[#This Row],[h1]],8))</f>
        <v>0</v>
      </c>
      <c r="Q1278" s="48" t="s">
        <v>149</v>
      </c>
      <c r="R1278" s="48">
        <f>HEX2DEC(RIGHT(Table132321279[[#This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149</v>
      </c>
      <c r="P1279" s="48">
        <f>HEX2DEC(RIGHT(Table132321279[[#This Row],[h1]],8))</f>
        <v>0</v>
      </c>
      <c r="Q1279" s="48" t="s">
        <v>149</v>
      </c>
      <c r="R1279" s="48">
        <f>HEX2DEC(RIGHT(Table132321279[[#This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149</v>
      </c>
      <c r="P1280" s="48">
        <f>HEX2DEC(RIGHT(Table132321279[[#This Row],[h1]],8))</f>
        <v>0</v>
      </c>
      <c r="Q1280" s="48" t="s">
        <v>149</v>
      </c>
      <c r="R1280" s="48">
        <f>HEX2DEC(RIGHT(Table132321279[[#This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149</v>
      </c>
      <c r="P1281" s="48">
        <f>HEX2DEC(RIGHT(Table132321279[[#This Row],[h1]],8))</f>
        <v>0</v>
      </c>
      <c r="Q1281" s="48" t="s">
        <v>149</v>
      </c>
      <c r="R1281" s="48">
        <f>HEX2DEC(RIGHT(Table132321279[[#This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149</v>
      </c>
      <c r="P1282" s="48">
        <f>HEX2DEC(RIGHT(Table132321279[[#This Row],[h1]],8))</f>
        <v>0</v>
      </c>
      <c r="Q1282" s="48" t="s">
        <v>149</v>
      </c>
      <c r="R1282" s="48">
        <f>HEX2DEC(RIGHT(Table132321279[[#This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149</v>
      </c>
      <c r="P1283" s="48">
        <f>HEX2DEC(RIGHT(Table132321279[[#This Row],[h1]],8))</f>
        <v>0</v>
      </c>
      <c r="Q1283" s="48" t="s">
        <v>149</v>
      </c>
      <c r="R1283" s="48">
        <f>HEX2DEC(RIGHT(Table132321279[[#This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149</v>
      </c>
      <c r="P1284" s="48">
        <f>HEX2DEC(RIGHT(Table132321279[[#This Row],[h1]],8))</f>
        <v>0</v>
      </c>
      <c r="Q1284" s="48" t="s">
        <v>149</v>
      </c>
      <c r="R1284" s="48">
        <f>HEX2DEC(RIGHT(Table132321279[[#This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149</v>
      </c>
      <c r="P1285" s="48">
        <f>HEX2DEC(RIGHT(Table132321279[[#This Row],[h1]],8))</f>
        <v>0</v>
      </c>
      <c r="Q1285" s="48" t="s">
        <v>149</v>
      </c>
      <c r="R1285" s="48">
        <f>HEX2DEC(RIGHT(Table132321279[[#This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149</v>
      </c>
      <c r="P1286" s="48">
        <f>HEX2DEC(RIGHT(Table132321279[[#This Row],[h1]],8))</f>
        <v>0</v>
      </c>
      <c r="Q1286" s="48" t="s">
        <v>149</v>
      </c>
      <c r="R1286" s="48">
        <f>HEX2DEC(RIGHT(Table132321279[[#This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149</v>
      </c>
      <c r="P1287" s="48">
        <f>HEX2DEC(RIGHT(Table132321279[[#This Row],[h1]],8))</f>
        <v>0</v>
      </c>
      <c r="Q1287" s="48" t="s">
        <v>149</v>
      </c>
      <c r="R1287" s="48">
        <f>HEX2DEC(RIGHT(Table132321279[[#This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149</v>
      </c>
      <c r="P1288" s="48">
        <f>HEX2DEC(RIGHT(Table132321279[[#This Row],[h1]],8))</f>
        <v>0</v>
      </c>
      <c r="Q1288" s="48" t="s">
        <v>149</v>
      </c>
      <c r="R1288" s="48">
        <f>HEX2DEC(RIGHT(Table132321279[[#This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149</v>
      </c>
      <c r="P1289" s="48">
        <f>HEX2DEC(RIGHT(Table132321279[[#This Row],[h1]],8))</f>
        <v>0</v>
      </c>
      <c r="Q1289" s="48" t="s">
        <v>149</v>
      </c>
      <c r="R1289" s="48">
        <f>HEX2DEC(RIGHT(Table132321279[[#This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149</v>
      </c>
      <c r="P1290" s="48">
        <f>HEX2DEC(RIGHT(Table132321279[[#This Row],[h1]],8))</f>
        <v>0</v>
      </c>
      <c r="Q1290" s="48" t="s">
        <v>149</v>
      </c>
      <c r="R1290" s="48">
        <f>HEX2DEC(RIGHT(Table132321279[[#This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149</v>
      </c>
      <c r="P1291" s="48">
        <f>HEX2DEC(RIGHT(Table132321279[[#This Row],[h1]],8))</f>
        <v>0</v>
      </c>
      <c r="Q1291" s="48" t="s">
        <v>149</v>
      </c>
      <c r="R1291" s="48">
        <f>HEX2DEC(RIGHT(Table132321279[[#This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149</v>
      </c>
      <c r="P1292" s="48">
        <f>HEX2DEC(RIGHT(Table132321279[[#This Row],[h1]],8))</f>
        <v>0</v>
      </c>
      <c r="Q1292" s="48" t="s">
        <v>149</v>
      </c>
      <c r="R1292" s="48">
        <f>HEX2DEC(RIGHT(Table132321279[[#This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149</v>
      </c>
      <c r="P1293" s="48">
        <f>HEX2DEC(RIGHT(Table132321279[[#This Row],[h1]],8))</f>
        <v>0</v>
      </c>
      <c r="Q1293" s="48" t="s">
        <v>149</v>
      </c>
      <c r="R1293" s="48">
        <f>HEX2DEC(RIGHT(Table132321279[[#This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149</v>
      </c>
      <c r="P1294" s="48">
        <f>HEX2DEC(RIGHT(Table132321279[[#This Row],[h1]],8))</f>
        <v>0</v>
      </c>
      <c r="Q1294" s="48" t="s">
        <v>149</v>
      </c>
      <c r="R1294" s="48">
        <f>HEX2DEC(RIGHT(Table132321279[[#This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149</v>
      </c>
      <c r="P1295" s="48">
        <f>HEX2DEC(RIGHT(Table132321279[[#This Row],[h1]],8))</f>
        <v>0</v>
      </c>
      <c r="Q1295" s="48" t="s">
        <v>149</v>
      </c>
      <c r="R1295" s="48">
        <f>HEX2DEC(RIGHT(Table132321279[[#This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149</v>
      </c>
      <c r="P1296" s="48">
        <f>HEX2DEC(RIGHT(Table132321279[[#This Row],[h1]],8))</f>
        <v>0</v>
      </c>
      <c r="Q1296" s="48" t="s">
        <v>149</v>
      </c>
      <c r="R1296" s="48">
        <f>HEX2DEC(RIGHT(Table132321279[[#This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149</v>
      </c>
      <c r="P1297" s="48">
        <f>HEX2DEC(RIGHT(Table132321279[[#This Row],[h1]],8))</f>
        <v>0</v>
      </c>
      <c r="Q1297" s="48" t="s">
        <v>149</v>
      </c>
      <c r="R1297" s="48">
        <f>HEX2DEC(RIGHT(Table132321279[[#This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149</v>
      </c>
      <c r="P1298" s="48">
        <f>HEX2DEC(RIGHT(Table132321279[[#This Row],[h1]],8))</f>
        <v>0</v>
      </c>
      <c r="Q1298" s="48" t="s">
        <v>149</v>
      </c>
      <c r="R1298" s="48">
        <f>HEX2DEC(RIGHT(Table132321279[[#This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149</v>
      </c>
      <c r="P1299" s="48">
        <f>HEX2DEC(RIGHT(Table132321279[[#This Row],[h1]],8))</f>
        <v>0</v>
      </c>
      <c r="Q1299" s="48" t="s">
        <v>149</v>
      </c>
      <c r="R1299" s="48">
        <f>HEX2DEC(RIGHT(Table132321279[[#This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149</v>
      </c>
      <c r="P1300" s="48">
        <f>HEX2DEC(RIGHT(Table132321279[[#This Row],[h1]],8))</f>
        <v>0</v>
      </c>
      <c r="Q1300" s="48" t="s">
        <v>149</v>
      </c>
      <c r="R1300" s="48">
        <f>HEX2DEC(RIGHT(Table132321279[[#This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149</v>
      </c>
      <c r="P1301" s="48">
        <f>HEX2DEC(RIGHT(Table132321279[[#This Row],[h1]],8))</f>
        <v>0</v>
      </c>
      <c r="Q1301" s="48" t="s">
        <v>149</v>
      </c>
      <c r="R1301" s="48">
        <f>HEX2DEC(RIGHT(Table132321279[[#This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149</v>
      </c>
      <c r="P1302" s="48">
        <f>HEX2DEC(RIGHT(Table132321279[[#This Row],[h1]],8))</f>
        <v>0</v>
      </c>
      <c r="Q1302" s="48" t="s">
        <v>149</v>
      </c>
      <c r="R1302" s="48">
        <f>HEX2DEC(RIGHT(Table132321279[[#This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149</v>
      </c>
      <c r="P1303" s="48">
        <f>HEX2DEC(RIGHT(Table132321279[[#This Row],[h1]],8))</f>
        <v>0</v>
      </c>
      <c r="Q1303" s="48" t="s">
        <v>149</v>
      </c>
      <c r="R1303" s="48">
        <f>HEX2DEC(RIGHT(Table132321279[[#This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149</v>
      </c>
      <c r="P1304" s="48">
        <f>HEX2DEC(RIGHT(Table132321279[[#This Row],[h1]],8))</f>
        <v>0</v>
      </c>
      <c r="Q1304" s="48" t="s">
        <v>149</v>
      </c>
      <c r="R1304" s="48">
        <f>HEX2DEC(RIGHT(Table132321279[[#This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149</v>
      </c>
      <c r="P1305" s="48">
        <f>HEX2DEC(RIGHT(Table132321279[[#This Row],[h1]],8))</f>
        <v>0</v>
      </c>
      <c r="Q1305" s="48" t="s">
        <v>149</v>
      </c>
      <c r="R1305" s="48">
        <f>HEX2DEC(RIGHT(Table132321279[[#This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149</v>
      </c>
      <c r="P1306" s="48">
        <f>HEX2DEC(RIGHT(Table132321279[[#This Row],[h1]],8))</f>
        <v>0</v>
      </c>
      <c r="Q1306" s="48" t="s">
        <v>149</v>
      </c>
      <c r="R1306" s="48">
        <f>HEX2DEC(RIGHT(Table132321279[[#This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149</v>
      </c>
      <c r="P1307" s="48">
        <f>HEX2DEC(RIGHT(Table132321279[[#This Row],[h1]],8))</f>
        <v>0</v>
      </c>
      <c r="Q1307" s="48" t="s">
        <v>149</v>
      </c>
      <c r="R1307" s="48">
        <f>HEX2DEC(RIGHT(Table132321279[[#This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149</v>
      </c>
      <c r="P1308" s="48">
        <f>HEX2DEC(RIGHT(Table132321279[[#This Row],[h1]],8))</f>
        <v>0</v>
      </c>
      <c r="Q1308" s="48" t="s">
        <v>149</v>
      </c>
      <c r="R1308" s="48">
        <f>HEX2DEC(RIGHT(Table132321279[[#This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149</v>
      </c>
      <c r="P1309" s="48">
        <f>HEX2DEC(RIGHT(Table132321279[[#This Row],[h1]],8))</f>
        <v>0</v>
      </c>
      <c r="Q1309" s="48" t="s">
        <v>149</v>
      </c>
      <c r="R1309" s="48">
        <f>HEX2DEC(RIGHT(Table132321279[[#This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149</v>
      </c>
      <c r="P1310" s="48">
        <f>HEX2DEC(RIGHT(Table132321279[[#This Row],[h1]],8))</f>
        <v>0</v>
      </c>
      <c r="Q1310" s="48" t="s">
        <v>149</v>
      </c>
      <c r="R1310" s="48">
        <f>HEX2DEC(RIGHT(Table132321279[[#This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149</v>
      </c>
      <c r="P1311" s="48">
        <f>HEX2DEC(RIGHT(Table132321279[[#This Row],[h1]],8))</f>
        <v>0</v>
      </c>
      <c r="Q1311" s="48" t="s">
        <v>149</v>
      </c>
      <c r="R1311" s="48">
        <f>HEX2DEC(RIGHT(Table132321279[[#This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149</v>
      </c>
      <c r="P1312" s="48">
        <f>HEX2DEC(RIGHT(Table132321279[[#This Row],[h1]],8))</f>
        <v>0</v>
      </c>
      <c r="Q1312" s="48" t="s">
        <v>149</v>
      </c>
      <c r="R1312" s="48">
        <f>HEX2DEC(RIGHT(Table132321279[[#This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149</v>
      </c>
      <c r="P1313" s="48">
        <f>HEX2DEC(RIGHT(Table132321279[[#This Row],[h1]],8))</f>
        <v>0</v>
      </c>
      <c r="Q1313" s="48" t="s">
        <v>149</v>
      </c>
      <c r="R1313" s="48">
        <f>HEX2DEC(RIGHT(Table132321279[[#This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149</v>
      </c>
      <c r="P1314" s="48">
        <f>HEX2DEC(RIGHT(Table132321279[[#This Row],[h1]],8))</f>
        <v>0</v>
      </c>
      <c r="Q1314" s="48" t="s">
        <v>149</v>
      </c>
      <c r="R1314" s="48">
        <f>HEX2DEC(RIGHT(Table132321279[[#This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149</v>
      </c>
      <c r="P1315" s="48">
        <f>HEX2DEC(RIGHT(Table132321279[[#This Row],[h1]],8))</f>
        <v>0</v>
      </c>
      <c r="Q1315" s="48" t="s">
        <v>149</v>
      </c>
      <c r="R1315" s="48">
        <f>HEX2DEC(RIGHT(Table132321279[[#This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149</v>
      </c>
      <c r="P1316" s="48">
        <f>HEX2DEC(RIGHT(Table132321279[[#This Row],[h1]],8))</f>
        <v>0</v>
      </c>
      <c r="Q1316" s="48" t="s">
        <v>149</v>
      </c>
      <c r="R1316" s="48">
        <f>HEX2DEC(RIGHT(Table132321279[[#This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149</v>
      </c>
      <c r="P1317" s="48">
        <f>HEX2DEC(RIGHT(Table132321279[[#This Row],[h1]],8))</f>
        <v>0</v>
      </c>
      <c r="Q1317" s="48" t="s">
        <v>149</v>
      </c>
      <c r="R1317" s="48">
        <f>HEX2DEC(RIGHT(Table132321279[[#This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149</v>
      </c>
      <c r="P1318" s="48">
        <f>HEX2DEC(RIGHT(Table132321279[[#This Row],[h1]],8))</f>
        <v>0</v>
      </c>
      <c r="Q1318" s="48" t="s">
        <v>149</v>
      </c>
      <c r="R1318" s="48">
        <f>HEX2DEC(RIGHT(Table132321279[[#This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149</v>
      </c>
      <c r="P1319" s="48">
        <f>HEX2DEC(RIGHT(Table132321279[[#This Row],[h1]],8))</f>
        <v>0</v>
      </c>
      <c r="Q1319" s="48" t="s">
        <v>149</v>
      </c>
      <c r="R1319" s="48">
        <f>HEX2DEC(RIGHT(Table132321279[[#This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149</v>
      </c>
      <c r="P1320" s="48">
        <f>HEX2DEC(RIGHT(Table132321279[[#This Row],[h1]],8))</f>
        <v>0</v>
      </c>
      <c r="Q1320" s="48" t="s">
        <v>149</v>
      </c>
      <c r="R1320" s="48">
        <f>HEX2DEC(RIGHT(Table132321279[[#This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149</v>
      </c>
      <c r="P1321" s="48">
        <f>HEX2DEC(RIGHT(Table132321279[[#This Row],[h1]],8))</f>
        <v>0</v>
      </c>
      <c r="Q1321" s="48" t="s">
        <v>149</v>
      </c>
      <c r="R1321" s="48">
        <f>HEX2DEC(RIGHT(Table132321279[[#This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149</v>
      </c>
      <c r="P1322" s="48">
        <f>HEX2DEC(RIGHT(Table132321279[[#This Row],[h1]],8))</f>
        <v>0</v>
      </c>
      <c r="Q1322" s="48" t="s">
        <v>149</v>
      </c>
      <c r="R1322" s="48">
        <f>HEX2DEC(RIGHT(Table132321279[[#This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149</v>
      </c>
      <c r="P1323" s="48">
        <f>HEX2DEC(RIGHT(Table132321279[[#This Row],[h1]],8))</f>
        <v>0</v>
      </c>
      <c r="Q1323" s="48" t="s">
        <v>149</v>
      </c>
      <c r="R1323" s="48">
        <f>HEX2DEC(RIGHT(Table132321279[[#This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149</v>
      </c>
      <c r="P1324" s="48">
        <f>HEX2DEC(RIGHT(Table132321279[[#This Row],[h1]],8))</f>
        <v>0</v>
      </c>
      <c r="Q1324" s="48" t="s">
        <v>149</v>
      </c>
      <c r="R1324" s="48">
        <f>HEX2DEC(RIGHT(Table132321279[[#This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149</v>
      </c>
      <c r="P1325" s="48">
        <f>HEX2DEC(RIGHT(Table132321279[[#This Row],[h1]],8))</f>
        <v>0</v>
      </c>
      <c r="Q1325" s="48" t="s">
        <v>149</v>
      </c>
      <c r="R1325" s="48">
        <f>HEX2DEC(RIGHT(Table132321279[[#This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149</v>
      </c>
      <c r="P1326" s="48">
        <f>HEX2DEC(RIGHT(Table132321279[[#This Row],[h1]],8))</f>
        <v>0</v>
      </c>
      <c r="Q1326" s="48" t="s">
        <v>149</v>
      </c>
      <c r="R1326" s="48">
        <f>HEX2DEC(RIGHT(Table132321279[[#This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149</v>
      </c>
      <c r="P1327" s="48">
        <f>HEX2DEC(RIGHT(Table132321279[[#This Row],[h1]],8))</f>
        <v>0</v>
      </c>
      <c r="Q1327" s="48" t="s">
        <v>149</v>
      </c>
      <c r="R1327" s="48">
        <f>HEX2DEC(RIGHT(Table132321279[[#This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149</v>
      </c>
      <c r="P1328" s="48">
        <f>HEX2DEC(RIGHT(Table132321279[[#This Row],[h1]],8))</f>
        <v>0</v>
      </c>
      <c r="Q1328" s="48" t="s">
        <v>149</v>
      </c>
      <c r="R1328" s="48">
        <f>HEX2DEC(RIGHT(Table132321279[[#This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149</v>
      </c>
      <c r="P1329" s="48">
        <f>HEX2DEC(RIGHT(Table132321279[[#This Row],[h1]],8))</f>
        <v>0</v>
      </c>
      <c r="Q1329" s="48" t="s">
        <v>149</v>
      </c>
      <c r="R1329" s="48">
        <f>HEX2DEC(RIGHT(Table132321279[[#This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149</v>
      </c>
      <c r="P1330" s="48">
        <f>HEX2DEC(RIGHT(Table132321279[[#This Row],[h1]],8))</f>
        <v>0</v>
      </c>
      <c r="Q1330" s="48" t="s">
        <v>149</v>
      </c>
      <c r="R1330" s="48">
        <f>HEX2DEC(RIGHT(Table132321279[[#This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149</v>
      </c>
      <c r="P1331" s="48">
        <f>HEX2DEC(RIGHT(Table132321279[[#This Row],[h1]],8))</f>
        <v>0</v>
      </c>
      <c r="Q1331" s="48" t="s">
        <v>149</v>
      </c>
      <c r="R1331" s="48">
        <f>HEX2DEC(RIGHT(Table132321279[[#This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149</v>
      </c>
      <c r="P1332" s="48">
        <f>HEX2DEC(RIGHT(Table132321279[[#This Row],[h1]],8))</f>
        <v>0</v>
      </c>
      <c r="Q1332" s="48" t="s">
        <v>149</v>
      </c>
      <c r="R1332" s="48">
        <f>HEX2DEC(RIGHT(Table132321279[[#This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149</v>
      </c>
      <c r="P1333" s="48">
        <f>HEX2DEC(RIGHT(Table132321279[[#This Row],[h1]],8))</f>
        <v>0</v>
      </c>
      <c r="Q1333" s="48" t="s">
        <v>149</v>
      </c>
      <c r="R1333" s="48">
        <f>HEX2DEC(RIGHT(Table132321279[[#This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149</v>
      </c>
      <c r="P1334" s="48">
        <f>HEX2DEC(RIGHT(Table132321279[[#This Row],[h1]],8))</f>
        <v>0</v>
      </c>
      <c r="Q1334" s="48" t="s">
        <v>149</v>
      </c>
      <c r="R1334" s="48">
        <f>HEX2DEC(RIGHT(Table132321279[[#This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149</v>
      </c>
      <c r="P1335" s="48">
        <f>HEX2DEC(RIGHT(Table132321279[[#This Row],[h1]],8))</f>
        <v>0</v>
      </c>
      <c r="Q1335" s="48" t="s">
        <v>149</v>
      </c>
      <c r="R1335" s="48">
        <f>HEX2DEC(RIGHT(Table132321279[[#This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149</v>
      </c>
      <c r="P1336" s="48">
        <f>HEX2DEC(RIGHT(Table132321279[[#This Row],[h1]],8))</f>
        <v>0</v>
      </c>
      <c r="Q1336" s="48" t="s">
        <v>149</v>
      </c>
      <c r="R1336" s="48">
        <f>HEX2DEC(RIGHT(Table132321279[[#This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149</v>
      </c>
      <c r="P1337" s="48">
        <f>HEX2DEC(RIGHT(Table132321279[[#This Row],[h1]],8))</f>
        <v>0</v>
      </c>
      <c r="Q1337" s="48" t="s">
        <v>149</v>
      </c>
      <c r="R1337" s="48">
        <f>HEX2DEC(RIGHT(Table132321279[[#This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149</v>
      </c>
      <c r="P1338" s="48">
        <f>HEX2DEC(RIGHT(Table132321279[[#This Row],[h1]],8))</f>
        <v>0</v>
      </c>
      <c r="Q1338" s="48" t="s">
        <v>149</v>
      </c>
      <c r="R1338" s="48">
        <f>HEX2DEC(RIGHT(Table132321279[[#This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149</v>
      </c>
      <c r="P1339" s="48">
        <f>HEX2DEC(RIGHT(Table132321279[[#This Row],[h1]],8))</f>
        <v>0</v>
      </c>
      <c r="Q1339" s="48" t="s">
        <v>149</v>
      </c>
      <c r="R1339" s="48">
        <f>HEX2DEC(RIGHT(Table132321279[[#This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149</v>
      </c>
      <c r="P1340" s="48">
        <f>HEX2DEC(RIGHT(Table132321279[[#This Row],[h1]],8))</f>
        <v>0</v>
      </c>
      <c r="Q1340" s="48" t="s">
        <v>149</v>
      </c>
      <c r="R1340" s="48">
        <f>HEX2DEC(RIGHT(Table132321279[[#This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149</v>
      </c>
      <c r="P1341" s="48">
        <f>HEX2DEC(RIGHT(Table132321279[[#This Row],[h1]],8))</f>
        <v>0</v>
      </c>
      <c r="Q1341" s="48" t="s">
        <v>149</v>
      </c>
      <c r="R1341" s="48">
        <f>HEX2DEC(RIGHT(Table132321279[[#This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149</v>
      </c>
      <c r="P1342" s="48">
        <f>HEX2DEC(RIGHT(Table132321279[[#This Row],[h1]],8))</f>
        <v>0</v>
      </c>
      <c r="Q1342" s="48" t="s">
        <v>149</v>
      </c>
      <c r="R1342" s="48">
        <f>HEX2DEC(RIGHT(Table132321279[[#This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149</v>
      </c>
      <c r="P1343" s="48">
        <f>HEX2DEC(RIGHT(Table132321279[[#This Row],[h1]],8))</f>
        <v>0</v>
      </c>
      <c r="Q1343" s="48" t="s">
        <v>149</v>
      </c>
      <c r="R1343" s="48">
        <f>HEX2DEC(RIGHT(Table132321279[[#This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149</v>
      </c>
      <c r="P1344" s="48">
        <f>HEX2DEC(RIGHT(Table132321279[[#This Row],[h1]],8))</f>
        <v>0</v>
      </c>
      <c r="Q1344" s="48" t="s">
        <v>149</v>
      </c>
      <c r="R1344" s="48">
        <f>HEX2DEC(RIGHT(Table132321279[[#This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149</v>
      </c>
      <c r="P1345" s="48">
        <f>HEX2DEC(RIGHT(Table132321279[[#This Row],[h1]],8))</f>
        <v>0</v>
      </c>
      <c r="Q1345" s="48" t="s">
        <v>149</v>
      </c>
      <c r="R1345" s="48">
        <f>HEX2DEC(RIGHT(Table132321279[[#This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149</v>
      </c>
      <c r="P1346" s="48">
        <f>HEX2DEC(RIGHT(Table132321279[[#This Row],[h1]],8))</f>
        <v>0</v>
      </c>
      <c r="Q1346" s="48" t="s">
        <v>149</v>
      </c>
      <c r="R1346" s="48">
        <f>HEX2DEC(RIGHT(Table132321279[[#This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149</v>
      </c>
      <c r="P1347" s="48">
        <f>HEX2DEC(RIGHT(Table132321279[[#This Row],[h1]],8))</f>
        <v>0</v>
      </c>
      <c r="Q1347" s="48" t="s">
        <v>149</v>
      </c>
      <c r="R1347" s="48">
        <f>HEX2DEC(RIGHT(Table132321279[[#This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149</v>
      </c>
      <c r="P1348" s="48">
        <f>HEX2DEC(RIGHT(Table132321279[[#This Row],[h1]],8))</f>
        <v>0</v>
      </c>
      <c r="Q1348" s="48" t="s">
        <v>149</v>
      </c>
      <c r="R1348" s="48">
        <f>HEX2DEC(RIGHT(Table132321279[[#This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149</v>
      </c>
      <c r="P1349" s="48">
        <f>HEX2DEC(RIGHT(Table132321279[[#This Row],[h1]],8))</f>
        <v>0</v>
      </c>
      <c r="Q1349" s="48" t="s">
        <v>149</v>
      </c>
      <c r="R1349" s="48">
        <f>HEX2DEC(RIGHT(Table132321279[[#This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149</v>
      </c>
      <c r="P1350" s="48">
        <f>HEX2DEC(RIGHT(Table132321279[[#This Row],[h1]],8))</f>
        <v>0</v>
      </c>
      <c r="Q1350" s="48" t="s">
        <v>149</v>
      </c>
      <c r="R1350" s="48">
        <f>HEX2DEC(RIGHT(Table132321279[[#This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149</v>
      </c>
      <c r="P1351" s="48">
        <f>HEX2DEC(RIGHT(Table132321279[[#This Row],[h1]],8))</f>
        <v>0</v>
      </c>
      <c r="Q1351" s="48" t="s">
        <v>149</v>
      </c>
      <c r="R1351" s="48">
        <f>HEX2DEC(RIGHT(Table132321279[[#This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149</v>
      </c>
      <c r="P1352" s="48">
        <f>HEX2DEC(RIGHT(Table132321279[[#This Row],[h1]],8))</f>
        <v>0</v>
      </c>
      <c r="Q1352" s="48" t="s">
        <v>149</v>
      </c>
      <c r="R1352" s="48">
        <f>HEX2DEC(RIGHT(Table132321279[[#This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149</v>
      </c>
      <c r="P1353" s="48">
        <f>HEX2DEC(RIGHT(Table132321279[[#This Row],[h1]],8))</f>
        <v>0</v>
      </c>
      <c r="Q1353" s="48" t="s">
        <v>149</v>
      </c>
      <c r="R1353" s="48">
        <f>HEX2DEC(RIGHT(Table132321279[[#This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149</v>
      </c>
      <c r="P1354" s="48">
        <f>HEX2DEC(RIGHT(Table132321279[[#This Row],[h1]],8))</f>
        <v>0</v>
      </c>
      <c r="Q1354" s="48" t="s">
        <v>149</v>
      </c>
      <c r="R1354" s="48">
        <f>HEX2DEC(RIGHT(Table132321279[[#This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149</v>
      </c>
      <c r="P1355" s="48">
        <f>HEX2DEC(RIGHT(Table132321279[[#This Row],[h1]],8))</f>
        <v>0</v>
      </c>
      <c r="Q1355" s="48" t="s">
        <v>149</v>
      </c>
      <c r="R1355" s="48">
        <f>HEX2DEC(RIGHT(Table132321279[[#This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149</v>
      </c>
      <c r="P1356" s="48">
        <f>HEX2DEC(RIGHT(Table132321279[[#This Row],[h1]],8))</f>
        <v>0</v>
      </c>
      <c r="Q1356" s="48" t="s">
        <v>149</v>
      </c>
      <c r="R1356" s="48">
        <f>HEX2DEC(RIGHT(Table132321279[[#This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149</v>
      </c>
      <c r="P1357" s="48">
        <f>HEX2DEC(RIGHT(Table132321279[[#This Row],[h1]],8))</f>
        <v>0</v>
      </c>
      <c r="Q1357" s="48" t="s">
        <v>149</v>
      </c>
      <c r="R1357" s="48">
        <f>HEX2DEC(RIGHT(Table132321279[[#This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149</v>
      </c>
      <c r="P1358" s="48">
        <f>HEX2DEC(RIGHT(Table132321279[[#This Row],[h1]],8))</f>
        <v>0</v>
      </c>
      <c r="Q1358" s="48" t="s">
        <v>149</v>
      </c>
      <c r="R1358" s="48">
        <f>HEX2DEC(RIGHT(Table132321279[[#This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149</v>
      </c>
      <c r="P1359" s="48">
        <f>HEX2DEC(RIGHT(Table132321279[[#This Row],[h1]],8))</f>
        <v>0</v>
      </c>
      <c r="Q1359" s="48" t="s">
        <v>149</v>
      </c>
      <c r="R1359" s="48">
        <f>HEX2DEC(RIGHT(Table132321279[[#This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149</v>
      </c>
      <c r="P1360" s="48">
        <f>HEX2DEC(RIGHT(Table132321279[[#This Row],[h1]],8))</f>
        <v>0</v>
      </c>
      <c r="Q1360" s="48" t="s">
        <v>149</v>
      </c>
      <c r="R1360" s="48">
        <f>HEX2DEC(RIGHT(Table132321279[[#This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149</v>
      </c>
      <c r="P1361" s="48">
        <f>HEX2DEC(RIGHT(Table132321279[[#This Row],[h1]],8))</f>
        <v>0</v>
      </c>
      <c r="Q1361" s="48" t="s">
        <v>149</v>
      </c>
      <c r="R1361" s="48">
        <f>HEX2DEC(RIGHT(Table132321279[[#This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149</v>
      </c>
      <c r="P1362" s="48">
        <f>HEX2DEC(RIGHT(Table132321279[[#This Row],[h1]],8))</f>
        <v>0</v>
      </c>
      <c r="Q1362" s="48" t="s">
        <v>149</v>
      </c>
      <c r="R1362" s="48">
        <f>HEX2DEC(RIGHT(Table132321279[[#This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149</v>
      </c>
      <c r="P1363" s="48">
        <f>HEX2DEC(RIGHT(Table132321279[[#This Row],[h1]],8))</f>
        <v>0</v>
      </c>
      <c r="Q1363" s="48" t="s">
        <v>149</v>
      </c>
      <c r="R1363" s="48">
        <f>HEX2DEC(RIGHT(Table132321279[[#This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149</v>
      </c>
      <c r="P1364" s="48">
        <f>HEX2DEC(RIGHT(Table132321279[[#This Row],[h1]],8))</f>
        <v>0</v>
      </c>
      <c r="Q1364" s="48" t="s">
        <v>149</v>
      </c>
      <c r="R1364" s="48">
        <f>HEX2DEC(RIGHT(Table132321279[[#This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149</v>
      </c>
      <c r="P1365" s="48">
        <f>HEX2DEC(RIGHT(Table132321279[[#This Row],[h1]],8))</f>
        <v>0</v>
      </c>
      <c r="Q1365" s="48" t="s">
        <v>149</v>
      </c>
      <c r="R1365" s="48">
        <f>HEX2DEC(RIGHT(Table132321279[[#This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149</v>
      </c>
      <c r="P1366" s="48">
        <f>HEX2DEC(RIGHT(Table132321279[[#This Row],[h1]],8))</f>
        <v>0</v>
      </c>
      <c r="Q1366" s="48" t="s">
        <v>149</v>
      </c>
      <c r="R1366" s="48">
        <f>HEX2DEC(RIGHT(Table132321279[[#This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149</v>
      </c>
      <c r="P1367" s="48">
        <f>HEX2DEC(RIGHT(Table132321279[[#This Row],[h1]],8))</f>
        <v>0</v>
      </c>
      <c r="Q1367" s="48" t="s">
        <v>149</v>
      </c>
      <c r="R1367" s="48">
        <f>HEX2DEC(RIGHT(Table132321279[[#This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149</v>
      </c>
      <c r="P1368" s="48">
        <f>HEX2DEC(RIGHT(Table132321279[[#This Row],[h1]],8))</f>
        <v>0</v>
      </c>
      <c r="Q1368" s="48" t="s">
        <v>149</v>
      </c>
      <c r="R1368" s="48">
        <f>HEX2DEC(RIGHT(Table132321279[[#This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149</v>
      </c>
      <c r="P1369" s="48">
        <f>HEX2DEC(RIGHT(Table132321279[[#This Row],[h1]],8))</f>
        <v>0</v>
      </c>
      <c r="Q1369" s="48" t="s">
        <v>149</v>
      </c>
      <c r="R1369" s="48">
        <f>HEX2DEC(RIGHT(Table132321279[[#This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149</v>
      </c>
      <c r="P1370" s="48">
        <f>HEX2DEC(RIGHT(Table132321279[[#This Row],[h1]],8))</f>
        <v>0</v>
      </c>
      <c r="Q1370" s="48" t="s">
        <v>149</v>
      </c>
      <c r="R1370" s="48">
        <f>HEX2DEC(RIGHT(Table132321279[[#This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149</v>
      </c>
      <c r="P1371" s="48">
        <f>HEX2DEC(RIGHT(Table132321279[[#This Row],[h1]],8))</f>
        <v>0</v>
      </c>
      <c r="Q1371" s="48" t="s">
        <v>149</v>
      </c>
      <c r="R1371" s="48">
        <f>HEX2DEC(RIGHT(Table132321279[[#This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149</v>
      </c>
      <c r="P1372" s="48">
        <f>HEX2DEC(RIGHT(Table132321279[[#This Row],[h1]],8))</f>
        <v>0</v>
      </c>
      <c r="Q1372" s="48" t="s">
        <v>149</v>
      </c>
      <c r="R1372" s="48">
        <f>HEX2DEC(RIGHT(Table132321279[[#This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149</v>
      </c>
      <c r="P1373" s="48">
        <f>HEX2DEC(RIGHT(Table132321279[[#This Row],[h1]],8))</f>
        <v>0</v>
      </c>
      <c r="Q1373" s="48" t="s">
        <v>149</v>
      </c>
      <c r="R1373" s="48">
        <f>HEX2DEC(RIGHT(Table132321279[[#This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149</v>
      </c>
      <c r="P1374" s="48">
        <f>HEX2DEC(RIGHT(Table132321279[[#This Row],[h1]],8))</f>
        <v>0</v>
      </c>
      <c r="Q1374" s="48" t="s">
        <v>149</v>
      </c>
      <c r="R1374" s="48">
        <f>HEX2DEC(RIGHT(Table132321279[[#This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149</v>
      </c>
      <c r="P1375" s="48">
        <f>HEX2DEC(RIGHT(Table132321279[[#This Row],[h1]],8))</f>
        <v>0</v>
      </c>
      <c r="Q1375" s="48" t="s">
        <v>149</v>
      </c>
      <c r="R1375" s="48">
        <f>HEX2DEC(RIGHT(Table132321279[[#This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149</v>
      </c>
      <c r="P1376" s="48">
        <f>HEX2DEC(RIGHT(Table132321279[[#This Row],[h1]],8))</f>
        <v>0</v>
      </c>
      <c r="Q1376" s="48" t="s">
        <v>149</v>
      </c>
      <c r="R1376" s="48">
        <f>HEX2DEC(RIGHT(Table132321279[[#This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149</v>
      </c>
      <c r="P1377" s="48">
        <f>HEX2DEC(RIGHT(Table132321279[[#This Row],[h1]],8))</f>
        <v>0</v>
      </c>
      <c r="Q1377" s="48" t="s">
        <v>149</v>
      </c>
      <c r="R1377" s="48">
        <f>HEX2DEC(RIGHT(Table132321279[[#This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149</v>
      </c>
      <c r="P1378" s="48">
        <f>HEX2DEC(RIGHT(Table132321279[[#This Row],[h1]],8))</f>
        <v>0</v>
      </c>
      <c r="Q1378" s="48" t="s">
        <v>149</v>
      </c>
      <c r="R1378" s="48">
        <f>HEX2DEC(RIGHT(Table132321279[[#This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149</v>
      </c>
      <c r="P1379" s="48">
        <f>HEX2DEC(RIGHT(Table132321279[[#This Row],[h1]],8))</f>
        <v>0</v>
      </c>
      <c r="Q1379" s="48" t="s">
        <v>149</v>
      </c>
      <c r="R1379" s="48">
        <f>HEX2DEC(RIGHT(Table132321279[[#This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149</v>
      </c>
      <c r="P1380" s="48">
        <f>HEX2DEC(RIGHT(Table132321279[[#This Row],[h1]],8))</f>
        <v>0</v>
      </c>
      <c r="Q1380" s="48" t="s">
        <v>149</v>
      </c>
      <c r="R1380" s="48">
        <f>HEX2DEC(RIGHT(Table132321279[[#This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149</v>
      </c>
      <c r="P1381" s="48">
        <f>HEX2DEC(RIGHT(Table132321279[[#This Row],[h1]],8))</f>
        <v>0</v>
      </c>
      <c r="Q1381" s="48" t="s">
        <v>149</v>
      </c>
      <c r="R1381" s="48">
        <f>HEX2DEC(RIGHT(Table132321279[[#This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149</v>
      </c>
      <c r="P1382" s="48">
        <f>HEX2DEC(RIGHT(Table132321279[[#This Row],[h1]],8))</f>
        <v>0</v>
      </c>
      <c r="Q1382" s="48" t="s">
        <v>149</v>
      </c>
      <c r="R1382" s="48">
        <f>HEX2DEC(RIGHT(Table132321279[[#This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149</v>
      </c>
      <c r="P1383" s="48">
        <f>HEX2DEC(RIGHT(Table132321279[[#This Row],[h1]],8))</f>
        <v>0</v>
      </c>
      <c r="Q1383" s="48" t="s">
        <v>149</v>
      </c>
      <c r="R1383" s="48">
        <f>HEX2DEC(RIGHT(Table132321279[[#This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149</v>
      </c>
      <c r="P1384" s="48">
        <f>HEX2DEC(RIGHT(Table132321279[[#This Row],[h1]],8))</f>
        <v>0</v>
      </c>
      <c r="Q1384" s="48" t="s">
        <v>149</v>
      </c>
      <c r="R1384" s="48">
        <f>HEX2DEC(RIGHT(Table132321279[[#This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149</v>
      </c>
      <c r="P1385" s="48">
        <f>HEX2DEC(RIGHT(Table132321279[[#This Row],[h1]],8))</f>
        <v>0</v>
      </c>
      <c r="Q1385" s="48" t="s">
        <v>149</v>
      </c>
      <c r="R1385" s="48">
        <f>HEX2DEC(RIGHT(Table132321279[[#This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149</v>
      </c>
      <c r="P1386" s="48">
        <f>HEX2DEC(RIGHT(Table132321279[[#This Row],[h1]],8))</f>
        <v>0</v>
      </c>
      <c r="Q1386" s="48" t="s">
        <v>149</v>
      </c>
      <c r="R1386" s="48">
        <f>HEX2DEC(RIGHT(Table132321279[[#This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149</v>
      </c>
      <c r="P1387" s="48">
        <f>HEX2DEC(RIGHT(Table132321279[[#This Row],[h1]],8))</f>
        <v>0</v>
      </c>
      <c r="Q1387" s="48" t="s">
        <v>149</v>
      </c>
      <c r="R1387" s="48">
        <f>HEX2DEC(RIGHT(Table132321279[[#This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149</v>
      </c>
      <c r="P1388" s="48">
        <f>HEX2DEC(RIGHT(Table132321279[[#This Row],[h1]],8))</f>
        <v>0</v>
      </c>
      <c r="Q1388" s="48" t="s">
        <v>149</v>
      </c>
      <c r="R1388" s="48">
        <f>HEX2DEC(RIGHT(Table132321279[[#This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149</v>
      </c>
      <c r="P1389" s="48">
        <f>HEX2DEC(RIGHT(Table132321279[[#This Row],[h1]],8))</f>
        <v>0</v>
      </c>
      <c r="Q1389" s="48" t="s">
        <v>149</v>
      </c>
      <c r="R1389" s="48">
        <f>HEX2DEC(RIGHT(Table132321279[[#This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149</v>
      </c>
      <c r="P1390" s="48">
        <f>HEX2DEC(RIGHT(Table132321279[[#This Row],[h1]],8))</f>
        <v>0</v>
      </c>
      <c r="Q1390" s="48" t="s">
        <v>149</v>
      </c>
      <c r="R1390" s="48">
        <f>HEX2DEC(RIGHT(Table132321279[[#This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149</v>
      </c>
      <c r="P1391" s="48">
        <f>HEX2DEC(RIGHT(Table132321279[[#This Row],[h1]],8))</f>
        <v>0</v>
      </c>
      <c r="Q1391" s="48" t="s">
        <v>149</v>
      </c>
      <c r="R1391" s="48">
        <f>HEX2DEC(RIGHT(Table132321279[[#This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149</v>
      </c>
      <c r="P1392" s="48">
        <f>HEX2DEC(RIGHT(Table132321279[[#This Row],[h1]],8))</f>
        <v>0</v>
      </c>
      <c r="Q1392" s="48" t="s">
        <v>149</v>
      </c>
      <c r="R1392" s="48">
        <f>HEX2DEC(RIGHT(Table132321279[[#This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149</v>
      </c>
      <c r="P1393" s="48">
        <f>HEX2DEC(RIGHT(Table132321279[[#This Row],[h1]],8))</f>
        <v>0</v>
      </c>
      <c r="Q1393" s="48" t="s">
        <v>149</v>
      </c>
      <c r="R1393" s="48">
        <f>HEX2DEC(RIGHT(Table132321279[[#This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149</v>
      </c>
      <c r="P1394" s="48">
        <f>HEX2DEC(RIGHT(Table132321279[[#This Row],[h1]],8))</f>
        <v>0</v>
      </c>
      <c r="Q1394" s="48" t="s">
        <v>149</v>
      </c>
      <c r="R1394" s="48">
        <f>HEX2DEC(RIGHT(Table132321279[[#This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149</v>
      </c>
      <c r="P1395" s="48">
        <f>HEX2DEC(RIGHT(Table132321279[[#This Row],[h1]],8))</f>
        <v>0</v>
      </c>
      <c r="Q1395" s="48" t="s">
        <v>149</v>
      </c>
      <c r="R1395" s="48">
        <f>HEX2DEC(RIGHT(Table132321279[[#This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149</v>
      </c>
      <c r="P1396" s="48">
        <f>HEX2DEC(RIGHT(Table132321279[[#This Row],[h1]],8))</f>
        <v>0</v>
      </c>
      <c r="Q1396" s="48" t="s">
        <v>149</v>
      </c>
      <c r="R1396" s="48">
        <f>HEX2DEC(RIGHT(Table132321279[[#This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149</v>
      </c>
      <c r="P1397" s="48">
        <f>HEX2DEC(RIGHT(Table132321279[[#This Row],[h1]],8))</f>
        <v>0</v>
      </c>
      <c r="Q1397" s="48" t="s">
        <v>149</v>
      </c>
      <c r="R1397" s="48">
        <f>HEX2DEC(RIGHT(Table132321279[[#This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149</v>
      </c>
      <c r="P1398" s="48">
        <f>HEX2DEC(RIGHT(Table132321279[[#This Row],[h1]],8))</f>
        <v>0</v>
      </c>
      <c r="Q1398" s="48" t="s">
        <v>149</v>
      </c>
      <c r="R1398" s="48">
        <f>HEX2DEC(RIGHT(Table132321279[[#This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149</v>
      </c>
      <c r="P1399" s="48">
        <f>HEX2DEC(RIGHT(Table132321279[[#This Row],[h1]],8))</f>
        <v>0</v>
      </c>
      <c r="Q1399" s="48" t="s">
        <v>149</v>
      </c>
      <c r="R1399" s="48">
        <f>HEX2DEC(RIGHT(Table132321279[[#This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149</v>
      </c>
      <c r="P1400" s="48">
        <f>HEX2DEC(RIGHT(Table132321279[[#This Row],[h1]],8))</f>
        <v>0</v>
      </c>
      <c r="Q1400" s="48" t="s">
        <v>149</v>
      </c>
      <c r="R1400" s="48">
        <f>HEX2DEC(RIGHT(Table132321279[[#This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149</v>
      </c>
      <c r="P1401" s="48">
        <f>HEX2DEC(RIGHT(Table132321279[[#This Row],[h1]],8))</f>
        <v>0</v>
      </c>
      <c r="Q1401" s="48" t="s">
        <v>149</v>
      </c>
      <c r="R1401" s="48">
        <f>HEX2DEC(RIGHT(Table132321279[[#This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149</v>
      </c>
      <c r="P1402" s="48">
        <f>HEX2DEC(RIGHT(Table132321279[[#This Row],[h1]],8))</f>
        <v>0</v>
      </c>
      <c r="Q1402" s="48" t="s">
        <v>149</v>
      </c>
      <c r="R1402" s="48">
        <f>HEX2DEC(RIGHT(Table132321279[[#This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149</v>
      </c>
      <c r="P1403" s="48">
        <f>HEX2DEC(RIGHT(Table132321279[[#This Row],[h1]],8))</f>
        <v>0</v>
      </c>
      <c r="Q1403" s="48" t="s">
        <v>149</v>
      </c>
      <c r="R1403" s="48">
        <f>HEX2DEC(RIGHT(Table132321279[[#This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149</v>
      </c>
      <c r="P1404" s="48">
        <f>HEX2DEC(RIGHT(Table132321279[[#This Row],[h1]],8))</f>
        <v>0</v>
      </c>
      <c r="Q1404" s="48" t="s">
        <v>149</v>
      </c>
      <c r="R1404" s="48">
        <f>HEX2DEC(RIGHT(Table132321279[[#This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149</v>
      </c>
      <c r="P1405" s="48">
        <f>HEX2DEC(RIGHT(Table132321279[[#This Row],[h1]],8))</f>
        <v>0</v>
      </c>
      <c r="Q1405" s="48" t="s">
        <v>149</v>
      </c>
      <c r="R1405" s="48">
        <f>HEX2DEC(RIGHT(Table132321279[[#This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149</v>
      </c>
      <c r="P1406" s="48">
        <f>HEX2DEC(RIGHT(Table132321279[[#This Row],[h1]],8))</f>
        <v>0</v>
      </c>
      <c r="Q1406" s="48" t="s">
        <v>149</v>
      </c>
      <c r="R1406" s="48">
        <f>HEX2DEC(RIGHT(Table132321279[[#This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149</v>
      </c>
      <c r="P1407" s="48">
        <f>HEX2DEC(RIGHT(Table132321279[[#This Row],[h1]],8))</f>
        <v>0</v>
      </c>
      <c r="Q1407" s="48" t="s">
        <v>149</v>
      </c>
      <c r="R1407" s="48">
        <f>HEX2DEC(RIGHT(Table132321279[[#This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149</v>
      </c>
      <c r="P1408" s="48">
        <f>HEX2DEC(RIGHT(Table132321279[[#This Row],[h1]],8))</f>
        <v>0</v>
      </c>
      <c r="Q1408" s="48" t="s">
        <v>149</v>
      </c>
      <c r="R1408" s="48">
        <f>HEX2DEC(RIGHT(Table132321279[[#This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149</v>
      </c>
      <c r="P1409" s="48">
        <f>HEX2DEC(RIGHT(Table132321279[[#This Row],[h1]],8))</f>
        <v>0</v>
      </c>
      <c r="Q1409" s="48" t="s">
        <v>149</v>
      </c>
      <c r="R1409" s="48">
        <f>HEX2DEC(RIGHT(Table132321279[[#This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149</v>
      </c>
      <c r="P1410" s="48">
        <f>HEX2DEC(RIGHT(Table132321279[[#This Row],[h1]],8))</f>
        <v>0</v>
      </c>
      <c r="Q1410" s="48" t="s">
        <v>149</v>
      </c>
      <c r="R1410" s="48">
        <f>HEX2DEC(RIGHT(Table132321279[[#This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8" t="s">
        <v>149</v>
      </c>
      <c r="P1411" s="48">
        <f>HEX2DEC(RIGHT(Table132321279[[#This Row],[h1]],8))</f>
        <v>0</v>
      </c>
      <c r="Q1411" s="48" t="s">
        <v>149</v>
      </c>
      <c r="R1411" s="48">
        <f>HEX2DEC(RIGHT(Table132321279[[#This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149</v>
      </c>
      <c r="P1412" s="48">
        <f>HEX2DEC(RIGHT(Table132321279[[#This Row],[h1]],8))</f>
        <v>0</v>
      </c>
      <c r="Q1412" s="48" t="s">
        <v>149</v>
      </c>
      <c r="R1412" s="48">
        <f>HEX2DEC(RIGHT(Table132321279[[#This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D1413" s="15" t="s">
        <v>48</v>
      </c>
      <c r="F1413" s="22"/>
      <c r="G1413" s="22"/>
      <c r="J1413" s="24">
        <v>50000</v>
      </c>
      <c r="M1413" s="24">
        <v>50000</v>
      </c>
      <c r="O1413" s="48" t="s">
        <v>149</v>
      </c>
      <c r="P1413" s="48">
        <f>HEX2DEC(RIGHT(Table132321279[[#This Row],[h1]],8))</f>
        <v>0</v>
      </c>
      <c r="Q1413" s="48" t="s">
        <v>149</v>
      </c>
      <c r="R1413" s="48">
        <f>HEX2DEC(RIGHT(Table132321279[[#This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149</v>
      </c>
      <c r="P1414" s="48">
        <f>HEX2DEC(RIGHT(Table132321279[[#This Row],[h1]],8))</f>
        <v>0</v>
      </c>
      <c r="Q1414" s="48" t="s">
        <v>149</v>
      </c>
      <c r="R1414" s="48">
        <f>HEX2DEC(RIGHT(Table132321279[[#This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149</v>
      </c>
      <c r="P1415" s="48">
        <f>HEX2DEC(RIGHT(Table132321279[[#This Row],[h1]],8))</f>
        <v>0</v>
      </c>
      <c r="Q1415" s="48" t="s">
        <v>149</v>
      </c>
      <c r="R1415" s="48">
        <f>HEX2DEC(RIGHT(Table132321279[[#This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149</v>
      </c>
      <c r="P1416" s="48">
        <f>HEX2DEC(RIGHT(Table132321279[[#This Row],[h1]],8))</f>
        <v>0</v>
      </c>
      <c r="Q1416" s="48" t="s">
        <v>149</v>
      </c>
      <c r="R1416" s="48">
        <f>HEX2DEC(RIGHT(Table132321279[[#This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149</v>
      </c>
      <c r="P1417" s="48">
        <f>HEX2DEC(RIGHT(Table132321279[[#This Row],[h1]],8))</f>
        <v>0</v>
      </c>
      <c r="Q1417" s="48" t="s">
        <v>149</v>
      </c>
      <c r="R1417" s="48">
        <f>HEX2DEC(RIGHT(Table132321279[[#This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149</v>
      </c>
      <c r="P1418" s="48">
        <f>HEX2DEC(RIGHT(Table132321279[[#This Row],[h1]],8))</f>
        <v>0</v>
      </c>
      <c r="Q1418" s="48" t="s">
        <v>149</v>
      </c>
      <c r="R1418" s="48">
        <f>HEX2DEC(RIGHT(Table132321279[[#This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149</v>
      </c>
      <c r="P1419" s="48">
        <f>HEX2DEC(RIGHT(Table132321279[[#This Row],[h1]],8))</f>
        <v>0</v>
      </c>
      <c r="Q1419" s="48" t="s">
        <v>149</v>
      </c>
      <c r="R1419" s="48">
        <f>HEX2DEC(RIGHT(Table132321279[[#This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149</v>
      </c>
      <c r="P1420" s="48">
        <f>HEX2DEC(RIGHT(Table132321279[[#This Row],[h1]],8))</f>
        <v>0</v>
      </c>
      <c r="Q1420" s="48" t="s">
        <v>149</v>
      </c>
      <c r="R1420" s="48">
        <f>HEX2DEC(RIGHT(Table132321279[[#This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149</v>
      </c>
      <c r="P1421" s="48">
        <f>HEX2DEC(RIGHT(Table132321279[[#This Row],[h1]],8))</f>
        <v>0</v>
      </c>
      <c r="Q1421" s="48" t="s">
        <v>149</v>
      </c>
      <c r="R1421" s="48">
        <f>HEX2DEC(RIGHT(Table132321279[[#This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149</v>
      </c>
      <c r="P1422" s="48">
        <f>HEX2DEC(RIGHT(Table132321279[[#This Row],[h1]],8))</f>
        <v>0</v>
      </c>
      <c r="Q1422" s="48" t="s">
        <v>149</v>
      </c>
      <c r="R1422" s="48">
        <f>HEX2DEC(RIGHT(Table132321279[[#This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149</v>
      </c>
      <c r="P1423" s="48">
        <f>HEX2DEC(RIGHT(Table132321279[[#This Row],[h1]],8))</f>
        <v>0</v>
      </c>
      <c r="Q1423" s="48" t="s">
        <v>149</v>
      </c>
      <c r="R1423" s="48">
        <f>HEX2DEC(RIGHT(Table132321279[[#This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149</v>
      </c>
      <c r="P1424" s="48">
        <f>HEX2DEC(RIGHT(Table132321279[[#This Row],[h1]],8))</f>
        <v>0</v>
      </c>
      <c r="Q1424" s="48" t="s">
        <v>149</v>
      </c>
      <c r="R1424" s="48">
        <f>HEX2DEC(RIGHT(Table132321279[[#This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149</v>
      </c>
      <c r="P1425" s="48">
        <f>HEX2DEC(RIGHT(Table132321279[[#This Row],[h1]],8))</f>
        <v>0</v>
      </c>
      <c r="Q1425" s="48" t="s">
        <v>149</v>
      </c>
      <c r="R1425" s="48">
        <f>HEX2DEC(RIGHT(Table132321279[[#This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149</v>
      </c>
      <c r="P1426" s="48">
        <f>HEX2DEC(RIGHT(Table132321279[[#This Row],[h1]],8))</f>
        <v>0</v>
      </c>
      <c r="Q1426" s="48" t="s">
        <v>149</v>
      </c>
      <c r="R1426" s="48">
        <f>HEX2DEC(RIGHT(Table132321279[[#This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149</v>
      </c>
      <c r="P1427" s="48">
        <f>HEX2DEC(RIGHT(Table132321279[[#This Row],[h1]],8))</f>
        <v>0</v>
      </c>
      <c r="Q1427" s="48" t="s">
        <v>149</v>
      </c>
      <c r="R1427" s="48">
        <f>HEX2DEC(RIGHT(Table132321279[[#This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149</v>
      </c>
      <c r="P1428" s="48">
        <f>HEX2DEC(RIGHT(Table132321279[[#This Row],[h1]],8))</f>
        <v>0</v>
      </c>
      <c r="Q1428" s="48" t="s">
        <v>149</v>
      </c>
      <c r="R1428" s="48">
        <f>HEX2DEC(RIGHT(Table132321279[[#This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149</v>
      </c>
      <c r="P1429" s="48">
        <f>HEX2DEC(RIGHT(Table132321279[[#This Row],[h1]],8))</f>
        <v>0</v>
      </c>
      <c r="Q1429" s="48" t="s">
        <v>149</v>
      </c>
      <c r="R1429" s="48">
        <f>HEX2DEC(RIGHT(Table132321279[[#This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149</v>
      </c>
      <c r="P1430" s="48">
        <f>HEX2DEC(RIGHT(Table132321279[[#This Row],[h1]],8))</f>
        <v>0</v>
      </c>
      <c r="Q1430" s="48" t="s">
        <v>149</v>
      </c>
      <c r="R1430" s="48">
        <f>HEX2DEC(RIGHT(Table132321279[[#This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149</v>
      </c>
      <c r="P1431" s="48">
        <f>HEX2DEC(RIGHT(Table132321279[[#This Row],[h1]],8))</f>
        <v>0</v>
      </c>
      <c r="Q1431" s="48" t="s">
        <v>149</v>
      </c>
      <c r="R1431" s="48">
        <f>HEX2DEC(RIGHT(Table132321279[[#This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149</v>
      </c>
      <c r="P1432" s="48">
        <f>HEX2DEC(RIGHT(Table132321279[[#This Row],[h1]],8))</f>
        <v>0</v>
      </c>
      <c r="Q1432" s="48" t="s">
        <v>149</v>
      </c>
      <c r="R1432" s="48">
        <f>HEX2DEC(RIGHT(Table132321279[[#This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149</v>
      </c>
      <c r="P1433" s="48">
        <f>HEX2DEC(RIGHT(Table132321279[[#This Row],[h1]],8))</f>
        <v>0</v>
      </c>
      <c r="Q1433" s="48" t="s">
        <v>149</v>
      </c>
      <c r="R1433" s="48">
        <f>HEX2DEC(RIGHT(Table132321279[[#This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149</v>
      </c>
      <c r="P1434" s="48">
        <f>HEX2DEC(RIGHT(Table132321279[[#This Row],[h1]],8))</f>
        <v>0</v>
      </c>
      <c r="Q1434" s="48" t="s">
        <v>149</v>
      </c>
      <c r="R1434" s="48">
        <f>HEX2DEC(RIGHT(Table132321279[[#This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149</v>
      </c>
      <c r="P1435" s="48">
        <f>HEX2DEC(RIGHT(Table132321279[[#This Row],[h1]],8))</f>
        <v>0</v>
      </c>
      <c r="Q1435" s="48" t="s">
        <v>149</v>
      </c>
      <c r="R1435" s="48">
        <f>HEX2DEC(RIGHT(Table132321279[[#This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149</v>
      </c>
      <c r="P1436" s="48">
        <f>HEX2DEC(RIGHT(Table132321279[[#This Row],[h1]],8))</f>
        <v>0</v>
      </c>
      <c r="Q1436" s="48" t="s">
        <v>149</v>
      </c>
      <c r="R1436" s="48">
        <f>HEX2DEC(RIGHT(Table132321279[[#This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149</v>
      </c>
      <c r="P1437" s="48">
        <f>HEX2DEC(RIGHT(Table132321279[[#This Row],[h1]],8))</f>
        <v>0</v>
      </c>
      <c r="Q1437" s="48" t="s">
        <v>149</v>
      </c>
      <c r="R1437" s="48">
        <f>HEX2DEC(RIGHT(Table132321279[[#This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149</v>
      </c>
      <c r="P1438" s="48">
        <f>HEX2DEC(RIGHT(Table132321279[[#This Row],[h1]],8))</f>
        <v>0</v>
      </c>
      <c r="Q1438" s="48" t="s">
        <v>149</v>
      </c>
      <c r="R1438" s="48">
        <f>HEX2DEC(RIGHT(Table132321279[[#This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149</v>
      </c>
      <c r="P1439" s="48">
        <f>HEX2DEC(RIGHT(Table132321279[[#This Row],[h1]],8))</f>
        <v>0</v>
      </c>
      <c r="Q1439" s="48" t="s">
        <v>149</v>
      </c>
      <c r="R1439" s="48">
        <f>HEX2DEC(RIGHT(Table132321279[[#This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149</v>
      </c>
      <c r="P1440" s="48">
        <f>HEX2DEC(RIGHT(Table132321279[[#This Row],[h1]],8))</f>
        <v>0</v>
      </c>
      <c r="Q1440" s="48" t="s">
        <v>149</v>
      </c>
      <c r="R1440" s="48">
        <f>HEX2DEC(RIGHT(Table132321279[[#This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149</v>
      </c>
      <c r="P1441" s="48">
        <f>HEX2DEC(RIGHT(Table132321279[[#This Row],[h1]],8))</f>
        <v>0</v>
      </c>
      <c r="Q1441" s="48" t="s">
        <v>149</v>
      </c>
      <c r="R1441" s="48">
        <f>HEX2DEC(RIGHT(Table132321279[[#This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149</v>
      </c>
      <c r="P1442" s="48">
        <f>HEX2DEC(RIGHT(Table132321279[[#This Row],[h1]],8))</f>
        <v>0</v>
      </c>
      <c r="Q1442" s="48" t="s">
        <v>149</v>
      </c>
      <c r="R1442" s="48">
        <f>HEX2DEC(RIGHT(Table132321279[[#This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149</v>
      </c>
      <c r="P1443" s="48">
        <f>HEX2DEC(RIGHT(Table132321279[[#This Row],[h1]],8))</f>
        <v>0</v>
      </c>
      <c r="Q1443" s="48" t="s">
        <v>149</v>
      </c>
      <c r="R1443" s="48">
        <f>HEX2DEC(RIGHT(Table132321279[[#This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149</v>
      </c>
      <c r="P1444" s="48">
        <f>HEX2DEC(RIGHT(Table132321279[[#This Row],[h1]],8))</f>
        <v>0</v>
      </c>
      <c r="Q1444" s="48" t="s">
        <v>149</v>
      </c>
      <c r="R1444" s="48">
        <f>HEX2DEC(RIGHT(Table132321279[[#This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149</v>
      </c>
      <c r="P1445" s="48">
        <f>HEX2DEC(RIGHT(Table132321279[[#This Row],[h1]],8))</f>
        <v>0</v>
      </c>
      <c r="Q1445" s="48" t="s">
        <v>149</v>
      </c>
      <c r="R1445" s="48">
        <f>HEX2DEC(RIGHT(Table132321279[[#This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149</v>
      </c>
      <c r="P1446" s="48">
        <f>HEX2DEC(RIGHT(Table132321279[[#This Row],[h1]],8))</f>
        <v>0</v>
      </c>
      <c r="Q1446" s="48" t="s">
        <v>149</v>
      </c>
      <c r="R1446" s="48">
        <f>HEX2DEC(RIGHT(Table132321279[[#This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149</v>
      </c>
      <c r="P1447" s="48">
        <f>HEX2DEC(RIGHT(Table132321279[[#This Row],[h1]],8))</f>
        <v>0</v>
      </c>
      <c r="Q1447" s="48" t="s">
        <v>149</v>
      </c>
      <c r="R1447" s="48">
        <f>HEX2DEC(RIGHT(Table132321279[[#This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149</v>
      </c>
      <c r="P1448" s="48">
        <f>HEX2DEC(RIGHT(Table132321279[[#This Row],[h1]],8))</f>
        <v>0</v>
      </c>
      <c r="Q1448" s="48" t="s">
        <v>149</v>
      </c>
      <c r="R1448" s="48">
        <f>HEX2DEC(RIGHT(Table132321279[[#This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149</v>
      </c>
      <c r="P1449" s="48">
        <f>HEX2DEC(RIGHT(Table132321279[[#This Row],[h1]],8))</f>
        <v>0</v>
      </c>
      <c r="Q1449" s="48" t="s">
        <v>149</v>
      </c>
      <c r="R1449" s="48">
        <f>HEX2DEC(RIGHT(Table132321279[[#This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149</v>
      </c>
      <c r="P1450" s="48">
        <f>HEX2DEC(RIGHT(Table132321279[[#This Row],[h1]],8))</f>
        <v>0</v>
      </c>
      <c r="Q1450" s="48" t="s">
        <v>149</v>
      </c>
      <c r="R1450" s="48">
        <f>HEX2DEC(RIGHT(Table132321279[[#This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149</v>
      </c>
      <c r="P1451" s="48">
        <f>HEX2DEC(RIGHT(Table132321279[[#This Row],[h1]],8))</f>
        <v>0</v>
      </c>
      <c r="Q1451" s="48" t="s">
        <v>149</v>
      </c>
      <c r="R1451" s="48">
        <f>HEX2DEC(RIGHT(Table132321279[[#This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149</v>
      </c>
      <c r="P1452" s="48">
        <f>HEX2DEC(RIGHT(Table132321279[[#This Row],[h1]],8))</f>
        <v>0</v>
      </c>
      <c r="Q1452" s="48" t="s">
        <v>149</v>
      </c>
      <c r="R1452" s="48">
        <f>HEX2DEC(RIGHT(Table132321279[[#This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149</v>
      </c>
      <c r="P1453" s="48">
        <f>HEX2DEC(RIGHT(Table132321279[[#This Row],[h1]],8))</f>
        <v>0</v>
      </c>
      <c r="Q1453" s="48" t="s">
        <v>149</v>
      </c>
      <c r="R1453" s="48">
        <f>HEX2DEC(RIGHT(Table132321279[[#This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149</v>
      </c>
      <c r="P1454" s="48">
        <f>HEX2DEC(RIGHT(Table132321279[[#This Row],[h1]],8))</f>
        <v>0</v>
      </c>
      <c r="Q1454" s="48" t="s">
        <v>149</v>
      </c>
      <c r="R1454" s="48">
        <f>HEX2DEC(RIGHT(Table132321279[[#This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149</v>
      </c>
      <c r="P1455" s="48">
        <f>HEX2DEC(RIGHT(Table132321279[[#This Row],[h1]],8))</f>
        <v>0</v>
      </c>
      <c r="Q1455" s="48" t="s">
        <v>149</v>
      </c>
      <c r="R1455" s="48">
        <f>HEX2DEC(RIGHT(Table132321279[[#This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149</v>
      </c>
      <c r="P1456" s="48">
        <f>HEX2DEC(RIGHT(Table132321279[[#This Row],[h1]],8))</f>
        <v>0</v>
      </c>
      <c r="Q1456" s="48" t="s">
        <v>149</v>
      </c>
      <c r="R1456" s="48">
        <f>HEX2DEC(RIGHT(Table132321279[[#This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149</v>
      </c>
      <c r="P1457" s="48">
        <f>HEX2DEC(RIGHT(Table132321279[[#This Row],[h1]],8))</f>
        <v>0</v>
      </c>
      <c r="Q1457" s="48" t="s">
        <v>149</v>
      </c>
      <c r="R1457" s="48">
        <f>HEX2DEC(RIGHT(Table132321279[[#This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149</v>
      </c>
      <c r="P1458" s="48">
        <f>HEX2DEC(RIGHT(Table132321279[[#This Row],[h1]],8))</f>
        <v>0</v>
      </c>
      <c r="Q1458" s="48" t="s">
        <v>149</v>
      </c>
      <c r="R1458" s="48">
        <f>HEX2DEC(RIGHT(Table132321279[[#This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149</v>
      </c>
      <c r="P1459" s="48">
        <f>HEX2DEC(RIGHT(Table132321279[[#This Row],[h1]],8))</f>
        <v>0</v>
      </c>
      <c r="Q1459" s="48" t="s">
        <v>149</v>
      </c>
      <c r="R1459" s="48">
        <f>HEX2DEC(RIGHT(Table132321279[[#This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149</v>
      </c>
      <c r="P1460" s="48">
        <f>HEX2DEC(RIGHT(Table132321279[[#This Row],[h1]],8))</f>
        <v>0</v>
      </c>
      <c r="Q1460" s="48" t="s">
        <v>149</v>
      </c>
      <c r="R1460" s="48">
        <f>HEX2DEC(RIGHT(Table132321279[[#This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149</v>
      </c>
      <c r="P1461" s="48">
        <f>HEX2DEC(RIGHT(Table132321279[[#This Row],[h1]],8))</f>
        <v>0</v>
      </c>
      <c r="Q1461" s="48" t="s">
        <v>149</v>
      </c>
      <c r="R1461" s="48">
        <f>HEX2DEC(RIGHT(Table132321279[[#This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149</v>
      </c>
      <c r="P1462" s="48">
        <f>HEX2DEC(RIGHT(Table132321279[[#This Row],[h1]],8))</f>
        <v>0</v>
      </c>
      <c r="Q1462" s="48" t="s">
        <v>149</v>
      </c>
      <c r="R1462" s="48">
        <f>HEX2DEC(RIGHT(Table132321279[[#This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149</v>
      </c>
      <c r="P1463" s="48">
        <f>HEX2DEC(RIGHT(Table132321279[[#This Row],[h1]],8))</f>
        <v>0</v>
      </c>
      <c r="Q1463" s="48" t="s">
        <v>149</v>
      </c>
      <c r="R1463" s="48">
        <f>HEX2DEC(RIGHT(Table132321279[[#This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149</v>
      </c>
      <c r="P1464" s="48">
        <f>HEX2DEC(RIGHT(Table132321279[[#This Row],[h1]],8))</f>
        <v>0</v>
      </c>
      <c r="Q1464" s="48" t="s">
        <v>149</v>
      </c>
      <c r="R1464" s="48">
        <f>HEX2DEC(RIGHT(Table132321279[[#This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149</v>
      </c>
      <c r="P1465" s="48">
        <f>HEX2DEC(RIGHT(Table132321279[[#This Row],[h1]],8))</f>
        <v>0</v>
      </c>
      <c r="Q1465" s="48" t="s">
        <v>149</v>
      </c>
      <c r="R1465" s="48">
        <f>HEX2DEC(RIGHT(Table132321279[[#This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149</v>
      </c>
      <c r="P1466" s="48">
        <f>HEX2DEC(RIGHT(Table132321279[[#This Row],[h1]],8))</f>
        <v>0</v>
      </c>
      <c r="Q1466" s="48" t="s">
        <v>149</v>
      </c>
      <c r="R1466" s="48">
        <f>HEX2DEC(RIGHT(Table132321279[[#This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149</v>
      </c>
      <c r="P1467" s="48">
        <f>HEX2DEC(RIGHT(Table132321279[[#This Row],[h1]],8))</f>
        <v>0</v>
      </c>
      <c r="Q1467" s="48" t="s">
        <v>149</v>
      </c>
      <c r="R1467" s="48">
        <f>HEX2DEC(RIGHT(Table132321279[[#This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149</v>
      </c>
      <c r="P1468" s="48">
        <f>HEX2DEC(RIGHT(Table132321279[[#This Row],[h1]],8))</f>
        <v>0</v>
      </c>
      <c r="Q1468" s="48" t="s">
        <v>149</v>
      </c>
      <c r="R1468" s="48">
        <f>HEX2DEC(RIGHT(Table132321279[[#This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149</v>
      </c>
      <c r="P1469" s="48">
        <f>HEX2DEC(RIGHT(Table132321279[[#This Row],[h1]],8))</f>
        <v>0</v>
      </c>
      <c r="Q1469" s="48" t="s">
        <v>149</v>
      </c>
      <c r="R1469" s="48">
        <f>HEX2DEC(RIGHT(Table132321279[[#This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149</v>
      </c>
      <c r="P1470" s="48">
        <f>HEX2DEC(RIGHT(Table132321279[[#This Row],[h1]],8))</f>
        <v>0</v>
      </c>
      <c r="Q1470" s="48" t="s">
        <v>149</v>
      </c>
      <c r="R1470" s="48">
        <f>HEX2DEC(RIGHT(Table132321279[[#This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149</v>
      </c>
      <c r="P1471" s="48">
        <f>HEX2DEC(RIGHT(Table132321279[[#This Row],[h1]],8))</f>
        <v>0</v>
      </c>
      <c r="Q1471" s="48" t="s">
        <v>149</v>
      </c>
      <c r="R1471" s="48">
        <f>HEX2DEC(RIGHT(Table132321279[[#This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149</v>
      </c>
      <c r="P1472" s="48">
        <f>HEX2DEC(RIGHT(Table132321279[[#This Row],[h1]],8))</f>
        <v>0</v>
      </c>
      <c r="Q1472" s="48" t="s">
        <v>149</v>
      </c>
      <c r="R1472" s="48">
        <f>HEX2DEC(RIGHT(Table132321279[[#This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149</v>
      </c>
      <c r="P1473" s="48">
        <f>HEX2DEC(RIGHT(Table132321279[[#This Row],[h1]],8))</f>
        <v>0</v>
      </c>
      <c r="Q1473" s="48" t="s">
        <v>149</v>
      </c>
      <c r="R1473" s="48">
        <f>HEX2DEC(RIGHT(Table132321279[[#This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149</v>
      </c>
      <c r="P1474" s="48">
        <f>HEX2DEC(RIGHT(Table132321279[[#This Row],[h1]],8))</f>
        <v>0</v>
      </c>
      <c r="Q1474" s="48" t="s">
        <v>149</v>
      </c>
      <c r="R1474" s="48">
        <f>HEX2DEC(RIGHT(Table132321279[[#This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149</v>
      </c>
      <c r="P1475" s="48">
        <f>HEX2DEC(RIGHT(Table132321279[[#This Row],[h1]],8))</f>
        <v>0</v>
      </c>
      <c r="Q1475" s="48" t="s">
        <v>149</v>
      </c>
      <c r="R1475" s="48">
        <f>HEX2DEC(RIGHT(Table132321279[[#This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149</v>
      </c>
      <c r="P1476" s="48">
        <f>HEX2DEC(RIGHT(Table132321279[[#This Row],[h1]],8))</f>
        <v>0</v>
      </c>
      <c r="Q1476" s="48" t="s">
        <v>149</v>
      </c>
      <c r="R1476" s="48">
        <f>HEX2DEC(RIGHT(Table132321279[[#This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149</v>
      </c>
      <c r="P1477" s="48">
        <f>HEX2DEC(RIGHT(Table132321279[[#This Row],[h1]],8))</f>
        <v>0</v>
      </c>
      <c r="Q1477" s="48" t="s">
        <v>149</v>
      </c>
      <c r="R1477" s="48">
        <f>HEX2DEC(RIGHT(Table132321279[[#This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149</v>
      </c>
      <c r="P1478" s="48">
        <f>HEX2DEC(RIGHT(Table132321279[[#This Row],[h1]],8))</f>
        <v>0</v>
      </c>
      <c r="Q1478" s="48" t="s">
        <v>149</v>
      </c>
      <c r="R1478" s="48">
        <f>HEX2DEC(RIGHT(Table132321279[[#This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149</v>
      </c>
      <c r="P1479" s="48">
        <f>HEX2DEC(RIGHT(Table132321279[[#This Row],[h1]],8))</f>
        <v>0</v>
      </c>
      <c r="Q1479" s="48" t="s">
        <v>149</v>
      </c>
      <c r="R1479" s="48">
        <f>HEX2DEC(RIGHT(Table132321279[[#This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149</v>
      </c>
      <c r="P1480" s="48">
        <f>HEX2DEC(RIGHT(Table132321279[[#This Row],[h1]],8))</f>
        <v>0</v>
      </c>
      <c r="Q1480" s="48" t="s">
        <v>149</v>
      </c>
      <c r="R1480" s="48">
        <f>HEX2DEC(RIGHT(Table132321279[[#This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149</v>
      </c>
      <c r="P1481" s="48">
        <f>HEX2DEC(RIGHT(Table132321279[[#This Row],[h1]],8))</f>
        <v>0</v>
      </c>
      <c r="Q1481" s="48" t="s">
        <v>149</v>
      </c>
      <c r="R1481" s="48">
        <f>HEX2DEC(RIGHT(Table132321279[[#This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149</v>
      </c>
      <c r="P1482" s="48">
        <f>HEX2DEC(RIGHT(Table132321279[[#This Row],[h1]],8))</f>
        <v>0</v>
      </c>
      <c r="Q1482" s="48" t="s">
        <v>149</v>
      </c>
      <c r="R1482" s="48">
        <f>HEX2DEC(RIGHT(Table132321279[[#This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149</v>
      </c>
      <c r="P1483" s="48">
        <f>HEX2DEC(RIGHT(Table132321279[[#This Row],[h1]],8))</f>
        <v>0</v>
      </c>
      <c r="Q1483" s="48" t="s">
        <v>149</v>
      </c>
      <c r="R1483" s="48">
        <f>HEX2DEC(RIGHT(Table132321279[[#This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149</v>
      </c>
      <c r="P1484" s="48">
        <f>HEX2DEC(RIGHT(Table132321279[[#This Row],[h1]],8))</f>
        <v>0</v>
      </c>
      <c r="Q1484" s="48" t="s">
        <v>149</v>
      </c>
      <c r="R1484" s="48">
        <f>HEX2DEC(RIGHT(Table132321279[[#This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149</v>
      </c>
      <c r="P1485" s="48">
        <f>HEX2DEC(RIGHT(Table132321279[[#This Row],[h1]],8))</f>
        <v>0</v>
      </c>
      <c r="Q1485" s="48" t="s">
        <v>149</v>
      </c>
      <c r="R1485" s="48">
        <f>HEX2DEC(RIGHT(Table132321279[[#This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149</v>
      </c>
      <c r="P1486" s="48">
        <f>HEX2DEC(RIGHT(Table132321279[[#This Row],[h1]],8))</f>
        <v>0</v>
      </c>
      <c r="Q1486" s="48" t="s">
        <v>149</v>
      </c>
      <c r="R1486" s="48">
        <f>HEX2DEC(RIGHT(Table132321279[[#This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149</v>
      </c>
      <c r="P1487" s="48">
        <f>HEX2DEC(RIGHT(Table132321279[[#This Row],[h1]],8))</f>
        <v>0</v>
      </c>
      <c r="Q1487" s="48" t="s">
        <v>149</v>
      </c>
      <c r="R1487" s="48">
        <f>HEX2DEC(RIGHT(Table132321279[[#This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149</v>
      </c>
      <c r="P1488" s="48">
        <f>HEX2DEC(RIGHT(Table132321279[[#This Row],[h1]],8))</f>
        <v>0</v>
      </c>
      <c r="Q1488" s="48" t="s">
        <v>149</v>
      </c>
      <c r="R1488" s="48">
        <f>HEX2DEC(RIGHT(Table132321279[[#This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149</v>
      </c>
      <c r="P1489" s="48">
        <f>HEX2DEC(RIGHT(Table132321279[[#This Row],[h1]],8))</f>
        <v>0</v>
      </c>
      <c r="Q1489" s="48" t="s">
        <v>149</v>
      </c>
      <c r="R1489" s="48">
        <f>HEX2DEC(RIGHT(Table132321279[[#This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149</v>
      </c>
      <c r="P1490" s="48">
        <f>HEX2DEC(RIGHT(Table132321279[[#This Row],[h1]],8))</f>
        <v>0</v>
      </c>
      <c r="Q1490" s="48" t="s">
        <v>149</v>
      </c>
      <c r="R1490" s="48">
        <f>HEX2DEC(RIGHT(Table132321279[[#This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149</v>
      </c>
      <c r="P1491" s="48">
        <f>HEX2DEC(RIGHT(Table132321279[[#This Row],[h1]],8))</f>
        <v>0</v>
      </c>
      <c r="Q1491" s="48" t="s">
        <v>149</v>
      </c>
      <c r="R1491" s="48">
        <f>HEX2DEC(RIGHT(Table132321279[[#This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149</v>
      </c>
      <c r="P1492" s="48">
        <f>HEX2DEC(RIGHT(Table132321279[[#This Row],[h1]],8))</f>
        <v>0</v>
      </c>
      <c r="Q1492" s="48" t="s">
        <v>149</v>
      </c>
      <c r="R1492" s="48">
        <f>HEX2DEC(RIGHT(Table132321279[[#This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149</v>
      </c>
      <c r="P1493" s="48">
        <f>HEX2DEC(RIGHT(Table132321279[[#This Row],[h1]],8))</f>
        <v>0</v>
      </c>
      <c r="Q1493" s="48" t="s">
        <v>149</v>
      </c>
      <c r="R1493" s="48">
        <f>HEX2DEC(RIGHT(Table132321279[[#This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149</v>
      </c>
      <c r="P1494" s="48">
        <f>HEX2DEC(RIGHT(Table132321279[[#This Row],[h1]],8))</f>
        <v>0</v>
      </c>
      <c r="Q1494" s="48" t="s">
        <v>149</v>
      </c>
      <c r="R1494" s="48">
        <f>HEX2DEC(RIGHT(Table132321279[[#This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149</v>
      </c>
      <c r="P1495" s="48">
        <f>HEX2DEC(RIGHT(Table132321279[[#This Row],[h1]],8))</f>
        <v>0</v>
      </c>
      <c r="Q1495" s="48" t="s">
        <v>149</v>
      </c>
      <c r="R1495" s="48">
        <f>HEX2DEC(RIGHT(Table132321279[[#This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149</v>
      </c>
      <c r="P1496" s="48">
        <f>HEX2DEC(RIGHT(Table132321279[[#This Row],[h1]],8))</f>
        <v>0</v>
      </c>
      <c r="Q1496" s="48" t="s">
        <v>149</v>
      </c>
      <c r="R1496" s="48">
        <f>HEX2DEC(RIGHT(Table132321279[[#This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149</v>
      </c>
      <c r="P1497" s="48">
        <f>HEX2DEC(RIGHT(Table132321279[[#This Row],[h1]],8))</f>
        <v>0</v>
      </c>
      <c r="Q1497" s="48" t="s">
        <v>149</v>
      </c>
      <c r="R1497" s="48">
        <f>HEX2DEC(RIGHT(Table132321279[[#This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149</v>
      </c>
      <c r="P1498" s="48">
        <f>HEX2DEC(RIGHT(Table132321279[[#This Row],[h1]],8))</f>
        <v>0</v>
      </c>
      <c r="Q1498" s="48" t="s">
        <v>149</v>
      </c>
      <c r="R1498" s="48">
        <f>HEX2DEC(RIGHT(Table132321279[[#This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149</v>
      </c>
      <c r="P1499" s="48">
        <f>HEX2DEC(RIGHT(Table132321279[[#This Row],[h1]],8))</f>
        <v>0</v>
      </c>
      <c r="Q1499" s="48" t="s">
        <v>149</v>
      </c>
      <c r="R1499" s="48">
        <f>HEX2DEC(RIGHT(Table132321279[[#This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149</v>
      </c>
      <c r="P1500" s="48">
        <f>HEX2DEC(RIGHT(Table132321279[[#This Row],[h1]],8))</f>
        <v>0</v>
      </c>
      <c r="Q1500" s="48" t="s">
        <v>149</v>
      </c>
      <c r="R1500" s="48">
        <f>HEX2DEC(RIGHT(Table132321279[[#This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149</v>
      </c>
      <c r="P1501" s="48">
        <f>HEX2DEC(RIGHT(Table132321279[[#This Row],[h1]],8))</f>
        <v>0</v>
      </c>
      <c r="Q1501" s="48" t="s">
        <v>149</v>
      </c>
      <c r="R1501" s="48">
        <f>HEX2DEC(RIGHT(Table132321279[[#This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149</v>
      </c>
      <c r="P1502" s="48">
        <f>HEX2DEC(RIGHT(Table132321279[[#This Row],[h1]],8))</f>
        <v>0</v>
      </c>
      <c r="Q1502" s="48" t="s">
        <v>149</v>
      </c>
      <c r="R1502" s="48">
        <f>HEX2DEC(RIGHT(Table132321279[[#This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149</v>
      </c>
      <c r="P1503" s="48">
        <f>HEX2DEC(RIGHT(Table132321279[[#This Row],[h1]],8))</f>
        <v>0</v>
      </c>
      <c r="Q1503" s="48" t="s">
        <v>149</v>
      </c>
      <c r="R1503" s="48">
        <f>HEX2DEC(RIGHT(Table132321279[[#This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149</v>
      </c>
      <c r="P1504" s="48">
        <f>HEX2DEC(RIGHT(Table132321279[[#This Row],[h1]],8))</f>
        <v>0</v>
      </c>
      <c r="Q1504" s="48" t="s">
        <v>149</v>
      </c>
      <c r="R1504" s="48">
        <f>HEX2DEC(RIGHT(Table132321279[[#This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149</v>
      </c>
      <c r="P1505" s="48">
        <f>HEX2DEC(RIGHT(Table132321279[[#This Row],[h1]],8))</f>
        <v>0</v>
      </c>
      <c r="Q1505" s="48" t="s">
        <v>149</v>
      </c>
      <c r="R1505" s="48">
        <f>HEX2DEC(RIGHT(Table132321279[[#This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149</v>
      </c>
      <c r="P1506" s="48">
        <f>HEX2DEC(RIGHT(Table132321279[[#This Row],[h1]],8))</f>
        <v>0</v>
      </c>
      <c r="Q1506" s="48" t="s">
        <v>149</v>
      </c>
      <c r="R1506" s="48">
        <f>HEX2DEC(RIGHT(Table132321279[[#This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149</v>
      </c>
      <c r="P1507" s="48">
        <f>HEX2DEC(RIGHT(Table132321279[[#This Row],[h1]],8))</f>
        <v>0</v>
      </c>
      <c r="Q1507" s="48" t="s">
        <v>149</v>
      </c>
      <c r="R1507" s="48">
        <f>HEX2DEC(RIGHT(Table132321279[[#This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149</v>
      </c>
      <c r="P1508" s="48">
        <f>HEX2DEC(RIGHT(Table132321279[[#This Row],[h1]],8))</f>
        <v>0</v>
      </c>
      <c r="Q1508" s="48" t="s">
        <v>149</v>
      </c>
      <c r="R1508" s="48">
        <f>HEX2DEC(RIGHT(Table132321279[[#This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149</v>
      </c>
      <c r="P1509" s="48">
        <f>HEX2DEC(RIGHT(Table132321279[[#This Row],[h1]],8))</f>
        <v>0</v>
      </c>
      <c r="Q1509" s="48" t="s">
        <v>149</v>
      </c>
      <c r="R1509" s="48">
        <f>HEX2DEC(RIGHT(Table132321279[[#This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149</v>
      </c>
      <c r="P1510" s="48">
        <f>HEX2DEC(RIGHT(Table132321279[[#This Row],[h1]],8))</f>
        <v>0</v>
      </c>
      <c r="Q1510" s="48" t="s">
        <v>149</v>
      </c>
      <c r="R1510" s="48">
        <f>HEX2DEC(RIGHT(Table132321279[[#This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149</v>
      </c>
      <c r="P1511" s="48">
        <f>HEX2DEC(RIGHT(Table132321279[[#This Row],[h1]],8))</f>
        <v>0</v>
      </c>
      <c r="Q1511" s="48" t="s">
        <v>149</v>
      </c>
      <c r="R1511" s="48">
        <f>HEX2DEC(RIGHT(Table132321279[[#This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149</v>
      </c>
      <c r="P1512" s="48">
        <f>HEX2DEC(RIGHT(Table132321279[[#This Row],[h1]],8))</f>
        <v>0</v>
      </c>
      <c r="Q1512" s="48" t="s">
        <v>149</v>
      </c>
      <c r="R1512" s="48">
        <f>HEX2DEC(RIGHT(Table132321279[[#This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149</v>
      </c>
      <c r="P1513" s="48">
        <f>HEX2DEC(RIGHT(Table132321279[[#This Row],[h1]],8))</f>
        <v>0</v>
      </c>
      <c r="Q1513" s="48" t="s">
        <v>149</v>
      </c>
      <c r="R1513" s="48">
        <f>HEX2DEC(RIGHT(Table132321279[[#This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149</v>
      </c>
      <c r="P1514" s="48">
        <f>HEX2DEC(RIGHT(Table132321279[[#This Row],[h1]],8))</f>
        <v>0</v>
      </c>
      <c r="Q1514" s="48" t="s">
        <v>149</v>
      </c>
      <c r="R1514" s="48">
        <f>HEX2DEC(RIGHT(Table132321279[[#This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149</v>
      </c>
      <c r="P1515" s="48">
        <f>HEX2DEC(RIGHT(Table132321279[[#This Row],[h1]],8))</f>
        <v>0</v>
      </c>
      <c r="Q1515" s="48" t="s">
        <v>149</v>
      </c>
      <c r="R1515" s="48">
        <f>HEX2DEC(RIGHT(Table132321279[[#This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149</v>
      </c>
      <c r="P1516" s="48">
        <f>HEX2DEC(RIGHT(Table132321279[[#This Row],[h1]],8))</f>
        <v>0</v>
      </c>
      <c r="Q1516" s="48" t="s">
        <v>149</v>
      </c>
      <c r="R1516" s="48">
        <f>HEX2DEC(RIGHT(Table132321279[[#This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149</v>
      </c>
      <c r="P1517" s="48">
        <f>HEX2DEC(RIGHT(Table132321279[[#This Row],[h1]],8))</f>
        <v>0</v>
      </c>
      <c r="Q1517" s="48" t="s">
        <v>149</v>
      </c>
      <c r="R1517" s="48">
        <f>HEX2DEC(RIGHT(Table132321279[[#This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149</v>
      </c>
      <c r="P1518" s="48">
        <f>HEX2DEC(RIGHT(Table132321279[[#This Row],[h1]],8))</f>
        <v>0</v>
      </c>
      <c r="Q1518" s="48" t="s">
        <v>149</v>
      </c>
      <c r="R1518" s="48">
        <f>HEX2DEC(RIGHT(Table132321279[[#This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149</v>
      </c>
      <c r="P1519" s="48">
        <f>HEX2DEC(RIGHT(Table132321279[[#This Row],[h1]],8))</f>
        <v>0</v>
      </c>
      <c r="Q1519" s="48" t="s">
        <v>149</v>
      </c>
      <c r="R1519" s="48">
        <f>HEX2DEC(RIGHT(Table132321279[[#This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149</v>
      </c>
      <c r="P1520" s="48">
        <f>HEX2DEC(RIGHT(Table132321279[[#This Row],[h1]],8))</f>
        <v>0</v>
      </c>
      <c r="Q1520" s="48" t="s">
        <v>149</v>
      </c>
      <c r="R1520" s="48">
        <f>HEX2DEC(RIGHT(Table132321279[[#This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149</v>
      </c>
      <c r="P1521" s="48">
        <f>HEX2DEC(RIGHT(Table132321279[[#This Row],[h1]],8))</f>
        <v>0</v>
      </c>
      <c r="Q1521" s="48" t="s">
        <v>149</v>
      </c>
      <c r="R1521" s="48">
        <f>HEX2DEC(RIGHT(Table132321279[[#This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149</v>
      </c>
      <c r="P1522" s="48">
        <f>HEX2DEC(RIGHT(Table132321279[[#This Row],[h1]],8))</f>
        <v>0</v>
      </c>
      <c r="Q1522" s="48" t="s">
        <v>149</v>
      </c>
      <c r="R1522" s="48">
        <f>HEX2DEC(RIGHT(Table132321279[[#This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149</v>
      </c>
      <c r="P1523" s="48">
        <f>HEX2DEC(RIGHT(Table132321279[[#This Row],[h1]],8))</f>
        <v>0</v>
      </c>
      <c r="Q1523" s="48" t="s">
        <v>149</v>
      </c>
      <c r="R1523" s="48">
        <f>HEX2DEC(RIGHT(Table132321279[[#This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149</v>
      </c>
      <c r="P1524" s="48">
        <f>HEX2DEC(RIGHT(Table132321279[[#This Row],[h1]],8))</f>
        <v>0</v>
      </c>
      <c r="Q1524" s="48" t="s">
        <v>149</v>
      </c>
      <c r="R1524" s="48">
        <f>HEX2DEC(RIGHT(Table132321279[[#This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149</v>
      </c>
      <c r="P1525" s="48">
        <f>HEX2DEC(RIGHT(Table132321279[[#This Row],[h1]],8))</f>
        <v>0</v>
      </c>
      <c r="Q1525" s="48" t="s">
        <v>149</v>
      </c>
      <c r="R1525" s="48">
        <f>HEX2DEC(RIGHT(Table132321279[[#This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149</v>
      </c>
      <c r="P1526" s="48">
        <f>HEX2DEC(RIGHT(Table132321279[[#This Row],[h1]],8))</f>
        <v>0</v>
      </c>
      <c r="Q1526" s="48" t="s">
        <v>149</v>
      </c>
      <c r="R1526" s="48">
        <f>HEX2DEC(RIGHT(Table132321279[[#This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149</v>
      </c>
      <c r="P1527" s="48">
        <f>HEX2DEC(RIGHT(Table132321279[[#This Row],[h1]],8))</f>
        <v>0</v>
      </c>
      <c r="Q1527" s="48" t="s">
        <v>149</v>
      </c>
      <c r="R1527" s="48">
        <f>HEX2DEC(RIGHT(Table132321279[[#This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149</v>
      </c>
      <c r="P1528" s="48">
        <f>HEX2DEC(RIGHT(Table132321279[[#This Row],[h1]],8))</f>
        <v>0</v>
      </c>
      <c r="Q1528" s="48" t="s">
        <v>149</v>
      </c>
      <c r="R1528" s="48">
        <f>HEX2DEC(RIGHT(Table132321279[[#This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149</v>
      </c>
      <c r="P1529" s="48">
        <f>HEX2DEC(RIGHT(Table132321279[[#This Row],[h1]],8))</f>
        <v>0</v>
      </c>
      <c r="Q1529" s="48" t="s">
        <v>149</v>
      </c>
      <c r="R1529" s="48">
        <f>HEX2DEC(RIGHT(Table132321279[[#This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149</v>
      </c>
      <c r="P1530" s="48">
        <f>HEX2DEC(RIGHT(Table132321279[[#This Row],[h1]],8))</f>
        <v>0</v>
      </c>
      <c r="Q1530" s="48" t="s">
        <v>149</v>
      </c>
      <c r="R1530" s="48">
        <f>HEX2DEC(RIGHT(Table132321279[[#This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149</v>
      </c>
      <c r="P1531" s="48">
        <f>HEX2DEC(RIGHT(Table132321279[[#This Row],[h1]],8))</f>
        <v>0</v>
      </c>
      <c r="Q1531" s="48" t="s">
        <v>149</v>
      </c>
      <c r="R1531" s="48">
        <f>HEX2DEC(RIGHT(Table132321279[[#This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149</v>
      </c>
      <c r="P1532" s="48">
        <f>HEX2DEC(RIGHT(Table132321279[[#This Row],[h1]],8))</f>
        <v>0</v>
      </c>
      <c r="Q1532" s="48" t="s">
        <v>149</v>
      </c>
      <c r="R1532" s="48">
        <f>HEX2DEC(RIGHT(Table132321279[[#This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149</v>
      </c>
      <c r="P1533" s="48">
        <f>HEX2DEC(RIGHT(Table132321279[[#This Row],[h1]],8))</f>
        <v>0</v>
      </c>
      <c r="Q1533" s="48" t="s">
        <v>149</v>
      </c>
      <c r="R1533" s="48">
        <f>HEX2DEC(RIGHT(Table132321279[[#This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149</v>
      </c>
      <c r="P1534" s="48">
        <f>HEX2DEC(RIGHT(Table132321279[[#This Row],[h1]],8))</f>
        <v>0</v>
      </c>
      <c r="Q1534" s="48" t="s">
        <v>149</v>
      </c>
      <c r="R1534" s="48">
        <f>HEX2DEC(RIGHT(Table132321279[[#This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149</v>
      </c>
      <c r="P1535" s="48">
        <f>HEX2DEC(RIGHT(Table132321279[[#This Row],[h1]],8))</f>
        <v>0</v>
      </c>
      <c r="Q1535" s="48" t="s">
        <v>149</v>
      </c>
      <c r="R1535" s="48">
        <f>HEX2DEC(RIGHT(Table132321279[[#This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149</v>
      </c>
      <c r="P1536" s="48">
        <f>HEX2DEC(RIGHT(Table132321279[[#This Row],[h1]],8))</f>
        <v>0</v>
      </c>
      <c r="Q1536" s="48" t="s">
        <v>149</v>
      </c>
      <c r="R1536" s="48">
        <f>HEX2DEC(RIGHT(Table132321279[[#This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149</v>
      </c>
      <c r="P1537" s="48">
        <f>HEX2DEC(RIGHT(Table132321279[[#This Row],[h1]],8))</f>
        <v>0</v>
      </c>
      <c r="Q1537" s="48" t="s">
        <v>149</v>
      </c>
      <c r="R1537" s="48">
        <f>HEX2DEC(RIGHT(Table132321279[[#This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149</v>
      </c>
      <c r="P1538" s="48">
        <f>HEX2DEC(RIGHT(Table132321279[[#This Row],[h1]],8))</f>
        <v>0</v>
      </c>
      <c r="Q1538" s="48" t="s">
        <v>149</v>
      </c>
      <c r="R1538" s="48">
        <f>HEX2DEC(RIGHT(Table132321279[[#This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149</v>
      </c>
      <c r="P1539" s="48">
        <f>HEX2DEC(RIGHT(Table132321279[[#This Row],[h1]],8))</f>
        <v>0</v>
      </c>
      <c r="Q1539" s="48" t="s">
        <v>149</v>
      </c>
      <c r="R1539" s="48">
        <f>HEX2DEC(RIGHT(Table132321279[[#This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149</v>
      </c>
      <c r="P1540" s="48">
        <f>HEX2DEC(RIGHT(Table132321279[[#This Row],[h1]],8))</f>
        <v>0</v>
      </c>
      <c r="Q1540" s="48" t="s">
        <v>149</v>
      </c>
      <c r="R1540" s="48">
        <f>HEX2DEC(RIGHT(Table132321279[[#This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149</v>
      </c>
      <c r="P1541" s="48">
        <f>HEX2DEC(RIGHT(Table132321279[[#This Row],[h1]],8))</f>
        <v>0</v>
      </c>
      <c r="Q1541" s="48" t="s">
        <v>149</v>
      </c>
      <c r="R1541" s="48">
        <f>HEX2DEC(RIGHT(Table132321279[[#This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149</v>
      </c>
      <c r="P1542" s="48">
        <f>HEX2DEC(RIGHT(Table132321279[[#This Row],[h1]],8))</f>
        <v>0</v>
      </c>
      <c r="Q1542" s="48" t="s">
        <v>149</v>
      </c>
      <c r="R1542" s="48">
        <f>HEX2DEC(RIGHT(Table132321279[[#This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149</v>
      </c>
      <c r="P1543" s="48">
        <f>HEX2DEC(RIGHT(Table132321279[[#This Row],[h1]],8))</f>
        <v>0</v>
      </c>
      <c r="Q1543" s="48" t="s">
        <v>149</v>
      </c>
      <c r="R1543" s="48">
        <f>HEX2DEC(RIGHT(Table132321279[[#This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149</v>
      </c>
      <c r="P1544" s="48">
        <f>HEX2DEC(RIGHT(Table132321279[[#This Row],[h1]],8))</f>
        <v>0</v>
      </c>
      <c r="Q1544" s="48" t="s">
        <v>149</v>
      </c>
      <c r="R1544" s="48">
        <f>HEX2DEC(RIGHT(Table132321279[[#This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149</v>
      </c>
      <c r="P1545" s="48">
        <f>HEX2DEC(RIGHT(Table132321279[[#This Row],[h1]],8))</f>
        <v>0</v>
      </c>
      <c r="Q1545" s="48" t="s">
        <v>149</v>
      </c>
      <c r="R1545" s="48">
        <f>HEX2DEC(RIGHT(Table132321279[[#This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149</v>
      </c>
      <c r="P1546" s="48">
        <f>HEX2DEC(RIGHT(Table132321279[[#This Row],[h1]],8))</f>
        <v>0</v>
      </c>
      <c r="Q1546" s="48" t="s">
        <v>149</v>
      </c>
      <c r="R1546" s="48">
        <f>HEX2DEC(RIGHT(Table132321279[[#This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149</v>
      </c>
      <c r="P1547" s="48">
        <f>HEX2DEC(RIGHT(Table132321279[[#This Row],[h1]],8))</f>
        <v>0</v>
      </c>
      <c r="Q1547" s="48" t="s">
        <v>149</v>
      </c>
      <c r="R1547" s="48">
        <f>HEX2DEC(RIGHT(Table132321279[[#This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149</v>
      </c>
      <c r="P1548" s="48">
        <f>HEX2DEC(RIGHT(Table132321279[[#This Row],[h1]],8))</f>
        <v>0</v>
      </c>
      <c r="Q1548" s="48" t="s">
        <v>149</v>
      </c>
      <c r="R1548" s="48">
        <f>HEX2DEC(RIGHT(Table132321279[[#This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149</v>
      </c>
      <c r="P1549" s="48">
        <f>HEX2DEC(RIGHT(Table132321279[[#This Row],[h1]],8))</f>
        <v>0</v>
      </c>
      <c r="Q1549" s="48" t="s">
        <v>149</v>
      </c>
      <c r="R1549" s="48">
        <f>HEX2DEC(RIGHT(Table132321279[[#This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149</v>
      </c>
      <c r="P1550" s="48">
        <f>HEX2DEC(RIGHT(Table132321279[[#This Row],[h1]],8))</f>
        <v>0</v>
      </c>
      <c r="Q1550" s="48" t="s">
        <v>149</v>
      </c>
      <c r="R1550" s="48">
        <f>HEX2DEC(RIGHT(Table132321279[[#This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149</v>
      </c>
      <c r="P1551" s="48">
        <f>HEX2DEC(RIGHT(Table132321279[[#This Row],[h1]],8))</f>
        <v>0</v>
      </c>
      <c r="Q1551" s="48" t="s">
        <v>149</v>
      </c>
      <c r="R1551" s="48">
        <f>HEX2DEC(RIGHT(Table132321279[[#This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149</v>
      </c>
      <c r="P1552" s="48">
        <f>HEX2DEC(RIGHT(Table132321279[[#This Row],[h1]],8))</f>
        <v>0</v>
      </c>
      <c r="Q1552" s="48" t="s">
        <v>149</v>
      </c>
      <c r="R1552" s="48">
        <f>HEX2DEC(RIGHT(Table132321279[[#This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149</v>
      </c>
      <c r="P1553" s="48">
        <f>HEX2DEC(RIGHT(Table132321279[[#This Row],[h1]],8))</f>
        <v>0</v>
      </c>
      <c r="Q1553" s="48" t="s">
        <v>149</v>
      </c>
      <c r="R1553" s="48">
        <f>HEX2DEC(RIGHT(Table132321279[[#This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149</v>
      </c>
      <c r="P1554" s="48">
        <f>HEX2DEC(RIGHT(Table132321279[[#This Row],[h1]],8))</f>
        <v>0</v>
      </c>
      <c r="Q1554" s="48" t="s">
        <v>149</v>
      </c>
      <c r="R1554" s="48">
        <f>HEX2DEC(RIGHT(Table132321279[[#This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149</v>
      </c>
      <c r="P1555" s="48">
        <f>HEX2DEC(RIGHT(Table132321279[[#This Row],[h1]],8))</f>
        <v>0</v>
      </c>
      <c r="Q1555" s="48" t="s">
        <v>149</v>
      </c>
      <c r="R1555" s="48">
        <f>HEX2DEC(RIGHT(Table132321279[[#This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149</v>
      </c>
      <c r="P1556" s="48">
        <f>HEX2DEC(RIGHT(Table132321279[[#This Row],[h1]],8))</f>
        <v>0</v>
      </c>
      <c r="Q1556" s="48" t="s">
        <v>149</v>
      </c>
      <c r="R1556" s="48">
        <f>HEX2DEC(RIGHT(Table132321279[[#This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149</v>
      </c>
      <c r="P1557" s="48">
        <f>HEX2DEC(RIGHT(Table132321279[[#This Row],[h1]],8))</f>
        <v>0</v>
      </c>
      <c r="Q1557" s="48" t="s">
        <v>149</v>
      </c>
      <c r="R1557" s="48">
        <f>HEX2DEC(RIGHT(Table132321279[[#This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149</v>
      </c>
      <c r="P1558" s="48">
        <f>HEX2DEC(RIGHT(Table132321279[[#This Row],[h1]],8))</f>
        <v>0</v>
      </c>
      <c r="Q1558" s="48" t="s">
        <v>149</v>
      </c>
      <c r="R1558" s="48">
        <f>HEX2DEC(RIGHT(Table132321279[[#This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149</v>
      </c>
      <c r="P1559" s="48">
        <f>HEX2DEC(RIGHT(Table132321279[[#This Row],[h1]],8))</f>
        <v>0</v>
      </c>
      <c r="Q1559" s="48" t="s">
        <v>149</v>
      </c>
      <c r="R1559" s="48">
        <f>HEX2DEC(RIGHT(Table132321279[[#This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149</v>
      </c>
      <c r="P1560" s="48">
        <f>HEX2DEC(RIGHT(Table132321279[[#This Row],[h1]],8))</f>
        <v>0</v>
      </c>
      <c r="Q1560" s="48" t="s">
        <v>149</v>
      </c>
      <c r="R1560" s="48">
        <f>HEX2DEC(RIGHT(Table132321279[[#This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149</v>
      </c>
      <c r="P1561" s="48">
        <f>HEX2DEC(RIGHT(Table132321279[[#This Row],[h1]],8))</f>
        <v>0</v>
      </c>
      <c r="Q1561" s="48" t="s">
        <v>149</v>
      </c>
      <c r="R1561" s="48">
        <f>HEX2DEC(RIGHT(Table132321279[[#This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149</v>
      </c>
      <c r="P1562" s="48">
        <f>HEX2DEC(RIGHT(Table132321279[[#This Row],[h1]],8))</f>
        <v>0</v>
      </c>
      <c r="Q1562" s="48" t="s">
        <v>149</v>
      </c>
      <c r="R1562" s="48">
        <f>HEX2DEC(RIGHT(Table132321279[[#This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149</v>
      </c>
      <c r="P1563" s="48">
        <f>HEX2DEC(RIGHT(Table132321279[[#This Row],[h1]],8))</f>
        <v>0</v>
      </c>
      <c r="Q1563" s="48" t="s">
        <v>149</v>
      </c>
      <c r="R1563" s="48">
        <f>HEX2DEC(RIGHT(Table132321279[[#This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149</v>
      </c>
      <c r="P1564" s="48">
        <f>HEX2DEC(RIGHT(Table132321279[[#This Row],[h1]],8))</f>
        <v>0</v>
      </c>
      <c r="Q1564" s="48" t="s">
        <v>149</v>
      </c>
      <c r="R1564" s="48">
        <f>HEX2DEC(RIGHT(Table132321279[[#This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149</v>
      </c>
      <c r="P1565" s="48">
        <f>HEX2DEC(RIGHT(Table132321279[[#This Row],[h1]],8))</f>
        <v>0</v>
      </c>
      <c r="Q1565" s="48" t="s">
        <v>149</v>
      </c>
      <c r="R1565" s="48">
        <f>HEX2DEC(RIGHT(Table132321279[[#This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149</v>
      </c>
      <c r="P1566" s="48">
        <f>HEX2DEC(RIGHT(Table132321279[[#This Row],[h1]],8))</f>
        <v>0</v>
      </c>
      <c r="Q1566" s="48" t="s">
        <v>149</v>
      </c>
      <c r="R1566" s="48">
        <f>HEX2DEC(RIGHT(Table132321279[[#This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149</v>
      </c>
      <c r="P1567" s="48">
        <f>HEX2DEC(RIGHT(Table132321279[[#This Row],[h1]],8))</f>
        <v>0</v>
      </c>
      <c r="Q1567" s="48" t="s">
        <v>149</v>
      </c>
      <c r="R1567" s="48">
        <f>HEX2DEC(RIGHT(Table132321279[[#This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149</v>
      </c>
      <c r="P1568" s="48">
        <f>HEX2DEC(RIGHT(Table132321279[[#This Row],[h1]],8))</f>
        <v>0</v>
      </c>
      <c r="Q1568" s="48" t="s">
        <v>149</v>
      </c>
      <c r="R1568" s="48">
        <f>HEX2DEC(RIGHT(Table132321279[[#This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149</v>
      </c>
      <c r="P1569" s="48">
        <f>HEX2DEC(RIGHT(Table132321279[[#This Row],[h1]],8))</f>
        <v>0</v>
      </c>
      <c r="Q1569" s="48" t="s">
        <v>149</v>
      </c>
      <c r="R1569" s="48">
        <f>HEX2DEC(RIGHT(Table132321279[[#This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149</v>
      </c>
      <c r="P1570" s="48">
        <f>HEX2DEC(RIGHT(Table132321279[[#This Row],[h1]],8))</f>
        <v>0</v>
      </c>
      <c r="Q1570" s="48" t="s">
        <v>149</v>
      </c>
      <c r="R1570" s="48">
        <f>HEX2DEC(RIGHT(Table132321279[[#This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149</v>
      </c>
      <c r="P1571" s="48">
        <f>HEX2DEC(RIGHT(Table132321279[[#This Row],[h1]],8))</f>
        <v>0</v>
      </c>
      <c r="Q1571" s="48" t="s">
        <v>149</v>
      </c>
      <c r="R1571" s="48">
        <f>HEX2DEC(RIGHT(Table132321279[[#This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149</v>
      </c>
      <c r="P1572" s="48">
        <f>HEX2DEC(RIGHT(Table132321279[[#This Row],[h1]],8))</f>
        <v>0</v>
      </c>
      <c r="Q1572" s="48" t="s">
        <v>149</v>
      </c>
      <c r="R1572" s="48">
        <f>HEX2DEC(RIGHT(Table132321279[[#This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149</v>
      </c>
      <c r="P1573" s="48">
        <f>HEX2DEC(RIGHT(Table132321279[[#This Row],[h1]],8))</f>
        <v>0</v>
      </c>
      <c r="Q1573" s="48" t="s">
        <v>149</v>
      </c>
      <c r="R1573" s="48">
        <f>HEX2DEC(RIGHT(Table132321279[[#This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149</v>
      </c>
      <c r="P1574" s="48">
        <f>HEX2DEC(RIGHT(Table132321279[[#This Row],[h1]],8))</f>
        <v>0</v>
      </c>
      <c r="Q1574" s="48" t="s">
        <v>149</v>
      </c>
      <c r="R1574" s="48">
        <f>HEX2DEC(RIGHT(Table132321279[[#This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149</v>
      </c>
      <c r="P1575" s="48">
        <f>HEX2DEC(RIGHT(Table132321279[[#This Row],[h1]],8))</f>
        <v>0</v>
      </c>
      <c r="Q1575" s="48" t="s">
        <v>149</v>
      </c>
      <c r="R1575" s="48">
        <f>HEX2DEC(RIGHT(Table132321279[[#This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149</v>
      </c>
      <c r="P1576" s="48">
        <f>HEX2DEC(RIGHT(Table132321279[[#This Row],[h1]],8))</f>
        <v>0</v>
      </c>
      <c r="Q1576" s="48" t="s">
        <v>149</v>
      </c>
      <c r="R1576" s="48">
        <f>HEX2DEC(RIGHT(Table132321279[[#This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149</v>
      </c>
      <c r="P1577" s="48">
        <f>HEX2DEC(RIGHT(Table132321279[[#This Row],[h1]],8))</f>
        <v>0</v>
      </c>
      <c r="Q1577" s="48" t="s">
        <v>149</v>
      </c>
      <c r="R1577" s="48">
        <f>HEX2DEC(RIGHT(Table132321279[[#This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149</v>
      </c>
      <c r="P1578" s="48">
        <f>HEX2DEC(RIGHT(Table132321279[[#This Row],[h1]],8))</f>
        <v>0</v>
      </c>
      <c r="Q1578" s="48" t="s">
        <v>149</v>
      </c>
      <c r="R1578" s="48">
        <f>HEX2DEC(RIGHT(Table132321279[[#This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149</v>
      </c>
      <c r="P1579" s="48">
        <f>HEX2DEC(RIGHT(Table132321279[[#This Row],[h1]],8))</f>
        <v>0</v>
      </c>
      <c r="Q1579" s="48" t="s">
        <v>149</v>
      </c>
      <c r="R1579" s="48">
        <f>HEX2DEC(RIGHT(Table132321279[[#This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149</v>
      </c>
      <c r="P1580" s="48">
        <f>HEX2DEC(RIGHT(Table132321279[[#This Row],[h1]],8))</f>
        <v>0</v>
      </c>
      <c r="Q1580" s="48" t="s">
        <v>149</v>
      </c>
      <c r="R1580" s="48">
        <f>HEX2DEC(RIGHT(Table132321279[[#This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149</v>
      </c>
      <c r="P1581" s="48">
        <f>HEX2DEC(RIGHT(Table132321279[[#This Row],[h1]],8))</f>
        <v>0</v>
      </c>
      <c r="Q1581" s="48" t="s">
        <v>149</v>
      </c>
      <c r="R1581" s="48">
        <f>HEX2DEC(RIGHT(Table132321279[[#This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149</v>
      </c>
      <c r="P1582" s="48">
        <f>HEX2DEC(RIGHT(Table132321279[[#This Row],[h1]],8))</f>
        <v>0</v>
      </c>
      <c r="Q1582" s="48" t="s">
        <v>149</v>
      </c>
      <c r="R1582" s="48">
        <f>HEX2DEC(RIGHT(Table132321279[[#This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149</v>
      </c>
      <c r="P1583" s="48">
        <f>HEX2DEC(RIGHT(Table132321279[[#This Row],[h1]],8))</f>
        <v>0</v>
      </c>
      <c r="Q1583" s="48" t="s">
        <v>149</v>
      </c>
      <c r="R1583" s="48">
        <f>HEX2DEC(RIGHT(Table132321279[[#This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149</v>
      </c>
      <c r="P1584" s="48">
        <f>HEX2DEC(RIGHT(Table132321279[[#This Row],[h1]],8))</f>
        <v>0</v>
      </c>
      <c r="Q1584" s="48" t="s">
        <v>149</v>
      </c>
      <c r="R1584" s="48">
        <f>HEX2DEC(RIGHT(Table132321279[[#This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149</v>
      </c>
      <c r="P1585" s="48">
        <f>HEX2DEC(RIGHT(Table132321279[[#This Row],[h1]],8))</f>
        <v>0</v>
      </c>
      <c r="Q1585" s="48" t="s">
        <v>149</v>
      </c>
      <c r="R1585" s="48">
        <f>HEX2DEC(RIGHT(Table132321279[[#This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149</v>
      </c>
      <c r="P1586" s="48">
        <f>HEX2DEC(RIGHT(Table132321279[[#This Row],[h1]],8))</f>
        <v>0</v>
      </c>
      <c r="Q1586" s="48" t="s">
        <v>149</v>
      </c>
      <c r="R1586" s="48">
        <f>HEX2DEC(RIGHT(Table132321279[[#This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149</v>
      </c>
      <c r="P1587" s="48">
        <f>HEX2DEC(RIGHT(Table132321279[[#This Row],[h1]],8))</f>
        <v>0</v>
      </c>
      <c r="Q1587" s="48" t="s">
        <v>149</v>
      </c>
      <c r="R1587" s="48">
        <f>HEX2DEC(RIGHT(Table132321279[[#This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149</v>
      </c>
      <c r="P1588" s="48">
        <f>HEX2DEC(RIGHT(Table132321279[[#This Row],[h1]],8))</f>
        <v>0</v>
      </c>
      <c r="Q1588" s="48" t="s">
        <v>149</v>
      </c>
      <c r="R1588" s="48">
        <f>HEX2DEC(RIGHT(Table132321279[[#This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149</v>
      </c>
      <c r="P1589" s="48">
        <f>HEX2DEC(RIGHT(Table132321279[[#This Row],[h1]],8))</f>
        <v>0</v>
      </c>
      <c r="Q1589" s="48" t="s">
        <v>149</v>
      </c>
      <c r="R1589" s="48">
        <f>HEX2DEC(RIGHT(Table132321279[[#This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149</v>
      </c>
      <c r="P1590" s="48">
        <f>HEX2DEC(RIGHT(Table132321279[[#This Row],[h1]],8))</f>
        <v>0</v>
      </c>
      <c r="Q1590" s="48" t="s">
        <v>149</v>
      </c>
      <c r="R1590" s="48">
        <f>HEX2DEC(RIGHT(Table132321279[[#This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149</v>
      </c>
      <c r="P1591" s="48">
        <f>HEX2DEC(RIGHT(Table132321279[[#This Row],[h1]],8))</f>
        <v>0</v>
      </c>
      <c r="Q1591" s="48" t="s">
        <v>149</v>
      </c>
      <c r="R1591" s="48">
        <f>HEX2DEC(RIGHT(Table132321279[[#This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149</v>
      </c>
      <c r="P1592" s="48">
        <f>HEX2DEC(RIGHT(Table132321279[[#This Row],[h1]],8))</f>
        <v>0</v>
      </c>
      <c r="Q1592" s="48" t="s">
        <v>149</v>
      </c>
      <c r="R1592" s="48">
        <f>HEX2DEC(RIGHT(Table132321279[[#This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149</v>
      </c>
      <c r="P1593" s="48">
        <f>HEX2DEC(RIGHT(Table132321279[[#This Row],[h1]],8))</f>
        <v>0</v>
      </c>
      <c r="Q1593" s="48" t="s">
        <v>149</v>
      </c>
      <c r="R1593" s="48">
        <f>HEX2DEC(RIGHT(Table132321279[[#This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149</v>
      </c>
      <c r="P1594" s="48">
        <f>HEX2DEC(RIGHT(Table132321279[[#This Row],[h1]],8))</f>
        <v>0</v>
      </c>
      <c r="Q1594" s="48" t="s">
        <v>149</v>
      </c>
      <c r="R1594" s="48">
        <f>HEX2DEC(RIGHT(Table132321279[[#This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149</v>
      </c>
      <c r="P1595" s="48">
        <f>HEX2DEC(RIGHT(Table132321279[[#This Row],[h1]],8))</f>
        <v>0</v>
      </c>
      <c r="Q1595" s="48" t="s">
        <v>149</v>
      </c>
      <c r="R1595" s="48">
        <f>HEX2DEC(RIGHT(Table132321279[[#This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149</v>
      </c>
      <c r="P1596" s="48">
        <f>HEX2DEC(RIGHT(Table132321279[[#This Row],[h1]],8))</f>
        <v>0</v>
      </c>
      <c r="Q1596" s="48" t="s">
        <v>149</v>
      </c>
      <c r="R1596" s="48">
        <f>HEX2DEC(RIGHT(Table132321279[[#This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149</v>
      </c>
      <c r="P1597" s="48">
        <f>HEX2DEC(RIGHT(Table132321279[[#This Row],[h1]],8))</f>
        <v>0</v>
      </c>
      <c r="Q1597" s="48" t="s">
        <v>149</v>
      </c>
      <c r="R1597" s="48">
        <f>HEX2DEC(RIGHT(Table132321279[[#This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149</v>
      </c>
      <c r="P1598" s="48">
        <f>HEX2DEC(RIGHT(Table132321279[[#This Row],[h1]],8))</f>
        <v>0</v>
      </c>
      <c r="Q1598" s="48" t="s">
        <v>149</v>
      </c>
      <c r="R1598" s="48">
        <f>HEX2DEC(RIGHT(Table132321279[[#This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149</v>
      </c>
      <c r="P1599" s="48">
        <f>HEX2DEC(RIGHT(Table132321279[[#This Row],[h1]],8))</f>
        <v>0</v>
      </c>
      <c r="Q1599" s="48" t="s">
        <v>149</v>
      </c>
      <c r="R1599" s="48">
        <f>HEX2DEC(RIGHT(Table132321279[[#This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149</v>
      </c>
      <c r="P1600" s="48">
        <f>HEX2DEC(RIGHT(Table132321279[[#This Row],[h1]],8))</f>
        <v>0</v>
      </c>
      <c r="Q1600" s="48" t="s">
        <v>149</v>
      </c>
      <c r="R1600" s="48">
        <f>HEX2DEC(RIGHT(Table132321279[[#This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149</v>
      </c>
      <c r="P1601" s="48">
        <f>HEX2DEC(RIGHT(Table132321279[[#This Row],[h1]],8))</f>
        <v>0</v>
      </c>
      <c r="Q1601" s="48" t="s">
        <v>149</v>
      </c>
      <c r="R1601" s="48">
        <f>HEX2DEC(RIGHT(Table132321279[[#This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149</v>
      </c>
      <c r="P1602" s="48">
        <f>HEX2DEC(RIGHT(Table132321279[[#This Row],[h1]],8))</f>
        <v>0</v>
      </c>
      <c r="Q1602" s="48" t="s">
        <v>149</v>
      </c>
      <c r="R1602" s="48">
        <f>HEX2DEC(RIGHT(Table132321279[[#This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149</v>
      </c>
      <c r="P1603" s="48">
        <f>HEX2DEC(RIGHT(Table132321279[[#This Row],[h1]],8))</f>
        <v>0</v>
      </c>
      <c r="Q1603" s="48" t="s">
        <v>149</v>
      </c>
      <c r="R1603" s="48">
        <f>HEX2DEC(RIGHT(Table132321279[[#This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149</v>
      </c>
      <c r="P1604" s="48">
        <f>HEX2DEC(RIGHT(Table132321279[[#This Row],[h1]],8))</f>
        <v>0</v>
      </c>
      <c r="Q1604" s="48" t="s">
        <v>149</v>
      </c>
      <c r="R1604" s="48">
        <f>HEX2DEC(RIGHT(Table132321279[[#This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149</v>
      </c>
      <c r="P1605" s="48">
        <f>HEX2DEC(RIGHT(Table132321279[[#This Row],[h1]],8))</f>
        <v>0</v>
      </c>
      <c r="Q1605" s="48" t="s">
        <v>149</v>
      </c>
      <c r="R1605" s="48">
        <f>HEX2DEC(RIGHT(Table132321279[[#This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149</v>
      </c>
      <c r="P1606" s="48">
        <f>HEX2DEC(RIGHT(Table132321279[[#This Row],[h1]],8))</f>
        <v>0</v>
      </c>
      <c r="Q1606" s="48" t="s">
        <v>149</v>
      </c>
      <c r="R1606" s="48">
        <f>HEX2DEC(RIGHT(Table132321279[[#This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149</v>
      </c>
      <c r="P1607" s="48">
        <f>HEX2DEC(RIGHT(Table132321279[[#This Row],[h1]],8))</f>
        <v>0</v>
      </c>
      <c r="Q1607" s="48" t="s">
        <v>149</v>
      </c>
      <c r="R1607" s="48">
        <f>HEX2DEC(RIGHT(Table132321279[[#This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149</v>
      </c>
      <c r="P1608" s="48">
        <f>HEX2DEC(RIGHT(Table132321279[[#This Row],[h1]],8))</f>
        <v>0</v>
      </c>
      <c r="Q1608" s="48" t="s">
        <v>149</v>
      </c>
      <c r="R1608" s="48">
        <f>HEX2DEC(RIGHT(Table132321279[[#This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149</v>
      </c>
      <c r="P1609" s="48">
        <f>HEX2DEC(RIGHT(Table132321279[[#This Row],[h1]],8))</f>
        <v>0</v>
      </c>
      <c r="Q1609" s="48" t="s">
        <v>149</v>
      </c>
      <c r="R1609" s="48">
        <f>HEX2DEC(RIGHT(Table132321279[[#This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149</v>
      </c>
      <c r="P1610" s="48">
        <f>HEX2DEC(RIGHT(Table132321279[[#This Row],[h1]],8))</f>
        <v>0</v>
      </c>
      <c r="Q1610" s="48" t="s">
        <v>149</v>
      </c>
      <c r="R1610" s="48">
        <f>HEX2DEC(RIGHT(Table132321279[[#This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149</v>
      </c>
      <c r="P1611" s="48">
        <f>HEX2DEC(RIGHT(Table132321279[[#This Row],[h1]],8))</f>
        <v>0</v>
      </c>
      <c r="Q1611" s="48" t="s">
        <v>149</v>
      </c>
      <c r="R1611" s="48">
        <f>HEX2DEC(RIGHT(Table132321279[[#This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149</v>
      </c>
      <c r="P1612" s="48">
        <f>HEX2DEC(RIGHT(Table132321279[[#This Row],[h1]],8))</f>
        <v>0</v>
      </c>
      <c r="Q1612" s="48" t="s">
        <v>149</v>
      </c>
      <c r="R1612" s="48">
        <f>HEX2DEC(RIGHT(Table132321279[[#This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149</v>
      </c>
      <c r="P1613" s="48">
        <f>HEX2DEC(RIGHT(Table132321279[[#This Row],[h1]],8))</f>
        <v>0</v>
      </c>
      <c r="Q1613" s="48" t="s">
        <v>149</v>
      </c>
      <c r="R1613" s="48">
        <f>HEX2DEC(RIGHT(Table132321279[[#This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149</v>
      </c>
      <c r="P1614" s="48">
        <f>HEX2DEC(RIGHT(Table132321279[[#This Row],[h1]],8))</f>
        <v>0</v>
      </c>
      <c r="Q1614" s="48" t="s">
        <v>149</v>
      </c>
      <c r="R1614" s="48">
        <f>HEX2DEC(RIGHT(Table132321279[[#This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149</v>
      </c>
      <c r="P1615" s="48">
        <f>HEX2DEC(RIGHT(Table132321279[[#This Row],[h1]],8))</f>
        <v>0</v>
      </c>
      <c r="Q1615" s="48" t="s">
        <v>149</v>
      </c>
      <c r="R1615" s="48">
        <f>HEX2DEC(RIGHT(Table132321279[[#This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149</v>
      </c>
      <c r="P1616" s="48">
        <f>HEX2DEC(RIGHT(Table132321279[[#This Row],[h1]],8))</f>
        <v>0</v>
      </c>
      <c r="Q1616" s="48" t="s">
        <v>149</v>
      </c>
      <c r="R1616" s="48">
        <f>HEX2DEC(RIGHT(Table132321279[[#This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149</v>
      </c>
      <c r="P1617" s="48">
        <f>HEX2DEC(RIGHT(Table132321279[[#This Row],[h1]],8))</f>
        <v>0</v>
      </c>
      <c r="Q1617" s="48" t="s">
        <v>149</v>
      </c>
      <c r="R1617" s="48">
        <f>HEX2DEC(RIGHT(Table132321279[[#This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149</v>
      </c>
      <c r="P1618" s="48">
        <f>HEX2DEC(RIGHT(Table132321279[[#This Row],[h1]],8))</f>
        <v>0</v>
      </c>
      <c r="Q1618" s="48" t="s">
        <v>149</v>
      </c>
      <c r="R1618" s="48">
        <f>HEX2DEC(RIGHT(Table132321279[[#This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149</v>
      </c>
      <c r="P1619" s="48">
        <f>HEX2DEC(RIGHT(Table132321279[[#This Row],[h1]],8))</f>
        <v>0</v>
      </c>
      <c r="Q1619" s="48" t="s">
        <v>149</v>
      </c>
      <c r="R1619" s="48">
        <f>HEX2DEC(RIGHT(Table132321279[[#This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149</v>
      </c>
      <c r="P1620" s="48">
        <f>HEX2DEC(RIGHT(Table132321279[[#This Row],[h1]],8))</f>
        <v>0</v>
      </c>
      <c r="Q1620" s="48" t="s">
        <v>149</v>
      </c>
      <c r="R1620" s="48">
        <f>HEX2DEC(RIGHT(Table132321279[[#This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149</v>
      </c>
      <c r="P1621" s="48">
        <f>HEX2DEC(RIGHT(Table132321279[[#This Row],[h1]],8))</f>
        <v>0</v>
      </c>
      <c r="Q1621" s="48" t="s">
        <v>149</v>
      </c>
      <c r="R1621" s="48">
        <f>HEX2DEC(RIGHT(Table132321279[[#This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149</v>
      </c>
      <c r="P1622" s="48">
        <f>HEX2DEC(RIGHT(Table132321279[[#This Row],[h1]],8))</f>
        <v>0</v>
      </c>
      <c r="Q1622" s="48" t="s">
        <v>149</v>
      </c>
      <c r="R1622" s="48">
        <f>HEX2DEC(RIGHT(Table132321279[[#This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149</v>
      </c>
      <c r="P1623" s="48">
        <f>HEX2DEC(RIGHT(Table132321279[[#This Row],[h1]],8))</f>
        <v>0</v>
      </c>
      <c r="Q1623" s="48" t="s">
        <v>149</v>
      </c>
      <c r="R1623" s="48">
        <f>HEX2DEC(RIGHT(Table132321279[[#This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149</v>
      </c>
      <c r="P1624" s="48">
        <f>HEX2DEC(RIGHT(Table132321279[[#This Row],[h1]],8))</f>
        <v>0</v>
      </c>
      <c r="Q1624" s="48" t="s">
        <v>149</v>
      </c>
      <c r="R1624" s="48">
        <f>HEX2DEC(RIGHT(Table132321279[[#This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149</v>
      </c>
      <c r="P1625" s="48">
        <f>HEX2DEC(RIGHT(Table132321279[[#This Row],[h1]],8))</f>
        <v>0</v>
      </c>
      <c r="Q1625" s="48" t="s">
        <v>149</v>
      </c>
      <c r="R1625" s="48">
        <f>HEX2DEC(RIGHT(Table132321279[[#This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149</v>
      </c>
      <c r="P1626" s="48">
        <f>HEX2DEC(RIGHT(Table132321279[[#This Row],[h1]],8))</f>
        <v>0</v>
      </c>
      <c r="Q1626" s="48" t="s">
        <v>149</v>
      </c>
      <c r="R1626" s="48">
        <f>HEX2DEC(RIGHT(Table132321279[[#This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149</v>
      </c>
      <c r="P1627" s="48">
        <f>HEX2DEC(RIGHT(Table132321279[[#This Row],[h1]],8))</f>
        <v>0</v>
      </c>
      <c r="Q1627" s="48" t="s">
        <v>149</v>
      </c>
      <c r="R1627" s="48">
        <f>HEX2DEC(RIGHT(Table132321279[[#This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149</v>
      </c>
      <c r="P1628" s="48">
        <f>HEX2DEC(RIGHT(Table132321279[[#This Row],[h1]],8))</f>
        <v>0</v>
      </c>
      <c r="Q1628" s="48" t="s">
        <v>149</v>
      </c>
      <c r="R1628" s="48">
        <f>HEX2DEC(RIGHT(Table132321279[[#This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149</v>
      </c>
      <c r="P1629" s="48">
        <f>HEX2DEC(RIGHT(Table132321279[[#This Row],[h1]],8))</f>
        <v>0</v>
      </c>
      <c r="Q1629" s="48" t="s">
        <v>149</v>
      </c>
      <c r="R1629" s="48">
        <f>HEX2DEC(RIGHT(Table132321279[[#This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149</v>
      </c>
      <c r="P1630" s="48">
        <f>HEX2DEC(RIGHT(Table132321279[[#This Row],[h1]],8))</f>
        <v>0</v>
      </c>
      <c r="Q1630" s="48" t="s">
        <v>149</v>
      </c>
      <c r="R1630" s="48">
        <f>HEX2DEC(RIGHT(Table132321279[[#This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149</v>
      </c>
      <c r="P1631" s="48">
        <f>HEX2DEC(RIGHT(Table132321279[[#This Row],[h1]],8))</f>
        <v>0</v>
      </c>
      <c r="Q1631" s="48" t="s">
        <v>149</v>
      </c>
      <c r="R1631" s="48">
        <f>HEX2DEC(RIGHT(Table132321279[[#This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149</v>
      </c>
      <c r="P1632" s="48">
        <f>HEX2DEC(RIGHT(Table132321279[[#This Row],[h1]],8))</f>
        <v>0</v>
      </c>
      <c r="Q1632" s="48" t="s">
        <v>149</v>
      </c>
      <c r="R1632" s="48">
        <f>HEX2DEC(RIGHT(Table132321279[[#This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149</v>
      </c>
      <c r="P1633" s="48">
        <f>HEX2DEC(RIGHT(Table132321279[[#This Row],[h1]],8))</f>
        <v>0</v>
      </c>
      <c r="Q1633" s="48" t="s">
        <v>149</v>
      </c>
      <c r="R1633" s="48">
        <f>HEX2DEC(RIGHT(Table132321279[[#This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149</v>
      </c>
      <c r="P1634" s="48">
        <f>HEX2DEC(RIGHT(Table132321279[[#This Row],[h1]],8))</f>
        <v>0</v>
      </c>
      <c r="Q1634" s="48" t="s">
        <v>149</v>
      </c>
      <c r="R1634" s="48">
        <f>HEX2DEC(RIGHT(Table132321279[[#This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149</v>
      </c>
      <c r="P1635" s="48">
        <f>HEX2DEC(RIGHT(Table132321279[[#This Row],[h1]],8))</f>
        <v>0</v>
      </c>
      <c r="Q1635" s="48" t="s">
        <v>149</v>
      </c>
      <c r="R1635" s="48">
        <f>HEX2DEC(RIGHT(Table132321279[[#This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149</v>
      </c>
      <c r="P1636" s="48">
        <f>HEX2DEC(RIGHT(Table132321279[[#This Row],[h1]],8))</f>
        <v>0</v>
      </c>
      <c r="Q1636" s="48" t="s">
        <v>149</v>
      </c>
      <c r="R1636" s="48">
        <f>HEX2DEC(RIGHT(Table132321279[[#This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149</v>
      </c>
      <c r="P1637" s="48">
        <f>HEX2DEC(RIGHT(Table132321279[[#This Row],[h1]],8))</f>
        <v>0</v>
      </c>
      <c r="Q1637" s="48" t="s">
        <v>149</v>
      </c>
      <c r="R1637" s="48">
        <f>HEX2DEC(RIGHT(Table132321279[[#This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149</v>
      </c>
      <c r="P1638" s="48">
        <f>HEX2DEC(RIGHT(Table132321279[[#This Row],[h1]],8))</f>
        <v>0</v>
      </c>
      <c r="Q1638" s="48" t="s">
        <v>149</v>
      </c>
      <c r="R1638" s="48">
        <f>HEX2DEC(RIGHT(Table132321279[[#This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149</v>
      </c>
      <c r="P1639" s="48">
        <f>HEX2DEC(RIGHT(Table132321279[[#This Row],[h1]],8))</f>
        <v>0</v>
      </c>
      <c r="Q1639" s="48" t="s">
        <v>149</v>
      </c>
      <c r="R1639" s="48">
        <f>HEX2DEC(RIGHT(Table132321279[[#This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149</v>
      </c>
      <c r="P1640" s="48">
        <f>HEX2DEC(RIGHT(Table132321279[[#This Row],[h1]],8))</f>
        <v>0</v>
      </c>
      <c r="Q1640" s="48" t="s">
        <v>149</v>
      </c>
      <c r="R1640" s="48">
        <f>HEX2DEC(RIGHT(Table132321279[[#This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149</v>
      </c>
      <c r="P1641" s="48">
        <f>HEX2DEC(RIGHT(Table132321279[[#This Row],[h1]],8))</f>
        <v>0</v>
      </c>
      <c r="Q1641" s="48" t="s">
        <v>149</v>
      </c>
      <c r="R1641" s="48">
        <f>HEX2DEC(RIGHT(Table132321279[[#This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149</v>
      </c>
      <c r="P1642" s="48">
        <f>HEX2DEC(RIGHT(Table132321279[[#This Row],[h1]],8))</f>
        <v>0</v>
      </c>
      <c r="Q1642" s="48" t="s">
        <v>149</v>
      </c>
      <c r="R1642" s="48">
        <f>HEX2DEC(RIGHT(Table132321279[[#This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149</v>
      </c>
      <c r="P1643" s="48">
        <f>HEX2DEC(RIGHT(Table132321279[[#This Row],[h1]],8))</f>
        <v>0</v>
      </c>
      <c r="Q1643" s="48" t="s">
        <v>149</v>
      </c>
      <c r="R1643" s="48">
        <f>HEX2DEC(RIGHT(Table132321279[[#This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149</v>
      </c>
      <c r="P1644" s="48">
        <f>HEX2DEC(RIGHT(Table132321279[[#This Row],[h1]],8))</f>
        <v>0</v>
      </c>
      <c r="Q1644" s="48" t="s">
        <v>149</v>
      </c>
      <c r="R1644" s="48">
        <f>HEX2DEC(RIGHT(Table132321279[[#This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149</v>
      </c>
      <c r="P1645" s="48">
        <f>HEX2DEC(RIGHT(Table132321279[[#This Row],[h1]],8))</f>
        <v>0</v>
      </c>
      <c r="Q1645" s="48" t="s">
        <v>149</v>
      </c>
      <c r="R1645" s="48">
        <f>HEX2DEC(RIGHT(Table132321279[[#This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149</v>
      </c>
      <c r="P1646" s="48">
        <f>HEX2DEC(RIGHT(Table132321279[[#This Row],[h1]],8))</f>
        <v>0</v>
      </c>
      <c r="Q1646" s="48" t="s">
        <v>149</v>
      </c>
      <c r="R1646" s="48">
        <f>HEX2DEC(RIGHT(Table132321279[[#This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149</v>
      </c>
      <c r="P1647" s="48">
        <f>HEX2DEC(RIGHT(Table132321279[[#This Row],[h1]],8))</f>
        <v>0</v>
      </c>
      <c r="Q1647" s="48" t="s">
        <v>149</v>
      </c>
      <c r="R1647" s="48">
        <f>HEX2DEC(RIGHT(Table132321279[[#This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149</v>
      </c>
      <c r="P1648" s="48">
        <f>HEX2DEC(RIGHT(Table132321279[[#This Row],[h1]],8))</f>
        <v>0</v>
      </c>
      <c r="Q1648" s="48" t="s">
        <v>149</v>
      </c>
      <c r="R1648" s="48">
        <f>HEX2DEC(RIGHT(Table132321279[[#This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149</v>
      </c>
      <c r="P1649" s="48">
        <f>HEX2DEC(RIGHT(Table132321279[[#This Row],[h1]],8))</f>
        <v>0</v>
      </c>
      <c r="Q1649" s="48" t="s">
        <v>149</v>
      </c>
      <c r="R1649" s="48">
        <f>HEX2DEC(RIGHT(Table132321279[[#This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149</v>
      </c>
      <c r="P1650" s="48">
        <f>HEX2DEC(RIGHT(Table132321279[[#This Row],[h1]],8))</f>
        <v>0</v>
      </c>
      <c r="Q1650" s="48" t="s">
        <v>149</v>
      </c>
      <c r="R1650" s="48">
        <f>HEX2DEC(RIGHT(Table132321279[[#This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149</v>
      </c>
      <c r="P1651" s="48">
        <f>HEX2DEC(RIGHT(Table132321279[[#This Row],[h1]],8))</f>
        <v>0</v>
      </c>
      <c r="Q1651" s="48" t="s">
        <v>149</v>
      </c>
      <c r="R1651" s="48">
        <f>HEX2DEC(RIGHT(Table132321279[[#This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149</v>
      </c>
      <c r="P1652" s="48">
        <f>HEX2DEC(RIGHT(Table132321279[[#This Row],[h1]],8))</f>
        <v>0</v>
      </c>
      <c r="Q1652" s="48" t="s">
        <v>149</v>
      </c>
      <c r="R1652" s="48">
        <f>HEX2DEC(RIGHT(Table132321279[[#This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149</v>
      </c>
      <c r="P1653" s="48">
        <f>HEX2DEC(RIGHT(Table132321279[[#This Row],[h1]],8))</f>
        <v>0</v>
      </c>
      <c r="Q1653" s="48" t="s">
        <v>149</v>
      </c>
      <c r="R1653" s="48">
        <f>HEX2DEC(RIGHT(Table132321279[[#This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149</v>
      </c>
      <c r="P1654" s="48">
        <f>HEX2DEC(RIGHT(Table132321279[[#This Row],[h1]],8))</f>
        <v>0</v>
      </c>
      <c r="Q1654" s="48" t="s">
        <v>149</v>
      </c>
      <c r="R1654" s="48">
        <f>HEX2DEC(RIGHT(Table132321279[[#This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149</v>
      </c>
      <c r="P1655" s="48">
        <f>HEX2DEC(RIGHT(Table132321279[[#This Row],[h1]],8))</f>
        <v>0</v>
      </c>
      <c r="Q1655" s="48" t="s">
        <v>149</v>
      </c>
      <c r="R1655" s="48">
        <f>HEX2DEC(RIGHT(Table132321279[[#This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149</v>
      </c>
      <c r="P1656" s="48">
        <f>HEX2DEC(RIGHT(Table132321279[[#This Row],[h1]],8))</f>
        <v>0</v>
      </c>
      <c r="Q1656" s="48" t="s">
        <v>149</v>
      </c>
      <c r="R1656" s="48">
        <f>HEX2DEC(RIGHT(Table132321279[[#This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149</v>
      </c>
      <c r="P1657" s="48">
        <f>HEX2DEC(RIGHT(Table132321279[[#This Row],[h1]],8))</f>
        <v>0</v>
      </c>
      <c r="Q1657" s="48" t="s">
        <v>149</v>
      </c>
      <c r="R1657" s="48">
        <f>HEX2DEC(RIGHT(Table132321279[[#This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149</v>
      </c>
      <c r="P1658" s="48">
        <f>HEX2DEC(RIGHT(Table132321279[[#This Row],[h1]],8))</f>
        <v>0</v>
      </c>
      <c r="Q1658" s="48" t="s">
        <v>149</v>
      </c>
      <c r="R1658" s="48">
        <f>HEX2DEC(RIGHT(Table132321279[[#This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149</v>
      </c>
      <c r="P1659" s="48">
        <f>HEX2DEC(RIGHT(Table132321279[[#This Row],[h1]],8))</f>
        <v>0</v>
      </c>
      <c r="Q1659" s="48" t="s">
        <v>149</v>
      </c>
      <c r="R1659" s="48">
        <f>HEX2DEC(RIGHT(Table132321279[[#This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149</v>
      </c>
      <c r="P1660" s="48">
        <f>HEX2DEC(RIGHT(Table132321279[[#This Row],[h1]],8))</f>
        <v>0</v>
      </c>
      <c r="Q1660" s="48" t="s">
        <v>149</v>
      </c>
      <c r="R1660" s="48">
        <f>HEX2DEC(RIGHT(Table132321279[[#This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149</v>
      </c>
      <c r="P1661" s="48">
        <f>HEX2DEC(RIGHT(Table132321279[[#This Row],[h1]],8))</f>
        <v>0</v>
      </c>
      <c r="Q1661" s="48" t="s">
        <v>149</v>
      </c>
      <c r="R1661" s="48">
        <f>HEX2DEC(RIGHT(Table132321279[[#This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149</v>
      </c>
      <c r="P1662" s="48">
        <f>HEX2DEC(RIGHT(Table132321279[[#This Row],[h1]],8))</f>
        <v>0</v>
      </c>
      <c r="Q1662" s="48" t="s">
        <v>149</v>
      </c>
      <c r="R1662" s="48">
        <f>HEX2DEC(RIGHT(Table132321279[[#This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149</v>
      </c>
      <c r="P1663" s="48">
        <f>HEX2DEC(RIGHT(Table132321279[[#This Row],[h1]],8))</f>
        <v>0</v>
      </c>
      <c r="Q1663" s="48" t="s">
        <v>149</v>
      </c>
      <c r="R1663" s="48">
        <f>HEX2DEC(RIGHT(Table132321279[[#This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149</v>
      </c>
      <c r="P1664" s="48">
        <f>HEX2DEC(RIGHT(Table132321279[[#This Row],[h1]],8))</f>
        <v>0</v>
      </c>
      <c r="Q1664" s="48" t="s">
        <v>149</v>
      </c>
      <c r="R1664" s="48">
        <f>HEX2DEC(RIGHT(Table132321279[[#This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149</v>
      </c>
      <c r="P1665" s="48">
        <f>HEX2DEC(RIGHT(Table132321279[[#This Row],[h1]],8))</f>
        <v>0</v>
      </c>
      <c r="Q1665" s="48" t="s">
        <v>149</v>
      </c>
      <c r="R1665" s="48">
        <f>HEX2DEC(RIGHT(Table132321279[[#This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149</v>
      </c>
      <c r="P1666" s="48">
        <f>HEX2DEC(RIGHT(Table132321279[[#This Row],[h1]],8))</f>
        <v>0</v>
      </c>
      <c r="Q1666" s="48" t="s">
        <v>149</v>
      </c>
      <c r="R1666" s="48">
        <f>HEX2DEC(RIGHT(Table132321279[[#This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149</v>
      </c>
      <c r="P1667" s="48">
        <f>HEX2DEC(RIGHT(Table132321279[[#This Row],[h1]],8))</f>
        <v>0</v>
      </c>
      <c r="Q1667" s="48" t="s">
        <v>149</v>
      </c>
      <c r="R1667" s="48">
        <f>HEX2DEC(RIGHT(Table132321279[[#This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149</v>
      </c>
      <c r="P1668" s="48">
        <f>HEX2DEC(RIGHT(Table132321279[[#This Row],[h1]],8))</f>
        <v>0</v>
      </c>
      <c r="Q1668" s="48" t="s">
        <v>149</v>
      </c>
      <c r="R1668" s="48">
        <f>HEX2DEC(RIGHT(Table132321279[[#This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149</v>
      </c>
      <c r="P1669" s="48">
        <f>HEX2DEC(RIGHT(Table132321279[[#This Row],[h1]],8))</f>
        <v>0</v>
      </c>
      <c r="Q1669" s="48" t="s">
        <v>149</v>
      </c>
      <c r="R1669" s="48">
        <f>HEX2DEC(RIGHT(Table132321279[[#This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149</v>
      </c>
      <c r="P1670" s="48">
        <f>HEX2DEC(RIGHT(Table132321279[[#This Row],[h1]],8))</f>
        <v>0</v>
      </c>
      <c r="Q1670" s="48" t="s">
        <v>149</v>
      </c>
      <c r="R1670" s="48">
        <f>HEX2DEC(RIGHT(Table132321279[[#This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149</v>
      </c>
      <c r="P1671" s="48">
        <f>HEX2DEC(RIGHT(Table132321279[[#This Row],[h1]],8))</f>
        <v>0</v>
      </c>
      <c r="Q1671" s="48" t="s">
        <v>149</v>
      </c>
      <c r="R1671" s="48">
        <f>HEX2DEC(RIGHT(Table132321279[[#This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149</v>
      </c>
      <c r="P1672" s="48">
        <f>HEX2DEC(RIGHT(Table132321279[[#This Row],[h1]],8))</f>
        <v>0</v>
      </c>
      <c r="Q1672" s="48" t="s">
        <v>149</v>
      </c>
      <c r="R1672" s="48">
        <f>HEX2DEC(RIGHT(Table132321279[[#This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149</v>
      </c>
      <c r="P1673" s="48">
        <f>HEX2DEC(RIGHT(Table132321279[[#This Row],[h1]],8))</f>
        <v>0</v>
      </c>
      <c r="Q1673" s="48" t="s">
        <v>149</v>
      </c>
      <c r="R1673" s="48">
        <f>HEX2DEC(RIGHT(Table132321279[[#This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149</v>
      </c>
      <c r="P1674" s="48">
        <f>HEX2DEC(RIGHT(Table132321279[[#This Row],[h1]],8))</f>
        <v>0</v>
      </c>
      <c r="Q1674" s="48" t="s">
        <v>149</v>
      </c>
      <c r="R1674" s="48">
        <f>HEX2DEC(RIGHT(Table132321279[[#This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149</v>
      </c>
      <c r="P1675" s="48">
        <f>HEX2DEC(RIGHT(Table132321279[[#This Row],[h1]],8))</f>
        <v>0</v>
      </c>
      <c r="Q1675" s="48" t="s">
        <v>149</v>
      </c>
      <c r="R1675" s="48">
        <f>HEX2DEC(RIGHT(Table132321279[[#This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149</v>
      </c>
      <c r="P1676" s="48">
        <f>HEX2DEC(RIGHT(Table132321279[[#This Row],[h1]],8))</f>
        <v>0</v>
      </c>
      <c r="Q1676" s="48" t="s">
        <v>149</v>
      </c>
      <c r="R1676" s="48">
        <f>HEX2DEC(RIGHT(Table132321279[[#This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149</v>
      </c>
      <c r="P1677" s="48">
        <f>HEX2DEC(RIGHT(Table132321279[[#This Row],[h1]],8))</f>
        <v>0</v>
      </c>
      <c r="Q1677" s="48" t="s">
        <v>149</v>
      </c>
      <c r="R1677" s="48">
        <f>HEX2DEC(RIGHT(Table132321279[[#This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149</v>
      </c>
      <c r="P1678" s="48">
        <f>HEX2DEC(RIGHT(Table132321279[[#This Row],[h1]],8))</f>
        <v>0</v>
      </c>
      <c r="Q1678" s="48" t="s">
        <v>149</v>
      </c>
      <c r="R1678" s="48">
        <f>HEX2DEC(RIGHT(Table132321279[[#This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149</v>
      </c>
      <c r="P1679" s="48">
        <f>HEX2DEC(RIGHT(Table132321279[[#This Row],[h1]],8))</f>
        <v>0</v>
      </c>
      <c r="Q1679" s="48" t="s">
        <v>149</v>
      </c>
      <c r="R1679" s="48">
        <f>HEX2DEC(RIGHT(Table132321279[[#This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149</v>
      </c>
      <c r="P1680" s="48">
        <f>HEX2DEC(RIGHT(Table132321279[[#This Row],[h1]],8))</f>
        <v>0</v>
      </c>
      <c r="Q1680" s="48" t="s">
        <v>149</v>
      </c>
      <c r="R1680" s="48">
        <f>HEX2DEC(RIGHT(Table132321279[[#This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149</v>
      </c>
      <c r="P1681" s="48">
        <f>HEX2DEC(RIGHT(Table132321279[[#This Row],[h1]],8))</f>
        <v>0</v>
      </c>
      <c r="Q1681" s="48" t="s">
        <v>149</v>
      </c>
      <c r="R1681" s="48">
        <f>HEX2DEC(RIGHT(Table132321279[[#This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149</v>
      </c>
      <c r="P1682" s="48">
        <f>HEX2DEC(RIGHT(Table132321279[[#This Row],[h1]],8))</f>
        <v>0</v>
      </c>
      <c r="Q1682" s="48" t="s">
        <v>149</v>
      </c>
      <c r="R1682" s="48">
        <f>HEX2DEC(RIGHT(Table132321279[[#This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149</v>
      </c>
      <c r="P1683" s="48">
        <f>HEX2DEC(RIGHT(Table132321279[[#This Row],[h1]],8))</f>
        <v>0</v>
      </c>
      <c r="Q1683" s="48" t="s">
        <v>149</v>
      </c>
      <c r="R1683" s="48">
        <f>HEX2DEC(RIGHT(Table132321279[[#This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149</v>
      </c>
      <c r="P1684" s="48">
        <f>HEX2DEC(RIGHT(Table132321279[[#This Row],[h1]],8))</f>
        <v>0</v>
      </c>
      <c r="Q1684" s="48" t="s">
        <v>149</v>
      </c>
      <c r="R1684" s="48">
        <f>HEX2DEC(RIGHT(Table132321279[[#This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149</v>
      </c>
      <c r="P1685" s="48">
        <f>HEX2DEC(RIGHT(Table132321279[[#This Row],[h1]],8))</f>
        <v>0</v>
      </c>
      <c r="Q1685" s="48" t="s">
        <v>149</v>
      </c>
      <c r="R1685" s="48">
        <f>HEX2DEC(RIGHT(Table132321279[[#This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149</v>
      </c>
      <c r="P1686" s="48">
        <f>HEX2DEC(RIGHT(Table132321279[[#This Row],[h1]],8))</f>
        <v>0</v>
      </c>
      <c r="Q1686" s="48" t="s">
        <v>149</v>
      </c>
      <c r="R1686" s="48">
        <f>HEX2DEC(RIGHT(Table132321279[[#This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149</v>
      </c>
      <c r="P1687" s="48">
        <f>HEX2DEC(RIGHT(Table132321279[[#This Row],[h1]],8))</f>
        <v>0</v>
      </c>
      <c r="Q1687" s="48" t="s">
        <v>149</v>
      </c>
      <c r="R1687" s="48">
        <f>HEX2DEC(RIGHT(Table132321279[[#This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149</v>
      </c>
      <c r="P1688" s="48">
        <f>HEX2DEC(RIGHT(Table132321279[[#This Row],[h1]],8))</f>
        <v>0</v>
      </c>
      <c r="Q1688" s="48" t="s">
        <v>149</v>
      </c>
      <c r="R1688" s="48">
        <f>HEX2DEC(RIGHT(Table132321279[[#This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149</v>
      </c>
      <c r="P1689" s="48">
        <f>HEX2DEC(RIGHT(Table132321279[[#This Row],[h1]],8))</f>
        <v>0</v>
      </c>
      <c r="Q1689" s="48" t="s">
        <v>149</v>
      </c>
      <c r="R1689" s="48">
        <f>HEX2DEC(RIGHT(Table132321279[[#This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149</v>
      </c>
      <c r="P1690" s="48">
        <f>HEX2DEC(RIGHT(Table132321279[[#This Row],[h1]],8))</f>
        <v>0</v>
      </c>
      <c r="Q1690" s="48" t="s">
        <v>149</v>
      </c>
      <c r="R1690" s="48">
        <f>HEX2DEC(RIGHT(Table132321279[[#This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149</v>
      </c>
      <c r="P1691" s="48">
        <f>HEX2DEC(RIGHT(Table132321279[[#This Row],[h1]],8))</f>
        <v>0</v>
      </c>
      <c r="Q1691" s="48" t="s">
        <v>149</v>
      </c>
      <c r="R1691" s="48">
        <f>HEX2DEC(RIGHT(Table132321279[[#This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149</v>
      </c>
      <c r="P1692" s="48">
        <f>HEX2DEC(RIGHT(Table132321279[[#This Row],[h1]],8))</f>
        <v>0</v>
      </c>
      <c r="Q1692" s="48" t="s">
        <v>149</v>
      </c>
      <c r="R1692" s="48">
        <f>HEX2DEC(RIGHT(Table132321279[[#This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149</v>
      </c>
      <c r="P1693" s="48">
        <f>HEX2DEC(RIGHT(Table132321279[[#This Row],[h1]],8))</f>
        <v>0</v>
      </c>
      <c r="Q1693" s="48" t="s">
        <v>149</v>
      </c>
      <c r="R1693" s="48">
        <f>HEX2DEC(RIGHT(Table132321279[[#This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149</v>
      </c>
      <c r="P1694" s="48">
        <f>HEX2DEC(RIGHT(Table132321279[[#This Row],[h1]],8))</f>
        <v>0</v>
      </c>
      <c r="Q1694" s="48" t="s">
        <v>149</v>
      </c>
      <c r="R1694" s="48">
        <f>HEX2DEC(RIGHT(Table132321279[[#This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149</v>
      </c>
      <c r="P1695" s="48">
        <f>HEX2DEC(RIGHT(Table132321279[[#This Row],[h1]],8))</f>
        <v>0</v>
      </c>
      <c r="Q1695" s="48" t="s">
        <v>149</v>
      </c>
      <c r="R1695" s="48">
        <f>HEX2DEC(RIGHT(Table132321279[[#This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149</v>
      </c>
      <c r="P1696" s="48">
        <f>HEX2DEC(RIGHT(Table132321279[[#This Row],[h1]],8))</f>
        <v>0</v>
      </c>
      <c r="Q1696" s="48" t="s">
        <v>149</v>
      </c>
      <c r="R1696" s="48">
        <f>HEX2DEC(RIGHT(Table132321279[[#This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149</v>
      </c>
      <c r="P1697" s="48">
        <f>HEX2DEC(RIGHT(Table132321279[[#This Row],[h1]],8))</f>
        <v>0</v>
      </c>
      <c r="Q1697" s="48" t="s">
        <v>149</v>
      </c>
      <c r="R1697" s="48">
        <f>HEX2DEC(RIGHT(Table132321279[[#This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149</v>
      </c>
      <c r="P1698" s="48">
        <f>HEX2DEC(RIGHT(Table132321279[[#This Row],[h1]],8))</f>
        <v>0</v>
      </c>
      <c r="Q1698" s="48" t="s">
        <v>149</v>
      </c>
      <c r="R1698" s="48">
        <f>HEX2DEC(RIGHT(Table132321279[[#This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149</v>
      </c>
      <c r="P1699" s="48">
        <f>HEX2DEC(RIGHT(Table132321279[[#This Row],[h1]],8))</f>
        <v>0</v>
      </c>
      <c r="Q1699" s="48" t="s">
        <v>149</v>
      </c>
      <c r="R1699" s="48">
        <f>HEX2DEC(RIGHT(Table132321279[[#This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149</v>
      </c>
      <c r="P1700" s="48">
        <f>HEX2DEC(RIGHT(Table132321279[[#This Row],[h1]],8))</f>
        <v>0</v>
      </c>
      <c r="Q1700" s="48" t="s">
        <v>149</v>
      </c>
      <c r="R1700" s="48">
        <f>HEX2DEC(RIGHT(Table132321279[[#This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149</v>
      </c>
      <c r="P1701" s="48">
        <f>HEX2DEC(RIGHT(Table132321279[[#This Row],[h1]],8))</f>
        <v>0</v>
      </c>
      <c r="Q1701" s="48" t="s">
        <v>149</v>
      </c>
      <c r="R1701" s="48">
        <f>HEX2DEC(RIGHT(Table132321279[[#This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149</v>
      </c>
      <c r="P1702" s="48">
        <f>HEX2DEC(RIGHT(Table132321279[[#This Row],[h1]],8))</f>
        <v>0</v>
      </c>
      <c r="Q1702" s="48" t="s">
        <v>149</v>
      </c>
      <c r="R1702" s="48">
        <f>HEX2DEC(RIGHT(Table132321279[[#This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149</v>
      </c>
      <c r="P1703" s="48">
        <f>HEX2DEC(RIGHT(Table132321279[[#This Row],[h1]],8))</f>
        <v>0</v>
      </c>
      <c r="Q1703" s="48" t="s">
        <v>149</v>
      </c>
      <c r="R1703" s="48">
        <f>HEX2DEC(RIGHT(Table132321279[[#This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149</v>
      </c>
      <c r="P1704" s="48">
        <f>HEX2DEC(RIGHT(Table132321279[[#This Row],[h1]],8))</f>
        <v>0</v>
      </c>
      <c r="Q1704" s="48" t="s">
        <v>149</v>
      </c>
      <c r="R1704" s="48">
        <f>HEX2DEC(RIGHT(Table132321279[[#This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149</v>
      </c>
      <c r="P1705" s="48">
        <f>HEX2DEC(RIGHT(Table132321279[[#This Row],[h1]],8))</f>
        <v>0</v>
      </c>
      <c r="Q1705" s="48" t="s">
        <v>149</v>
      </c>
      <c r="R1705" s="48">
        <f>HEX2DEC(RIGHT(Table132321279[[#This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149</v>
      </c>
      <c r="P1706" s="48">
        <f>HEX2DEC(RIGHT(Table132321279[[#This Row],[h1]],8))</f>
        <v>0</v>
      </c>
      <c r="Q1706" s="48" t="s">
        <v>149</v>
      </c>
      <c r="R1706" s="48">
        <f>HEX2DEC(RIGHT(Table132321279[[#This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149</v>
      </c>
      <c r="P1707" s="48">
        <f>HEX2DEC(RIGHT(Table132321279[[#This Row],[h1]],8))</f>
        <v>0</v>
      </c>
      <c r="Q1707" s="48" t="s">
        <v>149</v>
      </c>
      <c r="R1707" s="48">
        <f>HEX2DEC(RIGHT(Table132321279[[#This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149</v>
      </c>
      <c r="P1708" s="48">
        <f>HEX2DEC(RIGHT(Table132321279[[#This Row],[h1]],8))</f>
        <v>0</v>
      </c>
      <c r="Q1708" s="48" t="s">
        <v>149</v>
      </c>
      <c r="R1708" s="48">
        <f>HEX2DEC(RIGHT(Table132321279[[#This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149</v>
      </c>
      <c r="P1709" s="48">
        <f>HEX2DEC(RIGHT(Table132321279[[#This Row],[h1]],8))</f>
        <v>0</v>
      </c>
      <c r="Q1709" s="48" t="s">
        <v>149</v>
      </c>
      <c r="R1709" s="48">
        <f>HEX2DEC(RIGHT(Table132321279[[#This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149</v>
      </c>
      <c r="P1710" s="48">
        <f>HEX2DEC(RIGHT(Table132321279[[#This Row],[h1]],8))</f>
        <v>0</v>
      </c>
      <c r="Q1710" s="48" t="s">
        <v>149</v>
      </c>
      <c r="R1710" s="48">
        <f>HEX2DEC(RIGHT(Table132321279[[#This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149</v>
      </c>
      <c r="P1711" s="48">
        <f>HEX2DEC(RIGHT(Table132321279[[#This Row],[h1]],8))</f>
        <v>0</v>
      </c>
      <c r="Q1711" s="48" t="s">
        <v>149</v>
      </c>
      <c r="R1711" s="48">
        <f>HEX2DEC(RIGHT(Table132321279[[#This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149</v>
      </c>
      <c r="P1712" s="48">
        <f>HEX2DEC(RIGHT(Table132321279[[#This Row],[h1]],8))</f>
        <v>0</v>
      </c>
      <c r="Q1712" s="48" t="s">
        <v>149</v>
      </c>
      <c r="R1712" s="48">
        <f>HEX2DEC(RIGHT(Table132321279[[#This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149</v>
      </c>
      <c r="P1713" s="48">
        <f>HEX2DEC(RIGHT(Table132321279[[#This Row],[h1]],8))</f>
        <v>0</v>
      </c>
      <c r="Q1713" s="48" t="s">
        <v>149</v>
      </c>
      <c r="R1713" s="48">
        <f>HEX2DEC(RIGHT(Table132321279[[#This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149</v>
      </c>
      <c r="P1714" s="48">
        <f>HEX2DEC(RIGHT(Table132321279[[#This Row],[h1]],8))</f>
        <v>0</v>
      </c>
      <c r="Q1714" s="48" t="s">
        <v>149</v>
      </c>
      <c r="R1714" s="48">
        <f>HEX2DEC(RIGHT(Table132321279[[#This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149</v>
      </c>
      <c r="P1715" s="48">
        <f>HEX2DEC(RIGHT(Table132321279[[#This Row],[h1]],8))</f>
        <v>0</v>
      </c>
      <c r="Q1715" s="48" t="s">
        <v>149</v>
      </c>
      <c r="R1715" s="48">
        <f>HEX2DEC(RIGHT(Table132321279[[#This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149</v>
      </c>
      <c r="P1716" s="48">
        <f>HEX2DEC(RIGHT(Table132321279[[#This Row],[h1]],8))</f>
        <v>0</v>
      </c>
      <c r="Q1716" s="48" t="s">
        <v>149</v>
      </c>
      <c r="R1716" s="48">
        <f>HEX2DEC(RIGHT(Table132321279[[#This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149</v>
      </c>
      <c r="P1717" s="48">
        <f>HEX2DEC(RIGHT(Table132321279[[#This Row],[h1]],8))</f>
        <v>0</v>
      </c>
      <c r="Q1717" s="48" t="s">
        <v>149</v>
      </c>
      <c r="R1717" s="48">
        <f>HEX2DEC(RIGHT(Table132321279[[#This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149</v>
      </c>
      <c r="P1718" s="48">
        <f>HEX2DEC(RIGHT(Table132321279[[#This Row],[h1]],8))</f>
        <v>0</v>
      </c>
      <c r="Q1718" s="48" t="s">
        <v>149</v>
      </c>
      <c r="R1718" s="48">
        <f>HEX2DEC(RIGHT(Table132321279[[#This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149</v>
      </c>
      <c r="P1719" s="48">
        <f>HEX2DEC(RIGHT(Table132321279[[#This Row],[h1]],8))</f>
        <v>0</v>
      </c>
      <c r="Q1719" s="48" t="s">
        <v>149</v>
      </c>
      <c r="R1719" s="48">
        <f>HEX2DEC(RIGHT(Table132321279[[#This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149</v>
      </c>
      <c r="P1720" s="48">
        <f>HEX2DEC(RIGHT(Table132321279[[#This Row],[h1]],8))</f>
        <v>0</v>
      </c>
      <c r="Q1720" s="48" t="s">
        <v>149</v>
      </c>
      <c r="R1720" s="48">
        <f>HEX2DEC(RIGHT(Table132321279[[#This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149</v>
      </c>
      <c r="P1721" s="48">
        <f>HEX2DEC(RIGHT(Table132321279[[#This Row],[h1]],8))</f>
        <v>0</v>
      </c>
      <c r="Q1721" s="48" t="s">
        <v>149</v>
      </c>
      <c r="R1721" s="48">
        <f>HEX2DEC(RIGHT(Table132321279[[#This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149</v>
      </c>
      <c r="P1722" s="48">
        <f>HEX2DEC(RIGHT(Table132321279[[#This Row],[h1]],8))</f>
        <v>0</v>
      </c>
      <c r="Q1722" s="48" t="s">
        <v>149</v>
      </c>
      <c r="R1722" s="48">
        <f>HEX2DEC(RIGHT(Table132321279[[#This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149</v>
      </c>
      <c r="P1723" s="48">
        <f>HEX2DEC(RIGHT(Table132321279[[#This Row],[h1]],8))</f>
        <v>0</v>
      </c>
      <c r="Q1723" s="48" t="s">
        <v>149</v>
      </c>
      <c r="R1723" s="48">
        <f>HEX2DEC(RIGHT(Table132321279[[#This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149</v>
      </c>
      <c r="P1724" s="48">
        <f>HEX2DEC(RIGHT(Table132321279[[#This Row],[h1]],8))</f>
        <v>0</v>
      </c>
      <c r="Q1724" s="48" t="s">
        <v>149</v>
      </c>
      <c r="R1724" s="48">
        <f>HEX2DEC(RIGHT(Table132321279[[#This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149</v>
      </c>
      <c r="P1725" s="48">
        <f>HEX2DEC(RIGHT(Table132321279[[#This Row],[h1]],8))</f>
        <v>0</v>
      </c>
      <c r="Q1725" s="48" t="s">
        <v>149</v>
      </c>
      <c r="R1725" s="48">
        <f>HEX2DEC(RIGHT(Table132321279[[#This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149</v>
      </c>
      <c r="P1726" s="48">
        <f>HEX2DEC(RIGHT(Table132321279[[#This Row],[h1]],8))</f>
        <v>0</v>
      </c>
      <c r="Q1726" s="48" t="s">
        <v>149</v>
      </c>
      <c r="R1726" s="48">
        <f>HEX2DEC(RIGHT(Table132321279[[#This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149</v>
      </c>
      <c r="P1727" s="48">
        <f>HEX2DEC(RIGHT(Table132321279[[#This Row],[h1]],8))</f>
        <v>0</v>
      </c>
      <c r="Q1727" s="48" t="s">
        <v>149</v>
      </c>
      <c r="R1727" s="48">
        <f>HEX2DEC(RIGHT(Table132321279[[#This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149</v>
      </c>
      <c r="P1728" s="48">
        <f>HEX2DEC(RIGHT(Table132321279[[#This Row],[h1]],8))</f>
        <v>0</v>
      </c>
      <c r="Q1728" s="48" t="s">
        <v>149</v>
      </c>
      <c r="R1728" s="48">
        <f>HEX2DEC(RIGHT(Table132321279[[#This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149</v>
      </c>
      <c r="P1729" s="48">
        <f>HEX2DEC(RIGHT(Table132321279[[#This Row],[h1]],8))</f>
        <v>0</v>
      </c>
      <c r="Q1729" s="48" t="s">
        <v>149</v>
      </c>
      <c r="R1729" s="48">
        <f>HEX2DEC(RIGHT(Table132321279[[#This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149</v>
      </c>
      <c r="P1730" s="48">
        <f>HEX2DEC(RIGHT(Table132321279[[#This Row],[h1]],8))</f>
        <v>0</v>
      </c>
      <c r="Q1730" s="48" t="s">
        <v>149</v>
      </c>
      <c r="R1730" s="48">
        <f>HEX2DEC(RIGHT(Table132321279[[#This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149</v>
      </c>
      <c r="P1731" s="48">
        <f>HEX2DEC(RIGHT(Table132321279[[#This Row],[h1]],8))</f>
        <v>0</v>
      </c>
      <c r="Q1731" s="48" t="s">
        <v>149</v>
      </c>
      <c r="R1731" s="48">
        <f>HEX2DEC(RIGHT(Table132321279[[#This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149</v>
      </c>
      <c r="P1732" s="48">
        <f>HEX2DEC(RIGHT(Table132321279[[#This Row],[h1]],8))</f>
        <v>0</v>
      </c>
      <c r="Q1732" s="48" t="s">
        <v>149</v>
      </c>
      <c r="R1732" s="48">
        <f>HEX2DEC(RIGHT(Table132321279[[#This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149</v>
      </c>
      <c r="P1733" s="48">
        <f>HEX2DEC(RIGHT(Table132321279[[#This Row],[h1]],8))</f>
        <v>0</v>
      </c>
      <c r="Q1733" s="48" t="s">
        <v>149</v>
      </c>
      <c r="R1733" s="48">
        <f>HEX2DEC(RIGHT(Table132321279[[#This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149</v>
      </c>
      <c r="P1734" s="48">
        <f>HEX2DEC(RIGHT(Table132321279[[#This Row],[h1]],8))</f>
        <v>0</v>
      </c>
      <c r="Q1734" s="48" t="s">
        <v>149</v>
      </c>
      <c r="R1734" s="48">
        <f>HEX2DEC(RIGHT(Table132321279[[#This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149</v>
      </c>
      <c r="P1735" s="48">
        <f>HEX2DEC(RIGHT(Table132321279[[#This Row],[h1]],8))</f>
        <v>0</v>
      </c>
      <c r="Q1735" s="48" t="s">
        <v>149</v>
      </c>
      <c r="R1735" s="48">
        <f>HEX2DEC(RIGHT(Table132321279[[#This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149</v>
      </c>
      <c r="P1736" s="48">
        <f>HEX2DEC(RIGHT(Table132321279[[#This Row],[h1]],8))</f>
        <v>0</v>
      </c>
      <c r="Q1736" s="48" t="s">
        <v>149</v>
      </c>
      <c r="R1736" s="48">
        <f>HEX2DEC(RIGHT(Table132321279[[#This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149</v>
      </c>
      <c r="P1737" s="48">
        <f>HEX2DEC(RIGHT(Table132321279[[#This Row],[h1]],8))</f>
        <v>0</v>
      </c>
      <c r="Q1737" s="48" t="s">
        <v>149</v>
      </c>
      <c r="R1737" s="48">
        <f>HEX2DEC(RIGHT(Table132321279[[#This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149</v>
      </c>
      <c r="P1738" s="48">
        <f>HEX2DEC(RIGHT(Table132321279[[#This Row],[h1]],8))</f>
        <v>0</v>
      </c>
      <c r="Q1738" s="48" t="s">
        <v>149</v>
      </c>
      <c r="R1738" s="48">
        <f>HEX2DEC(RIGHT(Table132321279[[#This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149</v>
      </c>
      <c r="P1739" s="48">
        <f>HEX2DEC(RIGHT(Table132321279[[#This Row],[h1]],8))</f>
        <v>0</v>
      </c>
      <c r="Q1739" s="48" t="s">
        <v>149</v>
      </c>
      <c r="R1739" s="48">
        <f>HEX2DEC(RIGHT(Table132321279[[#This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149</v>
      </c>
      <c r="P1740" s="48">
        <f>HEX2DEC(RIGHT(Table132321279[[#This Row],[h1]],8))</f>
        <v>0</v>
      </c>
      <c r="Q1740" s="48" t="s">
        <v>149</v>
      </c>
      <c r="R1740" s="48">
        <f>HEX2DEC(RIGHT(Table132321279[[#This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149</v>
      </c>
      <c r="P1741" s="48">
        <f>HEX2DEC(RIGHT(Table132321279[[#This Row],[h1]],8))</f>
        <v>0</v>
      </c>
      <c r="Q1741" s="48" t="s">
        <v>149</v>
      </c>
      <c r="R1741" s="48">
        <f>HEX2DEC(RIGHT(Table132321279[[#This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149</v>
      </c>
      <c r="P1742" s="48">
        <f>HEX2DEC(RIGHT(Table132321279[[#This Row],[h1]],8))</f>
        <v>0</v>
      </c>
      <c r="Q1742" s="48" t="s">
        <v>149</v>
      </c>
      <c r="R1742" s="48">
        <f>HEX2DEC(RIGHT(Table132321279[[#This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149</v>
      </c>
      <c r="P1743" s="48">
        <f>HEX2DEC(RIGHT(Table132321279[[#This Row],[h1]],8))</f>
        <v>0</v>
      </c>
      <c r="Q1743" s="48" t="s">
        <v>149</v>
      </c>
      <c r="R1743" s="48">
        <f>HEX2DEC(RIGHT(Table132321279[[#This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149</v>
      </c>
      <c r="P1744" s="48">
        <f>HEX2DEC(RIGHT(Table132321279[[#This Row],[h1]],8))</f>
        <v>0</v>
      </c>
      <c r="Q1744" s="48" t="s">
        <v>149</v>
      </c>
      <c r="R1744" s="48">
        <f>HEX2DEC(RIGHT(Table132321279[[#This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149</v>
      </c>
      <c r="P1745" s="48">
        <f>HEX2DEC(RIGHT(Table132321279[[#This Row],[h1]],8))</f>
        <v>0</v>
      </c>
      <c r="Q1745" s="48" t="s">
        <v>149</v>
      </c>
      <c r="R1745" s="48">
        <f>HEX2DEC(RIGHT(Table132321279[[#This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149</v>
      </c>
      <c r="P1746" s="48">
        <f>HEX2DEC(RIGHT(Table132321279[[#This Row],[h1]],8))</f>
        <v>0</v>
      </c>
      <c r="Q1746" s="48" t="s">
        <v>149</v>
      </c>
      <c r="R1746" s="48">
        <f>HEX2DEC(RIGHT(Table132321279[[#This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149</v>
      </c>
      <c r="P1747" s="48">
        <f>HEX2DEC(RIGHT(Table132321279[[#This Row],[h1]],8))</f>
        <v>0</v>
      </c>
      <c r="Q1747" s="48" t="s">
        <v>149</v>
      </c>
      <c r="R1747" s="48">
        <f>HEX2DEC(RIGHT(Table132321279[[#This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149</v>
      </c>
      <c r="P1748" s="48">
        <f>HEX2DEC(RIGHT(Table132321279[[#This Row],[h1]],8))</f>
        <v>0</v>
      </c>
      <c r="Q1748" s="48" t="s">
        <v>149</v>
      </c>
      <c r="R1748" s="48">
        <f>HEX2DEC(RIGHT(Table132321279[[#This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149</v>
      </c>
      <c r="P1749" s="48">
        <f>HEX2DEC(RIGHT(Table132321279[[#This Row],[h1]],8))</f>
        <v>0</v>
      </c>
      <c r="Q1749" s="48" t="s">
        <v>149</v>
      </c>
      <c r="R1749" s="48">
        <f>HEX2DEC(RIGHT(Table132321279[[#This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149</v>
      </c>
      <c r="P1750" s="48">
        <f>HEX2DEC(RIGHT(Table132321279[[#This Row],[h1]],8))</f>
        <v>0</v>
      </c>
      <c r="Q1750" s="48" t="s">
        <v>149</v>
      </c>
      <c r="R1750" s="48">
        <f>HEX2DEC(RIGHT(Table132321279[[#This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149</v>
      </c>
      <c r="P1751" s="48">
        <f>HEX2DEC(RIGHT(Table132321279[[#This Row],[h1]],8))</f>
        <v>0</v>
      </c>
      <c r="Q1751" s="48" t="s">
        <v>149</v>
      </c>
      <c r="R1751" s="48">
        <f>HEX2DEC(RIGHT(Table132321279[[#This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149</v>
      </c>
      <c r="P1752" s="48">
        <f>HEX2DEC(RIGHT(Table132321279[[#This Row],[h1]],8))</f>
        <v>0</v>
      </c>
      <c r="Q1752" s="48" t="s">
        <v>149</v>
      </c>
      <c r="R1752" s="48">
        <f>HEX2DEC(RIGHT(Table132321279[[#This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149</v>
      </c>
      <c r="P1753" s="48">
        <f>HEX2DEC(RIGHT(Table132321279[[#This Row],[h1]],8))</f>
        <v>0</v>
      </c>
      <c r="Q1753" s="48" t="s">
        <v>149</v>
      </c>
      <c r="R1753" s="48">
        <f>HEX2DEC(RIGHT(Table132321279[[#This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149</v>
      </c>
      <c r="P1754" s="48">
        <f>HEX2DEC(RIGHT(Table132321279[[#This Row],[h1]],8))</f>
        <v>0</v>
      </c>
      <c r="Q1754" s="48" t="s">
        <v>149</v>
      </c>
      <c r="R1754" s="48">
        <f>HEX2DEC(RIGHT(Table132321279[[#This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149</v>
      </c>
      <c r="P1755" s="48">
        <f>HEX2DEC(RIGHT(Table132321279[[#This Row],[h1]],8))</f>
        <v>0</v>
      </c>
      <c r="Q1755" s="48" t="s">
        <v>149</v>
      </c>
      <c r="R1755" s="48">
        <f>HEX2DEC(RIGHT(Table132321279[[#This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149</v>
      </c>
      <c r="P1756" s="48">
        <f>HEX2DEC(RIGHT(Table132321279[[#This Row],[h1]],8))</f>
        <v>0</v>
      </c>
      <c r="Q1756" s="48" t="s">
        <v>149</v>
      </c>
      <c r="R1756" s="48">
        <f>HEX2DEC(RIGHT(Table132321279[[#This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149</v>
      </c>
      <c r="P1757" s="48">
        <f>HEX2DEC(RIGHT(Table132321279[[#This Row],[h1]],8))</f>
        <v>0</v>
      </c>
      <c r="Q1757" s="48" t="s">
        <v>149</v>
      </c>
      <c r="R1757" s="48">
        <f>HEX2DEC(RIGHT(Table132321279[[#This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149</v>
      </c>
      <c r="P1758" s="48">
        <f>HEX2DEC(RIGHT(Table132321279[[#This Row],[h1]],8))</f>
        <v>0</v>
      </c>
      <c r="Q1758" s="48" t="s">
        <v>149</v>
      </c>
      <c r="R1758" s="48">
        <f>HEX2DEC(RIGHT(Table132321279[[#This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149</v>
      </c>
      <c r="P1759" s="48">
        <f>HEX2DEC(RIGHT(Table132321279[[#This Row],[h1]],8))</f>
        <v>0</v>
      </c>
      <c r="Q1759" s="48" t="s">
        <v>149</v>
      </c>
      <c r="R1759" s="48">
        <f>HEX2DEC(RIGHT(Table132321279[[#This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149</v>
      </c>
      <c r="P1760" s="48">
        <f>HEX2DEC(RIGHT(Table132321279[[#This Row],[h1]],8))</f>
        <v>0</v>
      </c>
      <c r="Q1760" s="48" t="s">
        <v>149</v>
      </c>
      <c r="R1760" s="48">
        <f>HEX2DEC(RIGHT(Table132321279[[#This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149</v>
      </c>
      <c r="P1761" s="48">
        <f>HEX2DEC(RIGHT(Table132321279[[#This Row],[h1]],8))</f>
        <v>0</v>
      </c>
      <c r="Q1761" s="48" t="s">
        <v>149</v>
      </c>
      <c r="R1761" s="48">
        <f>HEX2DEC(RIGHT(Table132321279[[#This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149</v>
      </c>
      <c r="P1762" s="48">
        <f>HEX2DEC(RIGHT(Table132321279[[#This Row],[h1]],8))</f>
        <v>0</v>
      </c>
      <c r="Q1762" s="48" t="s">
        <v>149</v>
      </c>
      <c r="R1762" s="48">
        <f>HEX2DEC(RIGHT(Table132321279[[#This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149</v>
      </c>
      <c r="P1763" s="48">
        <f>HEX2DEC(RIGHT(Table132321279[[#This Row],[h1]],8))</f>
        <v>0</v>
      </c>
      <c r="Q1763" s="48" t="s">
        <v>149</v>
      </c>
      <c r="R1763" s="48">
        <f>HEX2DEC(RIGHT(Table132321279[[#This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149</v>
      </c>
      <c r="P1764" s="48">
        <f>HEX2DEC(RIGHT(Table132321279[[#This Row],[h1]],8))</f>
        <v>0</v>
      </c>
      <c r="Q1764" s="48" t="s">
        <v>149</v>
      </c>
      <c r="R1764" s="48">
        <f>HEX2DEC(RIGHT(Table132321279[[#This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149</v>
      </c>
      <c r="P1765" s="48">
        <f>HEX2DEC(RIGHT(Table132321279[[#This Row],[h1]],8))</f>
        <v>0</v>
      </c>
      <c r="Q1765" s="48" t="s">
        <v>149</v>
      </c>
      <c r="R1765" s="48">
        <f>HEX2DEC(RIGHT(Table132321279[[#This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149</v>
      </c>
      <c r="P1766" s="48">
        <f>HEX2DEC(RIGHT(Table132321279[[#This Row],[h1]],8))</f>
        <v>0</v>
      </c>
      <c r="Q1766" s="48" t="s">
        <v>149</v>
      </c>
      <c r="R1766" s="48">
        <f>HEX2DEC(RIGHT(Table132321279[[#This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149</v>
      </c>
      <c r="P1767" s="48">
        <f>HEX2DEC(RIGHT(Table132321279[[#This Row],[h1]],8))</f>
        <v>0</v>
      </c>
      <c r="Q1767" s="48" t="s">
        <v>149</v>
      </c>
      <c r="R1767" s="48">
        <f>HEX2DEC(RIGHT(Table132321279[[#This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149</v>
      </c>
      <c r="P1768" s="48">
        <f>HEX2DEC(RIGHT(Table132321279[[#This Row],[h1]],8))</f>
        <v>0</v>
      </c>
      <c r="Q1768" s="48" t="s">
        <v>149</v>
      </c>
      <c r="R1768" s="48">
        <f>HEX2DEC(RIGHT(Table132321279[[#This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149</v>
      </c>
      <c r="P1769" s="48">
        <f>HEX2DEC(RIGHT(Table132321279[[#This Row],[h1]],8))</f>
        <v>0</v>
      </c>
      <c r="Q1769" s="48" t="s">
        <v>149</v>
      </c>
      <c r="R1769" s="48">
        <f>HEX2DEC(RIGHT(Table132321279[[#This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149</v>
      </c>
      <c r="P1770" s="48">
        <f>HEX2DEC(RIGHT(Table132321279[[#This Row],[h1]],8))</f>
        <v>0</v>
      </c>
      <c r="Q1770" s="48" t="s">
        <v>149</v>
      </c>
      <c r="R1770" s="48">
        <f>HEX2DEC(RIGHT(Table132321279[[#This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149</v>
      </c>
      <c r="P1771" s="48">
        <f>HEX2DEC(RIGHT(Table132321279[[#This Row],[h1]],8))</f>
        <v>0</v>
      </c>
      <c r="Q1771" s="48" t="s">
        <v>149</v>
      </c>
      <c r="R1771" s="48">
        <f>HEX2DEC(RIGHT(Table132321279[[#This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149</v>
      </c>
      <c r="P1772" s="48">
        <f>HEX2DEC(RIGHT(Table132321279[[#This Row],[h1]],8))</f>
        <v>0</v>
      </c>
      <c r="Q1772" s="48" t="s">
        <v>149</v>
      </c>
      <c r="R1772" s="48">
        <f>HEX2DEC(RIGHT(Table132321279[[#This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149</v>
      </c>
      <c r="P1773" s="48">
        <f>HEX2DEC(RIGHT(Table132321279[[#This Row],[h1]],8))</f>
        <v>0</v>
      </c>
      <c r="Q1773" s="48" t="s">
        <v>149</v>
      </c>
      <c r="R1773" s="48">
        <f>HEX2DEC(RIGHT(Table132321279[[#This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149</v>
      </c>
      <c r="P1774" s="48">
        <f>HEX2DEC(RIGHT(Table132321279[[#This Row],[h1]],8))</f>
        <v>0</v>
      </c>
      <c r="Q1774" s="48" t="s">
        <v>149</v>
      </c>
      <c r="R1774" s="48">
        <f>HEX2DEC(RIGHT(Table132321279[[#This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149</v>
      </c>
      <c r="P1775" s="48">
        <f>HEX2DEC(RIGHT(Table132321279[[#This Row],[h1]],8))</f>
        <v>0</v>
      </c>
      <c r="Q1775" s="48" t="s">
        <v>149</v>
      </c>
      <c r="R1775" s="48">
        <f>HEX2DEC(RIGHT(Table132321279[[#This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149</v>
      </c>
      <c r="P1776" s="48">
        <f>HEX2DEC(RIGHT(Table132321279[[#This Row],[h1]],8))</f>
        <v>0</v>
      </c>
      <c r="Q1776" s="48" t="s">
        <v>149</v>
      </c>
      <c r="R1776" s="48">
        <f>HEX2DEC(RIGHT(Table132321279[[#This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149</v>
      </c>
      <c r="P1777" s="48">
        <f>HEX2DEC(RIGHT(Table132321279[[#This Row],[h1]],8))</f>
        <v>0</v>
      </c>
      <c r="Q1777" s="48" t="s">
        <v>149</v>
      </c>
      <c r="R1777" s="48">
        <f>HEX2DEC(RIGHT(Table132321279[[#This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149</v>
      </c>
      <c r="P1778" s="48">
        <f>HEX2DEC(RIGHT(Table132321279[[#This Row],[h1]],8))</f>
        <v>0</v>
      </c>
      <c r="Q1778" s="48" t="s">
        <v>149</v>
      </c>
      <c r="R1778" s="48">
        <f>HEX2DEC(RIGHT(Table132321279[[#This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149</v>
      </c>
      <c r="P1779" s="48">
        <f>HEX2DEC(RIGHT(Table132321279[[#This Row],[h1]],8))</f>
        <v>0</v>
      </c>
      <c r="Q1779" s="48" t="s">
        <v>149</v>
      </c>
      <c r="R1779" s="48">
        <f>HEX2DEC(RIGHT(Table132321279[[#This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149</v>
      </c>
      <c r="P1780" s="48">
        <f>HEX2DEC(RIGHT(Table132321279[[#This Row],[h1]],8))</f>
        <v>0</v>
      </c>
      <c r="Q1780" s="48" t="s">
        <v>149</v>
      </c>
      <c r="R1780" s="48">
        <f>HEX2DEC(RIGHT(Table132321279[[#This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149</v>
      </c>
      <c r="P1781" s="48">
        <f>HEX2DEC(RIGHT(Table132321279[[#This Row],[h1]],8))</f>
        <v>0</v>
      </c>
      <c r="Q1781" s="48" t="s">
        <v>149</v>
      </c>
      <c r="R1781" s="48">
        <f>HEX2DEC(RIGHT(Table132321279[[#This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149</v>
      </c>
      <c r="P1782" s="48">
        <f>HEX2DEC(RIGHT(Table132321279[[#This Row],[h1]],8))</f>
        <v>0</v>
      </c>
      <c r="Q1782" s="48" t="s">
        <v>149</v>
      </c>
      <c r="R1782" s="48">
        <f>HEX2DEC(RIGHT(Table132321279[[#This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149</v>
      </c>
      <c r="P1783" s="48">
        <f>HEX2DEC(RIGHT(Table132321279[[#This Row],[h1]],8))</f>
        <v>0</v>
      </c>
      <c r="Q1783" s="48" t="s">
        <v>149</v>
      </c>
      <c r="R1783" s="48">
        <f>HEX2DEC(RIGHT(Table132321279[[#This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149</v>
      </c>
      <c r="P1784" s="48">
        <f>HEX2DEC(RIGHT(Table132321279[[#This Row],[h1]],8))</f>
        <v>0</v>
      </c>
      <c r="Q1784" s="48" t="s">
        <v>149</v>
      </c>
      <c r="R1784" s="48">
        <f>HEX2DEC(RIGHT(Table132321279[[#This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149</v>
      </c>
      <c r="P1785" s="48">
        <f>HEX2DEC(RIGHT(Table132321279[[#This Row],[h1]],8))</f>
        <v>0</v>
      </c>
      <c r="Q1785" s="48" t="s">
        <v>149</v>
      </c>
      <c r="R1785" s="48">
        <f>HEX2DEC(RIGHT(Table132321279[[#This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149</v>
      </c>
      <c r="P1786" s="48">
        <f>HEX2DEC(RIGHT(Table132321279[[#This Row],[h1]],8))</f>
        <v>0</v>
      </c>
      <c r="Q1786" s="48" t="s">
        <v>149</v>
      </c>
      <c r="R1786" s="48">
        <f>HEX2DEC(RIGHT(Table132321279[[#This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149</v>
      </c>
      <c r="P1787" s="48">
        <f>HEX2DEC(RIGHT(Table132321279[[#This Row],[h1]],8))</f>
        <v>0</v>
      </c>
      <c r="Q1787" s="48" t="s">
        <v>149</v>
      </c>
      <c r="R1787" s="48">
        <f>HEX2DEC(RIGHT(Table132321279[[#This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149</v>
      </c>
      <c r="P1788" s="48">
        <f>HEX2DEC(RIGHT(Table132321279[[#This Row],[h1]],8))</f>
        <v>0</v>
      </c>
      <c r="Q1788" s="48" t="s">
        <v>149</v>
      </c>
      <c r="R1788" s="48">
        <f>HEX2DEC(RIGHT(Table132321279[[#This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149</v>
      </c>
      <c r="P1789" s="48">
        <f>HEX2DEC(RIGHT(Table132321279[[#This Row],[h1]],8))</f>
        <v>0</v>
      </c>
      <c r="Q1789" s="48" t="s">
        <v>149</v>
      </c>
      <c r="R1789" s="48">
        <f>HEX2DEC(RIGHT(Table132321279[[#This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149</v>
      </c>
      <c r="P1790" s="48">
        <f>HEX2DEC(RIGHT(Table132321279[[#This Row],[h1]],8))</f>
        <v>0</v>
      </c>
      <c r="Q1790" s="48" t="s">
        <v>149</v>
      </c>
      <c r="R1790" s="48">
        <f>HEX2DEC(RIGHT(Table132321279[[#This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149</v>
      </c>
      <c r="P1791" s="48">
        <f>HEX2DEC(RIGHT(Table132321279[[#This Row],[h1]],8))</f>
        <v>0</v>
      </c>
      <c r="Q1791" s="48" t="s">
        <v>149</v>
      </c>
      <c r="R1791" s="48">
        <f>HEX2DEC(RIGHT(Table132321279[[#This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149</v>
      </c>
      <c r="P1792" s="48">
        <f>HEX2DEC(RIGHT(Table132321279[[#This Row],[h1]],8))</f>
        <v>0</v>
      </c>
      <c r="Q1792" s="48" t="s">
        <v>149</v>
      </c>
      <c r="R1792" s="48">
        <f>HEX2DEC(RIGHT(Table132321279[[#This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149</v>
      </c>
      <c r="P1793" s="48">
        <f>HEX2DEC(RIGHT(Table132321279[[#This Row],[h1]],8))</f>
        <v>0</v>
      </c>
      <c r="Q1793" s="48" t="s">
        <v>149</v>
      </c>
      <c r="R1793" s="48">
        <f>HEX2DEC(RIGHT(Table132321279[[#This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149</v>
      </c>
      <c r="P1794" s="48">
        <f>HEX2DEC(RIGHT(Table132321279[[#This Row],[h1]],8))</f>
        <v>0</v>
      </c>
      <c r="Q1794" s="48" t="s">
        <v>149</v>
      </c>
      <c r="R1794" s="48">
        <f>HEX2DEC(RIGHT(Table132321279[[#This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149</v>
      </c>
      <c r="P1795" s="48">
        <f>HEX2DEC(RIGHT(Table132321279[[#This Row],[h1]],8))</f>
        <v>0</v>
      </c>
      <c r="Q1795" s="48" t="s">
        <v>149</v>
      </c>
      <c r="R1795" s="48">
        <f>HEX2DEC(RIGHT(Table132321279[[#This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149</v>
      </c>
      <c r="P1796" s="48">
        <f>HEX2DEC(RIGHT(Table132321279[[#This Row],[h1]],8))</f>
        <v>0</v>
      </c>
      <c r="Q1796" s="48" t="s">
        <v>149</v>
      </c>
      <c r="R1796" s="48">
        <f>HEX2DEC(RIGHT(Table132321279[[#This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149</v>
      </c>
      <c r="P1797" s="48">
        <f>HEX2DEC(RIGHT(Table132321279[[#This Row],[h1]],8))</f>
        <v>0</v>
      </c>
      <c r="Q1797" s="48" t="s">
        <v>149</v>
      </c>
      <c r="R1797" s="48">
        <f>HEX2DEC(RIGHT(Table132321279[[#This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149</v>
      </c>
      <c r="P1798" s="48">
        <f>HEX2DEC(RIGHT(Table132321279[[#This Row],[h1]],8))</f>
        <v>0</v>
      </c>
      <c r="Q1798" s="48" t="s">
        <v>149</v>
      </c>
      <c r="R1798" s="48">
        <f>HEX2DEC(RIGHT(Table132321279[[#This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149</v>
      </c>
      <c r="P1799" s="48">
        <f>HEX2DEC(RIGHT(Table132321279[[#This Row],[h1]],8))</f>
        <v>0</v>
      </c>
      <c r="Q1799" s="48" t="s">
        <v>149</v>
      </c>
      <c r="R1799" s="48">
        <f>HEX2DEC(RIGHT(Table132321279[[#This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149</v>
      </c>
      <c r="P1800" s="48">
        <f>HEX2DEC(RIGHT(Table132321279[[#This Row],[h1]],8))</f>
        <v>0</v>
      </c>
      <c r="Q1800" s="48" t="s">
        <v>149</v>
      </c>
      <c r="R1800" s="48">
        <f>HEX2DEC(RIGHT(Table132321279[[#This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149</v>
      </c>
      <c r="P1801" s="48">
        <f>HEX2DEC(RIGHT(Table132321279[[#This Row],[h1]],8))</f>
        <v>0</v>
      </c>
      <c r="Q1801" s="48" t="s">
        <v>149</v>
      </c>
      <c r="R1801" s="48">
        <f>HEX2DEC(RIGHT(Table132321279[[#This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149</v>
      </c>
      <c r="P1802" s="48">
        <f>HEX2DEC(RIGHT(Table132321279[[#This Row],[h1]],8))</f>
        <v>0</v>
      </c>
      <c r="Q1802" s="48" t="s">
        <v>149</v>
      </c>
      <c r="R1802" s="48">
        <f>HEX2DEC(RIGHT(Table132321279[[#This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149</v>
      </c>
      <c r="P1803" s="48">
        <f>HEX2DEC(RIGHT(Table132321279[[#This Row],[h1]],8))</f>
        <v>0</v>
      </c>
      <c r="Q1803" s="48" t="s">
        <v>149</v>
      </c>
      <c r="R1803" s="48">
        <f>HEX2DEC(RIGHT(Table132321279[[#This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149</v>
      </c>
      <c r="P1804" s="48">
        <f>HEX2DEC(RIGHT(Table132321279[[#This Row],[h1]],8))</f>
        <v>0</v>
      </c>
      <c r="Q1804" s="48" t="s">
        <v>149</v>
      </c>
      <c r="R1804" s="48">
        <f>HEX2DEC(RIGHT(Table132321279[[#This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149</v>
      </c>
      <c r="P1805" s="48">
        <f>HEX2DEC(RIGHT(Table132321279[[#This Row],[h1]],8))</f>
        <v>0</v>
      </c>
      <c r="Q1805" s="48" t="s">
        <v>149</v>
      </c>
      <c r="R1805" s="48">
        <f>HEX2DEC(RIGHT(Table132321279[[#This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149</v>
      </c>
      <c r="P1806" s="48">
        <f>HEX2DEC(RIGHT(Table132321279[[#This Row],[h1]],8))</f>
        <v>0</v>
      </c>
      <c r="Q1806" s="48" t="s">
        <v>149</v>
      </c>
      <c r="R1806" s="48">
        <f>HEX2DEC(RIGHT(Table132321279[[#This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149</v>
      </c>
      <c r="P1807" s="48">
        <f>HEX2DEC(RIGHT(Table132321279[[#This Row],[h1]],8))</f>
        <v>0</v>
      </c>
      <c r="Q1807" s="48" t="s">
        <v>149</v>
      </c>
      <c r="R1807" s="48">
        <f>HEX2DEC(RIGHT(Table132321279[[#This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149</v>
      </c>
      <c r="P1808" s="48">
        <f>HEX2DEC(RIGHT(Table132321279[[#This Row],[h1]],8))</f>
        <v>0</v>
      </c>
      <c r="Q1808" s="48" t="s">
        <v>149</v>
      </c>
      <c r="R1808" s="48">
        <f>HEX2DEC(RIGHT(Table132321279[[#This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149</v>
      </c>
      <c r="P1809" s="48">
        <f>HEX2DEC(RIGHT(Table132321279[[#This Row],[h1]],8))</f>
        <v>0</v>
      </c>
      <c r="Q1809" s="48" t="s">
        <v>149</v>
      </c>
      <c r="R1809" s="48">
        <f>HEX2DEC(RIGHT(Table132321279[[#This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149</v>
      </c>
      <c r="P1810" s="48">
        <f>HEX2DEC(RIGHT(Table132321279[[#This Row],[h1]],8))</f>
        <v>0</v>
      </c>
      <c r="Q1810" s="48" t="s">
        <v>149</v>
      </c>
      <c r="R1810" s="48">
        <f>HEX2DEC(RIGHT(Table132321279[[#This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149</v>
      </c>
      <c r="P1811" s="48">
        <f>HEX2DEC(RIGHT(Table132321279[[#This Row],[h1]],8))</f>
        <v>0</v>
      </c>
      <c r="Q1811" s="48" t="s">
        <v>149</v>
      </c>
      <c r="R1811" s="48">
        <f>HEX2DEC(RIGHT(Table132321279[[#This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149</v>
      </c>
      <c r="P1812" s="48">
        <f>HEX2DEC(RIGHT(Table132321279[[#This Row],[h1]],8))</f>
        <v>0</v>
      </c>
      <c r="Q1812" s="48" t="s">
        <v>149</v>
      </c>
      <c r="R1812" s="48">
        <f>HEX2DEC(RIGHT(Table132321279[[#This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149</v>
      </c>
      <c r="P1813" s="48">
        <f>HEX2DEC(RIGHT(Table132321279[[#This Row],[h1]],8))</f>
        <v>0</v>
      </c>
      <c r="Q1813" s="48" t="s">
        <v>149</v>
      </c>
      <c r="R1813" s="48">
        <f>HEX2DEC(RIGHT(Table132321279[[#This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149</v>
      </c>
      <c r="P1814" s="48">
        <f>HEX2DEC(RIGHT(Table132321279[[#This Row],[h1]],8))</f>
        <v>0</v>
      </c>
      <c r="Q1814" s="48" t="s">
        <v>149</v>
      </c>
      <c r="R1814" s="48">
        <f>HEX2DEC(RIGHT(Table132321279[[#This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149</v>
      </c>
      <c r="P1815" s="48">
        <f>HEX2DEC(RIGHT(Table132321279[[#This Row],[h1]],8))</f>
        <v>0</v>
      </c>
      <c r="Q1815" s="48" t="s">
        <v>149</v>
      </c>
      <c r="R1815" s="48">
        <f>HEX2DEC(RIGHT(Table132321279[[#This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149</v>
      </c>
      <c r="P1816" s="48">
        <f>HEX2DEC(RIGHT(Table132321279[[#This Row],[h1]],8))</f>
        <v>0</v>
      </c>
      <c r="Q1816" s="48" t="s">
        <v>149</v>
      </c>
      <c r="R1816" s="48">
        <f>HEX2DEC(RIGHT(Table132321279[[#This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149</v>
      </c>
      <c r="P1817" s="48">
        <f>HEX2DEC(RIGHT(Table132321279[[#This Row],[h1]],8))</f>
        <v>0</v>
      </c>
      <c r="Q1817" s="48" t="s">
        <v>149</v>
      </c>
      <c r="R1817" s="48">
        <f>HEX2DEC(RIGHT(Table132321279[[#This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149</v>
      </c>
      <c r="P1818" s="48">
        <f>HEX2DEC(RIGHT(Table132321279[[#This Row],[h1]],8))</f>
        <v>0</v>
      </c>
      <c r="Q1818" s="48" t="s">
        <v>149</v>
      </c>
      <c r="R1818" s="48">
        <f>HEX2DEC(RIGHT(Table132321279[[#This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149</v>
      </c>
      <c r="P1819" s="48">
        <f>HEX2DEC(RIGHT(Table132321279[[#This Row],[h1]],8))</f>
        <v>0</v>
      </c>
      <c r="Q1819" s="48" t="s">
        <v>149</v>
      </c>
      <c r="R1819" s="48">
        <f>HEX2DEC(RIGHT(Table132321279[[#This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149</v>
      </c>
      <c r="P1820" s="48">
        <f>HEX2DEC(RIGHT(Table132321279[[#This Row],[h1]],8))</f>
        <v>0</v>
      </c>
      <c r="Q1820" s="48" t="s">
        <v>149</v>
      </c>
      <c r="R1820" s="48">
        <f>HEX2DEC(RIGHT(Table132321279[[#This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149</v>
      </c>
      <c r="P1821" s="48">
        <f>HEX2DEC(RIGHT(Table132321279[[#This Row],[h1]],8))</f>
        <v>0</v>
      </c>
      <c r="Q1821" s="48" t="s">
        <v>149</v>
      </c>
      <c r="R1821" s="48">
        <f>HEX2DEC(RIGHT(Table132321279[[#This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149</v>
      </c>
      <c r="P1822" s="48">
        <f>HEX2DEC(RIGHT(Table132321279[[#This Row],[h1]],8))</f>
        <v>0</v>
      </c>
      <c r="Q1822" s="48" t="s">
        <v>149</v>
      </c>
      <c r="R1822" s="48">
        <f>HEX2DEC(RIGHT(Table132321279[[#This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149</v>
      </c>
      <c r="P1823" s="48">
        <f>HEX2DEC(RIGHT(Table132321279[[#This Row],[h1]],8))</f>
        <v>0</v>
      </c>
      <c r="Q1823" s="48" t="s">
        <v>149</v>
      </c>
      <c r="R1823" s="48">
        <f>HEX2DEC(RIGHT(Table132321279[[#This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149</v>
      </c>
      <c r="P1824" s="48">
        <f>HEX2DEC(RIGHT(Table132321279[[#This Row],[h1]],8))</f>
        <v>0</v>
      </c>
      <c r="Q1824" s="48" t="s">
        <v>149</v>
      </c>
      <c r="R1824" s="48">
        <f>HEX2DEC(RIGHT(Table132321279[[#This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149</v>
      </c>
      <c r="P1825" s="48">
        <f>HEX2DEC(RIGHT(Table132321279[[#This Row],[h1]],8))</f>
        <v>0</v>
      </c>
      <c r="Q1825" s="48" t="s">
        <v>149</v>
      </c>
      <c r="R1825" s="48">
        <f>HEX2DEC(RIGHT(Table132321279[[#This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149</v>
      </c>
      <c r="P1826" s="48">
        <f>HEX2DEC(RIGHT(Table132321279[[#This Row],[h1]],8))</f>
        <v>0</v>
      </c>
      <c r="Q1826" s="48" t="s">
        <v>149</v>
      </c>
      <c r="R1826" s="48">
        <f>HEX2DEC(RIGHT(Table132321279[[#This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149</v>
      </c>
      <c r="P1827" s="48">
        <f>HEX2DEC(RIGHT(Table132321279[[#This Row],[h1]],8))</f>
        <v>0</v>
      </c>
      <c r="Q1827" s="48" t="s">
        <v>149</v>
      </c>
      <c r="R1827" s="48">
        <f>HEX2DEC(RIGHT(Table132321279[[#This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149</v>
      </c>
      <c r="P1828" s="48">
        <f>HEX2DEC(RIGHT(Table132321279[[#This Row],[h1]],8))</f>
        <v>0</v>
      </c>
      <c r="Q1828" s="48" t="s">
        <v>149</v>
      </c>
      <c r="R1828" s="48">
        <f>HEX2DEC(RIGHT(Table132321279[[#This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149</v>
      </c>
      <c r="P1829" s="48">
        <f>HEX2DEC(RIGHT(Table132321279[[#This Row],[h1]],8))</f>
        <v>0</v>
      </c>
      <c r="Q1829" s="48" t="s">
        <v>149</v>
      </c>
      <c r="R1829" s="48">
        <f>HEX2DEC(RIGHT(Table132321279[[#This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149</v>
      </c>
      <c r="P1830" s="48">
        <f>HEX2DEC(RIGHT(Table132321279[[#This Row],[h1]],8))</f>
        <v>0</v>
      </c>
      <c r="Q1830" s="48" t="s">
        <v>149</v>
      </c>
      <c r="R1830" s="48">
        <f>HEX2DEC(RIGHT(Table132321279[[#This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149</v>
      </c>
      <c r="P1831" s="48">
        <f>HEX2DEC(RIGHT(Table132321279[[#This Row],[h1]],8))</f>
        <v>0</v>
      </c>
      <c r="Q1831" s="48" t="s">
        <v>149</v>
      </c>
      <c r="R1831" s="48">
        <f>HEX2DEC(RIGHT(Table132321279[[#This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149</v>
      </c>
      <c r="P1832" s="48">
        <f>HEX2DEC(RIGHT(Table132321279[[#This Row],[h1]],8))</f>
        <v>0</v>
      </c>
      <c r="Q1832" s="48" t="s">
        <v>149</v>
      </c>
      <c r="R1832" s="48">
        <f>HEX2DEC(RIGHT(Table132321279[[#This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149</v>
      </c>
      <c r="P1833" s="48">
        <f>HEX2DEC(RIGHT(Table132321279[[#This Row],[h1]],8))</f>
        <v>0</v>
      </c>
      <c r="Q1833" s="48" t="s">
        <v>149</v>
      </c>
      <c r="R1833" s="48">
        <f>HEX2DEC(RIGHT(Table132321279[[#This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149</v>
      </c>
      <c r="P1834" s="48">
        <f>HEX2DEC(RIGHT(Table132321279[[#This Row],[h1]],8))</f>
        <v>0</v>
      </c>
      <c r="Q1834" s="48" t="s">
        <v>149</v>
      </c>
      <c r="R1834" s="48">
        <f>HEX2DEC(RIGHT(Table132321279[[#This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149</v>
      </c>
      <c r="P1835" s="48">
        <f>HEX2DEC(RIGHT(Table132321279[[#This Row],[h1]],8))</f>
        <v>0</v>
      </c>
      <c r="Q1835" s="48" t="s">
        <v>149</v>
      </c>
      <c r="R1835" s="48">
        <f>HEX2DEC(RIGHT(Table132321279[[#This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149</v>
      </c>
      <c r="P1836" s="48">
        <f>HEX2DEC(RIGHT(Table132321279[[#This Row],[h1]],8))</f>
        <v>0</v>
      </c>
      <c r="Q1836" s="48" t="s">
        <v>149</v>
      </c>
      <c r="R1836" s="48">
        <f>HEX2DEC(RIGHT(Table132321279[[#This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149</v>
      </c>
      <c r="P1837" s="48">
        <f>HEX2DEC(RIGHT(Table132321279[[#This Row],[h1]],8))</f>
        <v>0</v>
      </c>
      <c r="Q1837" s="48" t="s">
        <v>149</v>
      </c>
      <c r="R1837" s="48">
        <f>HEX2DEC(RIGHT(Table132321279[[#This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149</v>
      </c>
      <c r="P1838" s="48">
        <f>HEX2DEC(RIGHT(Table132321279[[#This Row],[h1]],8))</f>
        <v>0</v>
      </c>
      <c r="Q1838" s="48" t="s">
        <v>149</v>
      </c>
      <c r="R1838" s="48">
        <f>HEX2DEC(RIGHT(Table132321279[[#This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149</v>
      </c>
      <c r="P1839" s="48">
        <f>HEX2DEC(RIGHT(Table132321279[[#This Row],[h1]],8))</f>
        <v>0</v>
      </c>
      <c r="Q1839" s="48" t="s">
        <v>149</v>
      </c>
      <c r="R1839" s="48">
        <f>HEX2DEC(RIGHT(Table132321279[[#This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149</v>
      </c>
      <c r="P1840" s="48">
        <f>HEX2DEC(RIGHT(Table132321279[[#This Row],[h1]],8))</f>
        <v>0</v>
      </c>
      <c r="Q1840" s="48" t="s">
        <v>149</v>
      </c>
      <c r="R1840" s="48">
        <f>HEX2DEC(RIGHT(Table132321279[[#This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149</v>
      </c>
      <c r="P1841" s="48">
        <f>HEX2DEC(RIGHT(Table132321279[[#This Row],[h1]],8))</f>
        <v>0</v>
      </c>
      <c r="Q1841" s="48" t="s">
        <v>149</v>
      </c>
      <c r="R1841" s="48">
        <f>HEX2DEC(RIGHT(Table132321279[[#This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149</v>
      </c>
      <c r="P1842" s="48">
        <f>HEX2DEC(RIGHT(Table132321279[[#This Row],[h1]],8))</f>
        <v>0</v>
      </c>
      <c r="Q1842" s="48" t="s">
        <v>149</v>
      </c>
      <c r="R1842" s="48">
        <f>HEX2DEC(RIGHT(Table132321279[[#This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149</v>
      </c>
      <c r="P1843" s="48">
        <f>HEX2DEC(RIGHT(Table132321279[[#This Row],[h1]],8))</f>
        <v>0</v>
      </c>
      <c r="Q1843" s="48" t="s">
        <v>149</v>
      </c>
      <c r="R1843" s="48">
        <f>HEX2DEC(RIGHT(Table132321279[[#This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149</v>
      </c>
      <c r="P1844" s="48">
        <f>HEX2DEC(RIGHT(Table132321279[[#This Row],[h1]],8))</f>
        <v>0</v>
      </c>
      <c r="Q1844" s="48" t="s">
        <v>149</v>
      </c>
      <c r="R1844" s="48">
        <f>HEX2DEC(RIGHT(Table132321279[[#This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149</v>
      </c>
      <c r="P1845" s="48">
        <f>HEX2DEC(RIGHT(Table132321279[[#This Row],[h1]],8))</f>
        <v>0</v>
      </c>
      <c r="Q1845" s="48" t="s">
        <v>149</v>
      </c>
      <c r="R1845" s="48">
        <f>HEX2DEC(RIGHT(Table132321279[[#This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149</v>
      </c>
      <c r="P1846" s="48">
        <f>HEX2DEC(RIGHT(Table132321279[[#This Row],[h1]],8))</f>
        <v>0</v>
      </c>
      <c r="Q1846" s="48" t="s">
        <v>149</v>
      </c>
      <c r="R1846" s="48">
        <f>HEX2DEC(RIGHT(Table132321279[[#This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149</v>
      </c>
      <c r="P1847" s="48">
        <f>HEX2DEC(RIGHT(Table132321279[[#This Row],[h1]],8))</f>
        <v>0</v>
      </c>
      <c r="Q1847" s="48" t="s">
        <v>149</v>
      </c>
      <c r="R1847" s="48">
        <f>HEX2DEC(RIGHT(Table132321279[[#This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149</v>
      </c>
      <c r="P1848" s="48">
        <f>HEX2DEC(RIGHT(Table132321279[[#This Row],[h1]],8))</f>
        <v>0</v>
      </c>
      <c r="Q1848" s="48" t="s">
        <v>149</v>
      </c>
      <c r="R1848" s="48">
        <f>HEX2DEC(RIGHT(Table132321279[[#This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149</v>
      </c>
      <c r="P1849" s="48">
        <f>HEX2DEC(RIGHT(Table132321279[[#This Row],[h1]],8))</f>
        <v>0</v>
      </c>
      <c r="Q1849" s="48" t="s">
        <v>149</v>
      </c>
      <c r="R1849" s="48">
        <f>HEX2DEC(RIGHT(Table132321279[[#This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149</v>
      </c>
      <c r="P1850" s="48">
        <f>HEX2DEC(RIGHT(Table132321279[[#This Row],[h1]],8))</f>
        <v>0</v>
      </c>
      <c r="Q1850" s="48" t="s">
        <v>149</v>
      </c>
      <c r="R1850" s="48">
        <f>HEX2DEC(RIGHT(Table132321279[[#This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149</v>
      </c>
      <c r="P1851" s="48">
        <f>HEX2DEC(RIGHT(Table132321279[[#This Row],[h1]],8))</f>
        <v>0</v>
      </c>
      <c r="Q1851" s="48" t="s">
        <v>149</v>
      </c>
      <c r="R1851" s="48">
        <f>HEX2DEC(RIGHT(Table132321279[[#This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149</v>
      </c>
      <c r="P1852" s="48">
        <f>HEX2DEC(RIGHT(Table132321279[[#This Row],[h1]],8))</f>
        <v>0</v>
      </c>
      <c r="Q1852" s="48" t="s">
        <v>149</v>
      </c>
      <c r="R1852" s="48">
        <f>HEX2DEC(RIGHT(Table132321279[[#This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149</v>
      </c>
      <c r="P1853" s="48">
        <f>HEX2DEC(RIGHT(Table132321279[[#This Row],[h1]],8))</f>
        <v>0</v>
      </c>
      <c r="Q1853" s="48" t="s">
        <v>149</v>
      </c>
      <c r="R1853" s="48">
        <f>HEX2DEC(RIGHT(Table132321279[[#This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149</v>
      </c>
      <c r="P1854" s="48">
        <f>HEX2DEC(RIGHT(Table132321279[[#This Row],[h1]],8))</f>
        <v>0</v>
      </c>
      <c r="Q1854" s="48" t="s">
        <v>149</v>
      </c>
      <c r="R1854" s="48">
        <f>HEX2DEC(RIGHT(Table132321279[[#This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149</v>
      </c>
      <c r="P1855" s="48">
        <f>HEX2DEC(RIGHT(Table132321279[[#This Row],[h1]],8))</f>
        <v>0</v>
      </c>
      <c r="Q1855" s="48" t="s">
        <v>149</v>
      </c>
      <c r="R1855" s="48">
        <f>HEX2DEC(RIGHT(Table132321279[[#This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149</v>
      </c>
      <c r="P1856" s="48">
        <f>HEX2DEC(RIGHT(Table132321279[[#This Row],[h1]],8))</f>
        <v>0</v>
      </c>
      <c r="Q1856" s="48" t="s">
        <v>149</v>
      </c>
      <c r="R1856" s="48">
        <f>HEX2DEC(RIGHT(Table132321279[[#This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149</v>
      </c>
      <c r="P1857" s="48">
        <f>HEX2DEC(RIGHT(Table132321279[[#This Row],[h1]],8))</f>
        <v>0</v>
      </c>
      <c r="Q1857" s="48" t="s">
        <v>149</v>
      </c>
      <c r="R1857" s="48">
        <f>HEX2DEC(RIGHT(Table132321279[[#This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149</v>
      </c>
      <c r="P1858" s="48">
        <f>HEX2DEC(RIGHT(Table132321279[[#This Row],[h1]],8))</f>
        <v>0</v>
      </c>
      <c r="Q1858" s="48" t="s">
        <v>149</v>
      </c>
      <c r="R1858" s="48">
        <f>HEX2DEC(RIGHT(Table132321279[[#This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149</v>
      </c>
      <c r="P1859" s="48">
        <f>HEX2DEC(RIGHT(Table132321279[[#This Row],[h1]],8))</f>
        <v>0</v>
      </c>
      <c r="Q1859" s="48" t="s">
        <v>149</v>
      </c>
      <c r="R1859" s="48">
        <f>HEX2DEC(RIGHT(Table132321279[[#This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149</v>
      </c>
      <c r="P1860" s="48">
        <f>HEX2DEC(RIGHT(Table132321279[[#This Row],[h1]],8))</f>
        <v>0</v>
      </c>
      <c r="Q1860" s="48" t="s">
        <v>149</v>
      </c>
      <c r="R1860" s="48">
        <f>HEX2DEC(RIGHT(Table132321279[[#This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149</v>
      </c>
      <c r="P1861" s="48">
        <f>HEX2DEC(RIGHT(Table132321279[[#This Row],[h1]],8))</f>
        <v>0</v>
      </c>
      <c r="Q1861" s="48" t="s">
        <v>149</v>
      </c>
      <c r="R1861" s="48">
        <f>HEX2DEC(RIGHT(Table132321279[[#This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149</v>
      </c>
      <c r="P1862" s="48">
        <f>HEX2DEC(RIGHT(Table132321279[[#This Row],[h1]],8))</f>
        <v>0</v>
      </c>
      <c r="Q1862" s="48" t="s">
        <v>149</v>
      </c>
      <c r="R1862" s="48">
        <f>HEX2DEC(RIGHT(Table132321279[[#This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149</v>
      </c>
      <c r="P1863" s="48">
        <f>HEX2DEC(RIGHT(Table132321279[[#This Row],[h1]],8))</f>
        <v>0</v>
      </c>
      <c r="Q1863" s="48" t="s">
        <v>149</v>
      </c>
      <c r="R1863" s="48">
        <f>HEX2DEC(RIGHT(Table132321279[[#This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149</v>
      </c>
      <c r="P1864" s="48">
        <f>HEX2DEC(RIGHT(Table132321279[[#This Row],[h1]],8))</f>
        <v>0</v>
      </c>
      <c r="Q1864" s="48" t="s">
        <v>149</v>
      </c>
      <c r="R1864" s="48">
        <f>HEX2DEC(RIGHT(Table132321279[[#This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149</v>
      </c>
      <c r="P1865" s="48">
        <f>HEX2DEC(RIGHT(Table132321279[[#This Row],[h1]],8))</f>
        <v>0</v>
      </c>
      <c r="Q1865" s="48" t="s">
        <v>149</v>
      </c>
      <c r="R1865" s="48">
        <f>HEX2DEC(RIGHT(Table132321279[[#This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149</v>
      </c>
      <c r="P1866" s="48">
        <f>HEX2DEC(RIGHT(Table132321279[[#This Row],[h1]],8))</f>
        <v>0</v>
      </c>
      <c r="Q1866" s="48" t="s">
        <v>149</v>
      </c>
      <c r="R1866" s="48">
        <f>HEX2DEC(RIGHT(Table132321279[[#This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149</v>
      </c>
      <c r="P1867" s="48">
        <f>HEX2DEC(RIGHT(Table132321279[[#This Row],[h1]],8))</f>
        <v>0</v>
      </c>
      <c r="Q1867" s="48" t="s">
        <v>149</v>
      </c>
      <c r="R1867" s="48">
        <f>HEX2DEC(RIGHT(Table132321279[[#This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149</v>
      </c>
      <c r="P1868" s="48">
        <f>HEX2DEC(RIGHT(Table132321279[[#This Row],[h1]],8))</f>
        <v>0</v>
      </c>
      <c r="Q1868" s="48" t="s">
        <v>149</v>
      </c>
      <c r="R1868" s="48">
        <f>HEX2DEC(RIGHT(Table132321279[[#This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149</v>
      </c>
      <c r="P1869" s="48">
        <f>HEX2DEC(RIGHT(Table132321279[[#This Row],[h1]],8))</f>
        <v>0</v>
      </c>
      <c r="Q1869" s="48" t="s">
        <v>149</v>
      </c>
      <c r="R1869" s="48">
        <f>HEX2DEC(RIGHT(Table132321279[[#This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149</v>
      </c>
      <c r="P1870" s="48">
        <f>HEX2DEC(RIGHT(Table132321279[[#This Row],[h1]],8))</f>
        <v>0</v>
      </c>
      <c r="Q1870" s="48" t="s">
        <v>149</v>
      </c>
      <c r="R1870" s="48">
        <f>HEX2DEC(RIGHT(Table132321279[[#This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149</v>
      </c>
      <c r="P1871" s="48">
        <f>HEX2DEC(RIGHT(Table132321279[[#This Row],[h1]],8))</f>
        <v>0</v>
      </c>
      <c r="Q1871" s="48" t="s">
        <v>149</v>
      </c>
      <c r="R1871" s="48">
        <f>HEX2DEC(RIGHT(Table132321279[[#This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149</v>
      </c>
      <c r="P1872" s="48">
        <f>HEX2DEC(RIGHT(Table132321279[[#This Row],[h1]],8))</f>
        <v>0</v>
      </c>
      <c r="Q1872" s="48" t="s">
        <v>149</v>
      </c>
      <c r="R1872" s="48">
        <f>HEX2DEC(RIGHT(Table132321279[[#This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149</v>
      </c>
      <c r="P1873" s="48">
        <f>HEX2DEC(RIGHT(Table132321279[[#This Row],[h1]],8))</f>
        <v>0</v>
      </c>
      <c r="Q1873" s="48" t="s">
        <v>149</v>
      </c>
      <c r="R1873" s="48">
        <f>HEX2DEC(RIGHT(Table132321279[[#This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149</v>
      </c>
      <c r="P1874" s="48">
        <f>HEX2DEC(RIGHT(Table132321279[[#This Row],[h1]],8))</f>
        <v>0</v>
      </c>
      <c r="Q1874" s="48" t="s">
        <v>149</v>
      </c>
      <c r="R1874" s="48">
        <f>HEX2DEC(RIGHT(Table132321279[[#This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149</v>
      </c>
      <c r="P1875" s="48">
        <f>HEX2DEC(RIGHT(Table132321279[[#This Row],[h1]],8))</f>
        <v>0</v>
      </c>
      <c r="Q1875" s="48" t="s">
        <v>149</v>
      </c>
      <c r="R1875" s="48">
        <f>HEX2DEC(RIGHT(Table132321279[[#This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149</v>
      </c>
      <c r="P1876" s="48">
        <f>HEX2DEC(RIGHT(Table132321279[[#This Row],[h1]],8))</f>
        <v>0</v>
      </c>
      <c r="Q1876" s="48" t="s">
        <v>149</v>
      </c>
      <c r="R1876" s="48">
        <f>HEX2DEC(RIGHT(Table132321279[[#This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149</v>
      </c>
      <c r="P1877" s="48">
        <f>HEX2DEC(RIGHT(Table132321279[[#This Row],[h1]],8))</f>
        <v>0</v>
      </c>
      <c r="Q1877" s="48" t="s">
        <v>149</v>
      </c>
      <c r="R1877" s="48">
        <f>HEX2DEC(RIGHT(Table132321279[[#This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149</v>
      </c>
      <c r="P1878" s="48">
        <f>HEX2DEC(RIGHT(Table132321279[[#This Row],[h1]],8))</f>
        <v>0</v>
      </c>
      <c r="Q1878" s="48" t="s">
        <v>149</v>
      </c>
      <c r="R1878" s="48">
        <f>HEX2DEC(RIGHT(Table132321279[[#This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149</v>
      </c>
      <c r="P1879" s="48">
        <f>HEX2DEC(RIGHT(Table132321279[[#This Row],[h1]],8))</f>
        <v>0</v>
      </c>
      <c r="Q1879" s="48" t="s">
        <v>149</v>
      </c>
      <c r="R1879" s="48">
        <f>HEX2DEC(RIGHT(Table132321279[[#This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149</v>
      </c>
      <c r="P1880" s="48">
        <f>HEX2DEC(RIGHT(Table132321279[[#This Row],[h1]],8))</f>
        <v>0</v>
      </c>
      <c r="Q1880" s="48" t="s">
        <v>149</v>
      </c>
      <c r="R1880" s="48">
        <f>HEX2DEC(RIGHT(Table132321279[[#This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149</v>
      </c>
      <c r="P1881" s="48">
        <f>HEX2DEC(RIGHT(Table132321279[[#This Row],[h1]],8))</f>
        <v>0</v>
      </c>
      <c r="Q1881" s="48" t="s">
        <v>149</v>
      </c>
      <c r="R1881" s="48">
        <f>HEX2DEC(RIGHT(Table132321279[[#This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149</v>
      </c>
      <c r="P1882" s="48">
        <f>HEX2DEC(RIGHT(Table132321279[[#This Row],[h1]],8))</f>
        <v>0</v>
      </c>
      <c r="Q1882" s="48" t="s">
        <v>149</v>
      </c>
      <c r="R1882" s="48">
        <f>HEX2DEC(RIGHT(Table132321279[[#This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149</v>
      </c>
      <c r="P1883" s="48">
        <f>HEX2DEC(RIGHT(Table132321279[[#This Row],[h1]],8))</f>
        <v>0</v>
      </c>
      <c r="Q1883" s="48" t="s">
        <v>149</v>
      </c>
      <c r="R1883" s="48">
        <f>HEX2DEC(RIGHT(Table132321279[[#This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149</v>
      </c>
      <c r="P1884" s="48">
        <f>HEX2DEC(RIGHT(Table132321279[[#This Row],[h1]],8))</f>
        <v>0</v>
      </c>
      <c r="Q1884" s="48" t="s">
        <v>149</v>
      </c>
      <c r="R1884" s="48">
        <f>HEX2DEC(RIGHT(Table132321279[[#This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149</v>
      </c>
      <c r="P1885" s="48">
        <f>HEX2DEC(RIGHT(Table132321279[[#This Row],[h1]],8))</f>
        <v>0</v>
      </c>
      <c r="Q1885" s="48" t="s">
        <v>149</v>
      </c>
      <c r="R1885" s="48">
        <f>HEX2DEC(RIGHT(Table132321279[[#This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149</v>
      </c>
      <c r="P1886" s="48">
        <f>HEX2DEC(RIGHT(Table132321279[[#This Row],[h1]],8))</f>
        <v>0</v>
      </c>
      <c r="Q1886" s="48" t="s">
        <v>149</v>
      </c>
      <c r="R1886" s="48">
        <f>HEX2DEC(RIGHT(Table132321279[[#This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149</v>
      </c>
      <c r="P1887" s="48">
        <f>HEX2DEC(RIGHT(Table132321279[[#This Row],[h1]],8))</f>
        <v>0</v>
      </c>
      <c r="Q1887" s="48" t="s">
        <v>149</v>
      </c>
      <c r="R1887" s="48">
        <f>HEX2DEC(RIGHT(Table132321279[[#This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149</v>
      </c>
      <c r="P1888" s="48">
        <f>HEX2DEC(RIGHT(Table132321279[[#This Row],[h1]],8))</f>
        <v>0</v>
      </c>
      <c r="Q1888" s="48" t="s">
        <v>149</v>
      </c>
      <c r="R1888" s="48">
        <f>HEX2DEC(RIGHT(Table132321279[[#This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149</v>
      </c>
      <c r="P1889" s="48">
        <f>HEX2DEC(RIGHT(Table132321279[[#This Row],[h1]],8))</f>
        <v>0</v>
      </c>
      <c r="Q1889" s="48" t="s">
        <v>149</v>
      </c>
      <c r="R1889" s="48">
        <f>HEX2DEC(RIGHT(Table132321279[[#This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149</v>
      </c>
      <c r="P1890" s="48">
        <f>HEX2DEC(RIGHT(Table132321279[[#This Row],[h1]],8))</f>
        <v>0</v>
      </c>
      <c r="Q1890" s="48" t="s">
        <v>149</v>
      </c>
      <c r="R1890" s="48">
        <f>HEX2DEC(RIGHT(Table132321279[[#This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149</v>
      </c>
      <c r="P1891" s="48">
        <f>HEX2DEC(RIGHT(Table132321279[[#This Row],[h1]],8))</f>
        <v>0</v>
      </c>
      <c r="Q1891" s="48" t="s">
        <v>149</v>
      </c>
      <c r="R1891" s="48">
        <f>HEX2DEC(RIGHT(Table132321279[[#This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149</v>
      </c>
      <c r="P1892" s="48">
        <f>HEX2DEC(RIGHT(Table132321279[[#This Row],[h1]],8))</f>
        <v>0</v>
      </c>
      <c r="Q1892" s="48" t="s">
        <v>149</v>
      </c>
      <c r="R1892" s="48">
        <f>HEX2DEC(RIGHT(Table132321279[[#This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149</v>
      </c>
      <c r="P1893" s="48">
        <f>HEX2DEC(RIGHT(Table132321279[[#This Row],[h1]],8))</f>
        <v>0</v>
      </c>
      <c r="Q1893" s="48" t="s">
        <v>149</v>
      </c>
      <c r="R1893" s="48">
        <f>HEX2DEC(RIGHT(Table132321279[[#This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149</v>
      </c>
      <c r="P1894" s="48">
        <f>HEX2DEC(RIGHT(Table132321279[[#This Row],[h1]],8))</f>
        <v>0</v>
      </c>
      <c r="Q1894" s="48" t="s">
        <v>149</v>
      </c>
      <c r="R1894" s="48">
        <f>HEX2DEC(RIGHT(Table132321279[[#This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149</v>
      </c>
      <c r="P1895" s="48">
        <f>HEX2DEC(RIGHT(Table132321279[[#This Row],[h1]],8))</f>
        <v>0</v>
      </c>
      <c r="Q1895" s="48" t="s">
        <v>149</v>
      </c>
      <c r="R1895" s="48">
        <f>HEX2DEC(RIGHT(Table132321279[[#This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149</v>
      </c>
      <c r="P1896" s="48">
        <f>HEX2DEC(RIGHT(Table132321279[[#This Row],[h1]],8))</f>
        <v>0</v>
      </c>
      <c r="Q1896" s="48" t="s">
        <v>149</v>
      </c>
      <c r="R1896" s="48">
        <f>HEX2DEC(RIGHT(Table132321279[[#This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149</v>
      </c>
      <c r="P1897" s="48">
        <f>HEX2DEC(RIGHT(Table132321279[[#This Row],[h1]],8))</f>
        <v>0</v>
      </c>
      <c r="Q1897" s="48" t="s">
        <v>149</v>
      </c>
      <c r="R1897" s="48">
        <f>HEX2DEC(RIGHT(Table132321279[[#This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149</v>
      </c>
      <c r="P1898" s="48">
        <f>HEX2DEC(RIGHT(Table132321279[[#This Row],[h1]],8))</f>
        <v>0</v>
      </c>
      <c r="Q1898" s="48" t="s">
        <v>149</v>
      </c>
      <c r="R1898" s="48">
        <f>HEX2DEC(RIGHT(Table132321279[[#This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149</v>
      </c>
      <c r="P1899" s="48">
        <f>HEX2DEC(RIGHT(Table132321279[[#This Row],[h1]],8))</f>
        <v>0</v>
      </c>
      <c r="Q1899" s="48" t="s">
        <v>149</v>
      </c>
      <c r="R1899" s="48">
        <f>HEX2DEC(RIGHT(Table132321279[[#This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149</v>
      </c>
      <c r="P1900" s="48">
        <f>HEX2DEC(RIGHT(Table132321279[[#This Row],[h1]],8))</f>
        <v>0</v>
      </c>
      <c r="Q1900" s="48" t="s">
        <v>149</v>
      </c>
      <c r="R1900" s="48">
        <f>HEX2DEC(RIGHT(Table132321279[[#This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149</v>
      </c>
      <c r="P1901" s="48">
        <f>HEX2DEC(RIGHT(Table132321279[[#This Row],[h1]],8))</f>
        <v>0</v>
      </c>
      <c r="Q1901" s="48" t="s">
        <v>149</v>
      </c>
      <c r="R1901" s="48">
        <f>HEX2DEC(RIGHT(Table132321279[[#This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149</v>
      </c>
      <c r="P1902" s="48">
        <f>HEX2DEC(RIGHT(Table132321279[[#This Row],[h1]],8))</f>
        <v>0</v>
      </c>
      <c r="Q1902" s="48" t="s">
        <v>149</v>
      </c>
      <c r="R1902" s="48">
        <f>HEX2DEC(RIGHT(Table132321279[[#This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149</v>
      </c>
      <c r="P1903" s="48">
        <f>HEX2DEC(RIGHT(Table132321279[[#This Row],[h1]],8))</f>
        <v>0</v>
      </c>
      <c r="Q1903" s="48" t="s">
        <v>149</v>
      </c>
      <c r="R1903" s="48">
        <f>HEX2DEC(RIGHT(Table132321279[[#This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149</v>
      </c>
      <c r="P1904" s="48">
        <f>HEX2DEC(RIGHT(Table132321279[[#This Row],[h1]],8))</f>
        <v>0</v>
      </c>
      <c r="Q1904" s="48" t="s">
        <v>149</v>
      </c>
      <c r="R1904" s="48">
        <f>HEX2DEC(RIGHT(Table132321279[[#This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149</v>
      </c>
      <c r="P1905" s="48">
        <f>HEX2DEC(RIGHT(Table132321279[[#This Row],[h1]],8))</f>
        <v>0</v>
      </c>
      <c r="Q1905" s="48" t="s">
        <v>149</v>
      </c>
      <c r="R1905" s="48">
        <f>HEX2DEC(RIGHT(Table132321279[[#This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149</v>
      </c>
      <c r="P1906" s="48">
        <f>HEX2DEC(RIGHT(Table132321279[[#This Row],[h1]],8))</f>
        <v>0</v>
      </c>
      <c r="Q1906" s="48" t="s">
        <v>149</v>
      </c>
      <c r="R1906" s="48">
        <f>HEX2DEC(RIGHT(Table132321279[[#This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149</v>
      </c>
      <c r="P1907" s="48">
        <f>HEX2DEC(RIGHT(Table132321279[[#This Row],[h1]],8))</f>
        <v>0</v>
      </c>
      <c r="Q1907" s="48" t="s">
        <v>149</v>
      </c>
      <c r="R1907" s="48">
        <f>HEX2DEC(RIGHT(Table132321279[[#This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149</v>
      </c>
      <c r="P1908" s="48">
        <f>HEX2DEC(RIGHT(Table132321279[[#This Row],[h1]],8))</f>
        <v>0</v>
      </c>
      <c r="Q1908" s="48" t="s">
        <v>149</v>
      </c>
      <c r="R1908" s="48">
        <f>HEX2DEC(RIGHT(Table132321279[[#This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149</v>
      </c>
      <c r="P1909" s="48">
        <f>HEX2DEC(RIGHT(Table132321279[[#This Row],[h1]],8))</f>
        <v>0</v>
      </c>
      <c r="Q1909" s="48" t="s">
        <v>149</v>
      </c>
      <c r="R1909" s="48">
        <f>HEX2DEC(RIGHT(Table132321279[[#This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149</v>
      </c>
      <c r="P1910" s="48">
        <f>HEX2DEC(RIGHT(Table132321279[[#This Row],[h1]],8))</f>
        <v>0</v>
      </c>
      <c r="Q1910" s="48" t="s">
        <v>149</v>
      </c>
      <c r="R1910" s="48">
        <f>HEX2DEC(RIGHT(Table132321279[[#This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149</v>
      </c>
      <c r="P1911" s="48">
        <f>HEX2DEC(RIGHT(Table132321279[[#This Row],[h1]],8))</f>
        <v>0</v>
      </c>
      <c r="Q1911" s="48" t="s">
        <v>149</v>
      </c>
      <c r="R1911" s="48">
        <f>HEX2DEC(RIGHT(Table132321279[[#This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149</v>
      </c>
      <c r="P1912" s="48">
        <f>HEX2DEC(RIGHT(Table132321279[[#This Row],[h1]],8))</f>
        <v>0</v>
      </c>
      <c r="Q1912" s="48" t="s">
        <v>149</v>
      </c>
      <c r="R1912" s="48">
        <f>HEX2DEC(RIGHT(Table132321279[[#This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149</v>
      </c>
      <c r="P1913" s="48">
        <f>HEX2DEC(RIGHT(Table132321279[[#This Row],[h1]],8))</f>
        <v>0</v>
      </c>
      <c r="Q1913" s="48" t="s">
        <v>149</v>
      </c>
      <c r="R1913" s="48">
        <f>HEX2DEC(RIGHT(Table132321279[[#This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149</v>
      </c>
      <c r="P1914" s="48">
        <f>HEX2DEC(RIGHT(Table132321279[[#This Row],[h1]],8))</f>
        <v>0</v>
      </c>
      <c r="Q1914" s="48" t="s">
        <v>149</v>
      </c>
      <c r="R1914" s="48">
        <f>HEX2DEC(RIGHT(Table132321279[[#This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149</v>
      </c>
      <c r="P1915" s="48">
        <f>HEX2DEC(RIGHT(Table132321279[[#This Row],[h1]],8))</f>
        <v>0</v>
      </c>
      <c r="Q1915" s="48" t="s">
        <v>149</v>
      </c>
      <c r="R1915" s="48">
        <f>HEX2DEC(RIGHT(Table132321279[[#This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149</v>
      </c>
      <c r="P1916" s="48">
        <f>HEX2DEC(RIGHT(Table132321279[[#This Row],[h1]],8))</f>
        <v>0</v>
      </c>
      <c r="Q1916" s="48" t="s">
        <v>149</v>
      </c>
      <c r="R1916" s="48">
        <f>HEX2DEC(RIGHT(Table132321279[[#This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149</v>
      </c>
      <c r="P1917" s="48">
        <f>HEX2DEC(RIGHT(Table132321279[[#This Row],[h1]],8))</f>
        <v>0</v>
      </c>
      <c r="Q1917" s="48" t="s">
        <v>149</v>
      </c>
      <c r="R1917" s="48">
        <f>HEX2DEC(RIGHT(Table132321279[[#This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149</v>
      </c>
      <c r="P1918" s="48">
        <f>HEX2DEC(RIGHT(Table132321279[[#This Row],[h1]],8))</f>
        <v>0</v>
      </c>
      <c r="Q1918" s="48" t="s">
        <v>149</v>
      </c>
      <c r="R1918" s="48">
        <f>HEX2DEC(RIGHT(Table132321279[[#This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149</v>
      </c>
      <c r="P1919" s="48">
        <f>HEX2DEC(RIGHT(Table132321279[[#This Row],[h1]],8))</f>
        <v>0</v>
      </c>
      <c r="Q1919" s="48" t="s">
        <v>149</v>
      </c>
      <c r="R1919" s="48">
        <f>HEX2DEC(RIGHT(Table132321279[[#This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149</v>
      </c>
      <c r="P1920" s="48">
        <f>HEX2DEC(RIGHT(Table132321279[[#This Row],[h1]],8))</f>
        <v>0</v>
      </c>
      <c r="Q1920" s="48" t="s">
        <v>149</v>
      </c>
      <c r="R1920" s="48">
        <f>HEX2DEC(RIGHT(Table132321279[[#This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149</v>
      </c>
      <c r="P1921" s="48">
        <f>HEX2DEC(RIGHT(Table132321279[[#This Row],[h1]],8))</f>
        <v>0</v>
      </c>
      <c r="Q1921" s="48" t="s">
        <v>149</v>
      </c>
      <c r="R1921" s="48">
        <f>HEX2DEC(RIGHT(Table132321279[[#This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149</v>
      </c>
      <c r="P1922" s="48">
        <f>HEX2DEC(RIGHT(Table132321279[[#This Row],[h1]],8))</f>
        <v>0</v>
      </c>
      <c r="Q1922" s="48" t="s">
        <v>149</v>
      </c>
      <c r="R1922" s="48">
        <f>HEX2DEC(RIGHT(Table132321279[[#This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149</v>
      </c>
      <c r="P1923" s="48">
        <f>HEX2DEC(RIGHT(Table132321279[[#This Row],[h1]],8))</f>
        <v>0</v>
      </c>
      <c r="Q1923" s="48" t="s">
        <v>149</v>
      </c>
      <c r="R1923" s="48">
        <f>HEX2DEC(RIGHT(Table132321279[[#This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149</v>
      </c>
      <c r="P1924" s="48">
        <f>HEX2DEC(RIGHT(Table132321279[[#This Row],[h1]],8))</f>
        <v>0</v>
      </c>
      <c r="Q1924" s="48" t="s">
        <v>149</v>
      </c>
      <c r="R1924" s="48">
        <f>HEX2DEC(RIGHT(Table132321279[[#This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149</v>
      </c>
      <c r="P1925" s="48">
        <f>HEX2DEC(RIGHT(Table132321279[[#This Row],[h1]],8))</f>
        <v>0</v>
      </c>
      <c r="Q1925" s="48" t="s">
        <v>149</v>
      </c>
      <c r="R1925" s="48">
        <f>HEX2DEC(RIGHT(Table132321279[[#This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149</v>
      </c>
      <c r="P1926" s="48">
        <f>HEX2DEC(RIGHT(Table132321279[[#This Row],[h1]],8))</f>
        <v>0</v>
      </c>
      <c r="Q1926" s="48" t="s">
        <v>149</v>
      </c>
      <c r="R1926" s="48">
        <f>HEX2DEC(RIGHT(Table132321279[[#This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149</v>
      </c>
      <c r="P1927" s="48">
        <f>HEX2DEC(RIGHT(Table132321279[[#This Row],[h1]],8))</f>
        <v>0</v>
      </c>
      <c r="Q1927" s="48" t="s">
        <v>149</v>
      </c>
      <c r="R1927" s="48">
        <f>HEX2DEC(RIGHT(Table132321279[[#This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149</v>
      </c>
      <c r="P1928" s="48">
        <f>HEX2DEC(RIGHT(Table132321279[[#This Row],[h1]],8))</f>
        <v>0</v>
      </c>
      <c r="Q1928" s="48" t="s">
        <v>149</v>
      </c>
      <c r="R1928" s="48">
        <f>HEX2DEC(RIGHT(Table132321279[[#This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149</v>
      </c>
      <c r="P1929" s="48">
        <f>HEX2DEC(RIGHT(Table132321279[[#This Row],[h1]],8))</f>
        <v>0</v>
      </c>
      <c r="Q1929" s="48" t="s">
        <v>149</v>
      </c>
      <c r="R1929" s="48">
        <f>HEX2DEC(RIGHT(Table132321279[[#This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149</v>
      </c>
      <c r="P1930" s="48">
        <f>HEX2DEC(RIGHT(Table132321279[[#This Row],[h1]],8))</f>
        <v>0</v>
      </c>
      <c r="Q1930" s="48" t="s">
        <v>149</v>
      </c>
      <c r="R1930" s="48">
        <f>HEX2DEC(RIGHT(Table132321279[[#This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149</v>
      </c>
      <c r="P1931" s="48">
        <f>HEX2DEC(RIGHT(Table132321279[[#This Row],[h1]],8))</f>
        <v>0</v>
      </c>
      <c r="Q1931" s="48" t="s">
        <v>149</v>
      </c>
      <c r="R1931" s="48">
        <f>HEX2DEC(RIGHT(Table132321279[[#This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149</v>
      </c>
      <c r="P1932" s="48">
        <f>HEX2DEC(RIGHT(Table132321279[[#This Row],[h1]],8))</f>
        <v>0</v>
      </c>
      <c r="Q1932" s="48" t="s">
        <v>149</v>
      </c>
      <c r="R1932" s="48">
        <f>HEX2DEC(RIGHT(Table132321279[[#This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149</v>
      </c>
      <c r="P1933" s="48">
        <f>HEX2DEC(RIGHT(Table132321279[[#This Row],[h1]],8))</f>
        <v>0</v>
      </c>
      <c r="Q1933" s="48" t="s">
        <v>149</v>
      </c>
      <c r="R1933" s="48">
        <f>HEX2DEC(RIGHT(Table132321279[[#This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149</v>
      </c>
      <c r="P1934" s="48">
        <f>HEX2DEC(RIGHT(Table132321279[[#This Row],[h1]],8))</f>
        <v>0</v>
      </c>
      <c r="Q1934" s="48" t="s">
        <v>149</v>
      </c>
      <c r="R1934" s="48">
        <f>HEX2DEC(RIGHT(Table132321279[[#This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149</v>
      </c>
      <c r="P1935" s="48">
        <f>HEX2DEC(RIGHT(Table132321279[[#This Row],[h1]],8))</f>
        <v>0</v>
      </c>
      <c r="Q1935" s="48" t="s">
        <v>149</v>
      </c>
      <c r="R1935" s="48">
        <f>HEX2DEC(RIGHT(Table132321279[[#This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149</v>
      </c>
      <c r="P1936" s="48">
        <f>HEX2DEC(RIGHT(Table132321279[[#This Row],[h1]],8))</f>
        <v>0</v>
      </c>
      <c r="Q1936" s="48" t="s">
        <v>149</v>
      </c>
      <c r="R1936" s="48">
        <f>HEX2DEC(RIGHT(Table132321279[[#This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149</v>
      </c>
      <c r="P1937" s="48">
        <f>HEX2DEC(RIGHT(Table132321279[[#This Row],[h1]],8))</f>
        <v>0</v>
      </c>
      <c r="Q1937" s="48" t="s">
        <v>149</v>
      </c>
      <c r="R1937" s="48">
        <f>HEX2DEC(RIGHT(Table132321279[[#This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149</v>
      </c>
      <c r="P1938" s="48">
        <f>HEX2DEC(RIGHT(Table132321279[[#This Row],[h1]],8))</f>
        <v>0</v>
      </c>
      <c r="Q1938" s="48" t="s">
        <v>149</v>
      </c>
      <c r="R1938" s="48">
        <f>HEX2DEC(RIGHT(Table132321279[[#This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149</v>
      </c>
      <c r="P1939" s="48">
        <f>HEX2DEC(RIGHT(Table132321279[[#This Row],[h1]],8))</f>
        <v>0</v>
      </c>
      <c r="Q1939" s="48" t="s">
        <v>149</v>
      </c>
      <c r="R1939" s="48">
        <f>HEX2DEC(RIGHT(Table132321279[[#This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149</v>
      </c>
      <c r="P1940" s="48">
        <f>HEX2DEC(RIGHT(Table132321279[[#This Row],[h1]],8))</f>
        <v>0</v>
      </c>
      <c r="Q1940" s="48" t="s">
        <v>149</v>
      </c>
      <c r="R1940" s="48">
        <f>HEX2DEC(RIGHT(Table132321279[[#This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149</v>
      </c>
      <c r="P1941" s="48">
        <f>HEX2DEC(RIGHT(Table132321279[[#This Row],[h1]],8))</f>
        <v>0</v>
      </c>
      <c r="Q1941" s="48" t="s">
        <v>149</v>
      </c>
      <c r="R1941" s="48">
        <f>HEX2DEC(RIGHT(Table132321279[[#This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149</v>
      </c>
      <c r="P1942" s="48">
        <f>HEX2DEC(RIGHT(Table132321279[[#This Row],[h1]],8))</f>
        <v>0</v>
      </c>
      <c r="Q1942" s="48" t="s">
        <v>149</v>
      </c>
      <c r="R1942" s="48">
        <f>HEX2DEC(RIGHT(Table132321279[[#This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149</v>
      </c>
      <c r="P1943" s="48">
        <f>HEX2DEC(RIGHT(Table132321279[[#This Row],[h1]],8))</f>
        <v>0</v>
      </c>
      <c r="Q1943" s="48" t="s">
        <v>149</v>
      </c>
      <c r="R1943" s="48">
        <f>HEX2DEC(RIGHT(Table132321279[[#This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149</v>
      </c>
      <c r="P1944" s="48">
        <f>HEX2DEC(RIGHT(Table132321279[[#This Row],[h1]],8))</f>
        <v>0</v>
      </c>
      <c r="Q1944" s="48" t="s">
        <v>149</v>
      </c>
      <c r="R1944" s="48">
        <f>HEX2DEC(RIGHT(Table132321279[[#This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149</v>
      </c>
      <c r="P1945" s="48">
        <f>HEX2DEC(RIGHT(Table132321279[[#This Row],[h1]],8))</f>
        <v>0</v>
      </c>
      <c r="Q1945" s="48" t="s">
        <v>149</v>
      </c>
      <c r="R1945" s="48">
        <f>HEX2DEC(RIGHT(Table132321279[[#This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149</v>
      </c>
      <c r="P1946" s="48">
        <f>HEX2DEC(RIGHT(Table132321279[[#This Row],[h1]],8))</f>
        <v>0</v>
      </c>
      <c r="Q1946" s="48" t="s">
        <v>149</v>
      </c>
      <c r="R1946" s="48">
        <f>HEX2DEC(RIGHT(Table132321279[[#This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149</v>
      </c>
      <c r="P1947" s="48">
        <f>HEX2DEC(RIGHT(Table132321279[[#This Row],[h1]],8))</f>
        <v>0</v>
      </c>
      <c r="Q1947" s="48" t="s">
        <v>149</v>
      </c>
      <c r="R1947" s="48">
        <f>HEX2DEC(RIGHT(Table132321279[[#This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149</v>
      </c>
      <c r="P1948" s="48">
        <f>HEX2DEC(RIGHT(Table132321279[[#This Row],[h1]],8))</f>
        <v>0</v>
      </c>
      <c r="Q1948" s="48" t="s">
        <v>149</v>
      </c>
      <c r="R1948" s="48">
        <f>HEX2DEC(RIGHT(Table132321279[[#This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149</v>
      </c>
      <c r="P1949" s="48">
        <f>HEX2DEC(RIGHT(Table132321279[[#This Row],[h1]],8))</f>
        <v>0</v>
      </c>
      <c r="Q1949" s="48" t="s">
        <v>149</v>
      </c>
      <c r="R1949" s="48">
        <f>HEX2DEC(RIGHT(Table132321279[[#This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149</v>
      </c>
      <c r="P1950" s="48">
        <f>HEX2DEC(RIGHT(Table132321279[[#This Row],[h1]],8))</f>
        <v>0</v>
      </c>
      <c r="Q1950" s="48" t="s">
        <v>149</v>
      </c>
      <c r="R1950" s="48">
        <f>HEX2DEC(RIGHT(Table132321279[[#This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149</v>
      </c>
      <c r="P1951" s="48">
        <f>HEX2DEC(RIGHT(Table132321279[[#This Row],[h1]],8))</f>
        <v>0</v>
      </c>
      <c r="Q1951" s="48" t="s">
        <v>149</v>
      </c>
      <c r="R1951" s="48">
        <f>HEX2DEC(RIGHT(Table132321279[[#This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149</v>
      </c>
      <c r="P1952" s="48">
        <f>HEX2DEC(RIGHT(Table132321279[[#This Row],[h1]],8))</f>
        <v>0</v>
      </c>
      <c r="Q1952" s="48" t="s">
        <v>149</v>
      </c>
      <c r="R1952" s="48">
        <f>HEX2DEC(RIGHT(Table132321279[[#This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149</v>
      </c>
      <c r="P1953" s="48">
        <f>HEX2DEC(RIGHT(Table132321279[[#This Row],[h1]],8))</f>
        <v>0</v>
      </c>
      <c r="Q1953" s="48" t="s">
        <v>149</v>
      </c>
      <c r="R1953" s="48">
        <f>HEX2DEC(RIGHT(Table132321279[[#This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149</v>
      </c>
      <c r="P1954" s="48">
        <f>HEX2DEC(RIGHT(Table132321279[[#This Row],[h1]],8))</f>
        <v>0</v>
      </c>
      <c r="Q1954" s="48" t="s">
        <v>149</v>
      </c>
      <c r="R1954" s="48">
        <f>HEX2DEC(RIGHT(Table132321279[[#This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149</v>
      </c>
      <c r="P1955" s="48">
        <f>HEX2DEC(RIGHT(Table132321279[[#This Row],[h1]],8))</f>
        <v>0</v>
      </c>
      <c r="Q1955" s="48" t="s">
        <v>149</v>
      </c>
      <c r="R1955" s="48">
        <f>HEX2DEC(RIGHT(Table132321279[[#This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149</v>
      </c>
      <c r="P1956" s="48">
        <f>HEX2DEC(RIGHT(Table132321279[[#This Row],[h1]],8))</f>
        <v>0</v>
      </c>
      <c r="Q1956" s="48" t="s">
        <v>149</v>
      </c>
      <c r="R1956" s="48">
        <f>HEX2DEC(RIGHT(Table132321279[[#This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149</v>
      </c>
      <c r="P1957" s="48">
        <f>HEX2DEC(RIGHT(Table132321279[[#This Row],[h1]],8))</f>
        <v>0</v>
      </c>
      <c r="Q1957" s="48" t="s">
        <v>149</v>
      </c>
      <c r="R1957" s="48">
        <f>HEX2DEC(RIGHT(Table132321279[[#This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149</v>
      </c>
      <c r="P1958" s="48">
        <f>HEX2DEC(RIGHT(Table132321279[[#This Row],[h1]],8))</f>
        <v>0</v>
      </c>
      <c r="Q1958" s="48" t="s">
        <v>149</v>
      </c>
      <c r="R1958" s="48">
        <f>HEX2DEC(RIGHT(Table132321279[[#This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149</v>
      </c>
      <c r="P1959" s="48">
        <f>HEX2DEC(RIGHT(Table132321279[[#This Row],[h1]],8))</f>
        <v>0</v>
      </c>
      <c r="Q1959" s="48" t="s">
        <v>149</v>
      </c>
      <c r="R1959" s="48">
        <f>HEX2DEC(RIGHT(Table132321279[[#This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149</v>
      </c>
      <c r="P1960" s="48">
        <f>HEX2DEC(RIGHT(Table132321279[[#This Row],[h1]],8))</f>
        <v>0</v>
      </c>
      <c r="Q1960" s="48" t="s">
        <v>149</v>
      </c>
      <c r="R1960" s="48">
        <f>HEX2DEC(RIGHT(Table132321279[[#This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149</v>
      </c>
      <c r="P1961" s="48">
        <f>HEX2DEC(RIGHT(Table132321279[[#This Row],[h1]],8))</f>
        <v>0</v>
      </c>
      <c r="Q1961" s="48" t="s">
        <v>149</v>
      </c>
      <c r="R1961" s="48">
        <f>HEX2DEC(RIGHT(Table132321279[[#This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149</v>
      </c>
      <c r="P1962" s="48">
        <f>HEX2DEC(RIGHT(Table132321279[[#This Row],[h1]],8))</f>
        <v>0</v>
      </c>
      <c r="Q1962" s="48" t="s">
        <v>149</v>
      </c>
      <c r="R1962" s="48">
        <f>HEX2DEC(RIGHT(Table132321279[[#This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149</v>
      </c>
      <c r="P1963" s="48">
        <f>HEX2DEC(RIGHT(Table132321279[[#This Row],[h1]],8))</f>
        <v>0</v>
      </c>
      <c r="Q1963" s="48" t="s">
        <v>149</v>
      </c>
      <c r="R1963" s="48">
        <f>HEX2DEC(RIGHT(Table132321279[[#This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149</v>
      </c>
      <c r="P1964" s="48">
        <f>HEX2DEC(RIGHT(Table132321279[[#This Row],[h1]],8))</f>
        <v>0</v>
      </c>
      <c r="Q1964" s="48" t="s">
        <v>149</v>
      </c>
      <c r="R1964" s="48">
        <f>HEX2DEC(RIGHT(Table132321279[[#This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149</v>
      </c>
      <c r="P1965" s="48">
        <f>HEX2DEC(RIGHT(Table132321279[[#This Row],[h1]],8))</f>
        <v>0</v>
      </c>
      <c r="Q1965" s="48" t="s">
        <v>149</v>
      </c>
      <c r="R1965" s="48">
        <f>HEX2DEC(RIGHT(Table132321279[[#This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149</v>
      </c>
      <c r="P1966" s="48">
        <f>HEX2DEC(RIGHT(Table132321279[[#This Row],[h1]],8))</f>
        <v>0</v>
      </c>
      <c r="Q1966" s="48" t="s">
        <v>149</v>
      </c>
      <c r="R1966" s="48">
        <f>HEX2DEC(RIGHT(Table132321279[[#This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149</v>
      </c>
      <c r="P1967" s="48">
        <f>HEX2DEC(RIGHT(Table132321279[[#This Row],[h1]],8))</f>
        <v>0</v>
      </c>
      <c r="Q1967" s="48" t="s">
        <v>149</v>
      </c>
      <c r="R1967" s="48">
        <f>HEX2DEC(RIGHT(Table132321279[[#This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149</v>
      </c>
      <c r="P1968" s="48">
        <f>HEX2DEC(RIGHT(Table132321279[[#This Row],[h1]],8))</f>
        <v>0</v>
      </c>
      <c r="Q1968" s="48" t="s">
        <v>149</v>
      </c>
      <c r="R1968" s="48">
        <f>HEX2DEC(RIGHT(Table132321279[[#This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149</v>
      </c>
      <c r="P1969" s="48">
        <f>HEX2DEC(RIGHT(Table132321279[[#This Row],[h1]],8))</f>
        <v>0</v>
      </c>
      <c r="Q1969" s="48" t="s">
        <v>149</v>
      </c>
      <c r="R1969" s="48">
        <f>HEX2DEC(RIGHT(Table132321279[[#This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149</v>
      </c>
      <c r="P1970" s="48">
        <f>HEX2DEC(RIGHT(Table132321279[[#This Row],[h1]],8))</f>
        <v>0</v>
      </c>
      <c r="Q1970" s="48" t="s">
        <v>149</v>
      </c>
      <c r="R1970" s="48">
        <f>HEX2DEC(RIGHT(Table132321279[[#This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149</v>
      </c>
      <c r="P1971" s="48">
        <f>HEX2DEC(RIGHT(Table132321279[[#This Row],[h1]],8))</f>
        <v>0</v>
      </c>
      <c r="Q1971" s="48" t="s">
        <v>149</v>
      </c>
      <c r="R1971" s="48">
        <f>HEX2DEC(RIGHT(Table132321279[[#This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149</v>
      </c>
      <c r="P1972" s="48">
        <f>HEX2DEC(RIGHT(Table132321279[[#This Row],[h1]],8))</f>
        <v>0</v>
      </c>
      <c r="Q1972" s="48" t="s">
        <v>149</v>
      </c>
      <c r="R1972" s="48">
        <f>HEX2DEC(RIGHT(Table132321279[[#This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149</v>
      </c>
      <c r="P1973" s="48">
        <f>HEX2DEC(RIGHT(Table132321279[[#This Row],[h1]],8))</f>
        <v>0</v>
      </c>
      <c r="Q1973" s="48" t="s">
        <v>149</v>
      </c>
      <c r="R1973" s="48">
        <f>HEX2DEC(RIGHT(Table132321279[[#This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149</v>
      </c>
      <c r="P1974" s="48">
        <f>HEX2DEC(RIGHT(Table132321279[[#This Row],[h1]],8))</f>
        <v>0</v>
      </c>
      <c r="Q1974" s="48" t="s">
        <v>149</v>
      </c>
      <c r="R1974" s="48">
        <f>HEX2DEC(RIGHT(Table132321279[[#This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149</v>
      </c>
      <c r="P1975" s="48">
        <f>HEX2DEC(RIGHT(Table132321279[[#This Row],[h1]],8))</f>
        <v>0</v>
      </c>
      <c r="Q1975" s="48" t="s">
        <v>149</v>
      </c>
      <c r="R1975" s="48">
        <f>HEX2DEC(RIGHT(Table132321279[[#This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149</v>
      </c>
      <c r="P1976" s="48">
        <f>HEX2DEC(RIGHT(Table132321279[[#This Row],[h1]],8))</f>
        <v>0</v>
      </c>
      <c r="Q1976" s="48" t="s">
        <v>149</v>
      </c>
      <c r="R1976" s="48">
        <f>HEX2DEC(RIGHT(Table132321279[[#This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149</v>
      </c>
      <c r="P1977" s="48">
        <f>HEX2DEC(RIGHT(Table132321279[[#This Row],[h1]],8))</f>
        <v>0</v>
      </c>
      <c r="Q1977" s="48" t="s">
        <v>149</v>
      </c>
      <c r="R1977" s="48">
        <f>HEX2DEC(RIGHT(Table132321279[[#This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149</v>
      </c>
      <c r="P1978" s="48">
        <f>HEX2DEC(RIGHT(Table132321279[[#This Row],[h1]],8))</f>
        <v>0</v>
      </c>
      <c r="Q1978" s="48" t="s">
        <v>149</v>
      </c>
      <c r="R1978" s="48">
        <f>HEX2DEC(RIGHT(Table132321279[[#This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149</v>
      </c>
      <c r="P1979" s="48">
        <f>HEX2DEC(RIGHT(Table132321279[[#This Row],[h1]],8))</f>
        <v>0</v>
      </c>
      <c r="Q1979" s="48" t="s">
        <v>149</v>
      </c>
      <c r="R1979" s="48">
        <f>HEX2DEC(RIGHT(Table132321279[[#This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149</v>
      </c>
      <c r="P1980" s="48">
        <f>HEX2DEC(RIGHT(Table132321279[[#This Row],[h1]],8))</f>
        <v>0</v>
      </c>
      <c r="Q1980" s="48" t="s">
        <v>149</v>
      </c>
      <c r="R1980" s="48">
        <f>HEX2DEC(RIGHT(Table132321279[[#This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149</v>
      </c>
      <c r="P1981" s="48">
        <f>HEX2DEC(RIGHT(Table132321279[[#This Row],[h1]],8))</f>
        <v>0</v>
      </c>
      <c r="Q1981" s="48" t="s">
        <v>149</v>
      </c>
      <c r="R1981" s="48">
        <f>HEX2DEC(RIGHT(Table132321279[[#This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149</v>
      </c>
      <c r="P1982" s="48">
        <f>HEX2DEC(RIGHT(Table132321279[[#This Row],[h1]],8))</f>
        <v>0</v>
      </c>
      <c r="Q1982" s="48" t="s">
        <v>149</v>
      </c>
      <c r="R1982" s="48">
        <f>HEX2DEC(RIGHT(Table132321279[[#This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149</v>
      </c>
      <c r="P1983" s="48">
        <f>HEX2DEC(RIGHT(Table132321279[[#This Row],[h1]],8))</f>
        <v>0</v>
      </c>
      <c r="Q1983" s="48" t="s">
        <v>149</v>
      </c>
      <c r="R1983" s="48">
        <f>HEX2DEC(RIGHT(Table132321279[[#This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149</v>
      </c>
      <c r="P1984" s="48">
        <f>HEX2DEC(RIGHT(Table132321279[[#This Row],[h1]],8))</f>
        <v>0</v>
      </c>
      <c r="Q1984" s="48" t="s">
        <v>149</v>
      </c>
      <c r="R1984" s="48">
        <f>HEX2DEC(RIGHT(Table132321279[[#This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149</v>
      </c>
      <c r="P1985" s="48">
        <f>HEX2DEC(RIGHT(Table132321279[[#This Row],[h1]],8))</f>
        <v>0</v>
      </c>
      <c r="Q1985" s="48" t="s">
        <v>149</v>
      </c>
      <c r="R1985" s="48">
        <f>HEX2DEC(RIGHT(Table132321279[[#This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149</v>
      </c>
      <c r="P1986" s="48">
        <f>HEX2DEC(RIGHT(Table132321279[[#This Row],[h1]],8))</f>
        <v>0</v>
      </c>
      <c r="Q1986" s="48" t="s">
        <v>149</v>
      </c>
      <c r="R1986" s="48">
        <f>HEX2DEC(RIGHT(Table132321279[[#This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149</v>
      </c>
      <c r="P1987" s="48">
        <f>HEX2DEC(RIGHT(Table132321279[[#This Row],[h1]],8))</f>
        <v>0</v>
      </c>
      <c r="Q1987" s="48" t="s">
        <v>149</v>
      </c>
      <c r="R1987" s="48">
        <f>HEX2DEC(RIGHT(Table132321279[[#This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149</v>
      </c>
      <c r="P1988" s="48">
        <f>HEX2DEC(RIGHT(Table132321279[[#This Row],[h1]],8))</f>
        <v>0</v>
      </c>
      <c r="Q1988" s="48" t="s">
        <v>149</v>
      </c>
      <c r="R1988" s="48">
        <f>HEX2DEC(RIGHT(Table132321279[[#This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149</v>
      </c>
      <c r="P1989" s="48">
        <f>HEX2DEC(RIGHT(Table132321279[[#This Row],[h1]],8))</f>
        <v>0</v>
      </c>
      <c r="Q1989" s="48" t="s">
        <v>149</v>
      </c>
      <c r="R1989" s="48">
        <f>HEX2DEC(RIGHT(Table132321279[[#This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149</v>
      </c>
      <c r="P1990" s="48">
        <f>HEX2DEC(RIGHT(Table132321279[[#This Row],[h1]],8))</f>
        <v>0</v>
      </c>
      <c r="Q1990" s="48" t="s">
        <v>149</v>
      </c>
      <c r="R1990" s="48">
        <f>HEX2DEC(RIGHT(Table132321279[[#This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149</v>
      </c>
      <c r="P1991" s="48">
        <f>HEX2DEC(RIGHT(Table132321279[[#This Row],[h1]],8))</f>
        <v>0</v>
      </c>
      <c r="Q1991" s="48" t="s">
        <v>149</v>
      </c>
      <c r="R1991" s="48">
        <f>HEX2DEC(RIGHT(Table132321279[[#This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149</v>
      </c>
      <c r="P1992" s="48">
        <f>HEX2DEC(RIGHT(Table132321279[[#This Row],[h1]],8))</f>
        <v>0</v>
      </c>
      <c r="Q1992" s="48" t="s">
        <v>149</v>
      </c>
      <c r="R1992" s="48">
        <f>HEX2DEC(RIGHT(Table132321279[[#This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149</v>
      </c>
      <c r="P1993" s="48">
        <f>HEX2DEC(RIGHT(Table132321279[[#This Row],[h1]],8))</f>
        <v>0</v>
      </c>
      <c r="Q1993" s="48" t="s">
        <v>149</v>
      </c>
      <c r="R1993" s="48">
        <f>HEX2DEC(RIGHT(Table132321279[[#This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149</v>
      </c>
      <c r="P1994" s="48">
        <f>HEX2DEC(RIGHT(Table132321279[[#This Row],[h1]],8))</f>
        <v>0</v>
      </c>
      <c r="Q1994" s="48" t="s">
        <v>149</v>
      </c>
      <c r="R1994" s="48">
        <f>HEX2DEC(RIGHT(Table132321279[[#This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149</v>
      </c>
      <c r="P1995" s="48">
        <f>HEX2DEC(RIGHT(Table132321279[[#This Row],[h1]],8))</f>
        <v>0</v>
      </c>
      <c r="Q1995" s="48" t="s">
        <v>149</v>
      </c>
      <c r="R1995" s="48">
        <f>HEX2DEC(RIGHT(Table132321279[[#This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149</v>
      </c>
      <c r="P1996" s="48">
        <f>HEX2DEC(RIGHT(Table132321279[[#This Row],[h1]],8))</f>
        <v>0</v>
      </c>
      <c r="Q1996" s="48" t="s">
        <v>149</v>
      </c>
      <c r="R1996" s="48">
        <f>HEX2DEC(RIGHT(Table132321279[[#This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149</v>
      </c>
      <c r="P1997" s="48">
        <f>HEX2DEC(RIGHT(Table132321279[[#This Row],[h1]],8))</f>
        <v>0</v>
      </c>
      <c r="Q1997" s="48" t="s">
        <v>149</v>
      </c>
      <c r="R1997" s="48">
        <f>HEX2DEC(RIGHT(Table132321279[[#This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149</v>
      </c>
      <c r="P1998" s="48">
        <f>HEX2DEC(RIGHT(Table132321279[[#This Row],[h1]],8))</f>
        <v>0</v>
      </c>
      <c r="Q1998" s="48" t="s">
        <v>149</v>
      </c>
      <c r="R1998" s="48">
        <f>HEX2DEC(RIGHT(Table132321279[[#This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149</v>
      </c>
      <c r="P1999" s="48">
        <f>HEX2DEC(RIGHT(Table132321279[[#This Row],[h1]],8))</f>
        <v>0</v>
      </c>
      <c r="Q1999" s="48" t="s">
        <v>149</v>
      </c>
      <c r="R1999" s="48">
        <f>HEX2DEC(RIGHT(Table132321279[[#This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149</v>
      </c>
      <c r="P2000" s="48">
        <f>HEX2DEC(RIGHT(Table132321279[[#This Row],[h1]],8))</f>
        <v>0</v>
      </c>
      <c r="Q2000" s="48" t="s">
        <v>149</v>
      </c>
      <c r="R2000" s="48">
        <f>HEX2DEC(RIGHT(Table132321279[[#This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149</v>
      </c>
      <c r="P2001" s="48">
        <f>HEX2DEC(RIGHT(Table132321279[[#This Row],[h1]],8))</f>
        <v>0</v>
      </c>
      <c r="Q2001" s="48" t="s">
        <v>149</v>
      </c>
      <c r="R2001" s="48">
        <f>HEX2DEC(RIGHT(Table132321279[[#This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149</v>
      </c>
      <c r="P2002" s="48">
        <f>HEX2DEC(RIGHT(Table132321279[[#This Row],[h1]],8))</f>
        <v>0</v>
      </c>
      <c r="Q2002" s="48" t="s">
        <v>149</v>
      </c>
      <c r="R2002" s="48">
        <f>HEX2DEC(RIGHT(Table132321279[[#This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149</v>
      </c>
      <c r="P2003" s="48">
        <f>HEX2DEC(RIGHT(Table132321279[[#This Row],[h1]],8))</f>
        <v>0</v>
      </c>
      <c r="Q2003" s="48" t="s">
        <v>149</v>
      </c>
      <c r="R2003" s="48">
        <f>HEX2DEC(RIGHT(Table132321279[[#This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149</v>
      </c>
      <c r="P2004" s="48">
        <f>HEX2DEC(RIGHT(Table132321279[[#This Row],[h1]],8))</f>
        <v>0</v>
      </c>
      <c r="Q2004" s="48" t="s">
        <v>149</v>
      </c>
      <c r="R2004" s="48">
        <f>HEX2DEC(RIGHT(Table132321279[[#This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149</v>
      </c>
      <c r="P2005" s="48">
        <f>HEX2DEC(RIGHT(Table132321279[[#This Row],[h1]],8))</f>
        <v>0</v>
      </c>
      <c r="Q2005" s="48" t="s">
        <v>149</v>
      </c>
      <c r="R2005" s="48">
        <f>HEX2DEC(RIGHT(Table132321279[[#This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149</v>
      </c>
      <c r="P2006" s="48">
        <f>HEX2DEC(RIGHT(Table132321279[[#This Row],[h1]],8))</f>
        <v>0</v>
      </c>
      <c r="Q2006" s="48" t="s">
        <v>149</v>
      </c>
      <c r="R2006" s="48">
        <f>HEX2DEC(RIGHT(Table132321279[[#This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149</v>
      </c>
      <c r="P2007" s="48">
        <f>HEX2DEC(RIGHT(Table132321279[[#This Row],[h1]],8))</f>
        <v>0</v>
      </c>
      <c r="Q2007" s="48" t="s">
        <v>149</v>
      </c>
      <c r="R2007" s="48">
        <f>HEX2DEC(RIGHT(Table132321279[[#This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149</v>
      </c>
      <c r="P2008" s="48">
        <f>HEX2DEC(RIGHT(Table132321279[[#This Row],[h1]],8))</f>
        <v>0</v>
      </c>
      <c r="Q2008" s="48" t="s">
        <v>149</v>
      </c>
      <c r="R2008" s="48">
        <f>HEX2DEC(RIGHT(Table132321279[[#This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149</v>
      </c>
      <c r="P2009" s="48">
        <f>HEX2DEC(RIGHT(Table132321279[[#This Row],[h1]],8))</f>
        <v>0</v>
      </c>
      <c r="Q2009" s="48" t="s">
        <v>149</v>
      </c>
      <c r="R2009" s="48">
        <f>HEX2DEC(RIGHT(Table132321279[[#This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149</v>
      </c>
      <c r="P2010" s="48">
        <f>HEX2DEC(RIGHT(Table132321279[[#This Row],[h1]],8))</f>
        <v>0</v>
      </c>
      <c r="Q2010" s="48" t="s">
        <v>149</v>
      </c>
      <c r="R2010" s="48">
        <f>HEX2DEC(RIGHT(Table132321279[[#This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149</v>
      </c>
      <c r="P2011" s="48">
        <f>HEX2DEC(RIGHT(Table132321279[[#This Row],[h1]],8))</f>
        <v>0</v>
      </c>
      <c r="Q2011" s="48" t="s">
        <v>149</v>
      </c>
      <c r="R2011" s="48">
        <f>HEX2DEC(RIGHT(Table132321279[[#This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149</v>
      </c>
      <c r="P2012" s="48">
        <f>HEX2DEC(RIGHT(Table132321279[[#This Row],[h1]],8))</f>
        <v>0</v>
      </c>
      <c r="Q2012" s="48" t="s">
        <v>149</v>
      </c>
      <c r="R2012" s="48">
        <f>HEX2DEC(RIGHT(Table132321279[[#This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149</v>
      </c>
      <c r="P2013" s="48">
        <f>HEX2DEC(RIGHT(Table132321279[[#This Row],[h1]],8))</f>
        <v>0</v>
      </c>
      <c r="Q2013" s="48" t="s">
        <v>149</v>
      </c>
      <c r="R2013" s="48">
        <f>HEX2DEC(RIGHT(Table132321279[[#This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149</v>
      </c>
      <c r="P2014" s="48">
        <f>HEX2DEC(RIGHT(Table132321279[[#This Row],[h1]],8))</f>
        <v>0</v>
      </c>
      <c r="Q2014" s="48" t="s">
        <v>149</v>
      </c>
      <c r="R2014" s="48">
        <f>HEX2DEC(RIGHT(Table132321279[[#This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149</v>
      </c>
      <c r="P2015" s="48">
        <f>HEX2DEC(RIGHT(Table132321279[[#This Row],[h1]],8))</f>
        <v>0</v>
      </c>
      <c r="Q2015" s="48" t="s">
        <v>149</v>
      </c>
      <c r="R2015" s="48">
        <f>HEX2DEC(RIGHT(Table132321279[[#This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149</v>
      </c>
      <c r="P2016" s="48">
        <f>HEX2DEC(RIGHT(Table132321279[[#This Row],[h1]],8))</f>
        <v>0</v>
      </c>
      <c r="Q2016" s="48" t="s">
        <v>149</v>
      </c>
      <c r="R2016" s="48">
        <f>HEX2DEC(RIGHT(Table132321279[[#This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149</v>
      </c>
      <c r="P2017" s="48">
        <f>HEX2DEC(RIGHT(Table132321279[[#This Row],[h1]],8))</f>
        <v>0</v>
      </c>
      <c r="Q2017" s="48" t="s">
        <v>149</v>
      </c>
      <c r="R2017" s="48">
        <f>HEX2DEC(RIGHT(Table132321279[[#This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149</v>
      </c>
      <c r="P2018" s="48">
        <f>HEX2DEC(RIGHT(Table132321279[[#This Row],[h1]],8))</f>
        <v>0</v>
      </c>
      <c r="Q2018" s="48" t="s">
        <v>149</v>
      </c>
      <c r="R2018" s="48">
        <f>HEX2DEC(RIGHT(Table132321279[[#This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149</v>
      </c>
      <c r="P2019" s="48">
        <f>HEX2DEC(RIGHT(Table132321279[[#This Row],[h1]],8))</f>
        <v>0</v>
      </c>
      <c r="Q2019" s="48" t="s">
        <v>149</v>
      </c>
      <c r="R2019" s="48">
        <f>HEX2DEC(RIGHT(Table132321279[[#This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149</v>
      </c>
      <c r="P2020" s="48">
        <f>HEX2DEC(RIGHT(Table132321279[[#This Row],[h1]],8))</f>
        <v>0</v>
      </c>
      <c r="Q2020" s="48" t="s">
        <v>149</v>
      </c>
      <c r="R2020" s="48">
        <f>HEX2DEC(RIGHT(Table132321279[[#This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149</v>
      </c>
      <c r="P2021" s="48">
        <f>HEX2DEC(RIGHT(Table132321279[[#This Row],[h1]],8))</f>
        <v>0</v>
      </c>
      <c r="Q2021" s="48" t="s">
        <v>149</v>
      </c>
      <c r="R2021" s="48">
        <f>HEX2DEC(RIGHT(Table132321279[[#This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149</v>
      </c>
      <c r="P2022" s="48">
        <f>HEX2DEC(RIGHT(Table132321279[[#This Row],[h1]],8))</f>
        <v>0</v>
      </c>
      <c r="Q2022" s="48" t="s">
        <v>149</v>
      </c>
      <c r="R2022" s="48">
        <f>HEX2DEC(RIGHT(Table132321279[[#This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149</v>
      </c>
      <c r="P2023" s="48">
        <f>HEX2DEC(RIGHT(Table132321279[[#This Row],[h1]],8))</f>
        <v>0</v>
      </c>
      <c r="Q2023" s="48" t="s">
        <v>149</v>
      </c>
      <c r="R2023" s="48">
        <f>HEX2DEC(RIGHT(Table132321279[[#This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149</v>
      </c>
      <c r="P2024" s="48">
        <f>HEX2DEC(RIGHT(Table132321279[[#This Row],[h1]],8))</f>
        <v>0</v>
      </c>
      <c r="Q2024" s="48" t="s">
        <v>149</v>
      </c>
      <c r="R2024" s="48">
        <f>HEX2DEC(RIGHT(Table132321279[[#This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149</v>
      </c>
      <c r="P2025" s="48">
        <f>HEX2DEC(RIGHT(Table132321279[[#This Row],[h1]],8))</f>
        <v>0</v>
      </c>
      <c r="Q2025" s="48" t="s">
        <v>149</v>
      </c>
      <c r="R2025" s="48">
        <f>HEX2DEC(RIGHT(Table132321279[[#This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149</v>
      </c>
      <c r="P2026" s="48">
        <f>HEX2DEC(RIGHT(Table132321279[[#This Row],[h1]],8))</f>
        <v>0</v>
      </c>
      <c r="Q2026" s="48" t="s">
        <v>149</v>
      </c>
      <c r="R2026" s="48">
        <f>HEX2DEC(RIGHT(Table132321279[[#This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149</v>
      </c>
      <c r="P2027" s="48">
        <f>HEX2DEC(RIGHT(Table132321279[[#This Row],[h1]],8))</f>
        <v>0</v>
      </c>
      <c r="Q2027" s="48" t="s">
        <v>149</v>
      </c>
      <c r="R2027" s="48">
        <f>HEX2DEC(RIGHT(Table132321279[[#This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149</v>
      </c>
      <c r="P2028" s="48">
        <f>HEX2DEC(RIGHT(Table132321279[[#This Row],[h1]],8))</f>
        <v>0</v>
      </c>
      <c r="Q2028" s="48" t="s">
        <v>149</v>
      </c>
      <c r="R2028" s="48">
        <f>HEX2DEC(RIGHT(Table132321279[[#This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149</v>
      </c>
      <c r="P2029" s="48">
        <f>HEX2DEC(RIGHT(Table132321279[[#This Row],[h1]],8))</f>
        <v>0</v>
      </c>
      <c r="Q2029" s="48" t="s">
        <v>149</v>
      </c>
      <c r="R2029" s="48">
        <f>HEX2DEC(RIGHT(Table132321279[[#This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149</v>
      </c>
      <c r="P2030" s="48">
        <f>HEX2DEC(RIGHT(Table132321279[[#This Row],[h1]],8))</f>
        <v>0</v>
      </c>
      <c r="Q2030" s="48" t="s">
        <v>149</v>
      </c>
      <c r="R2030" s="48">
        <f>HEX2DEC(RIGHT(Table132321279[[#This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149</v>
      </c>
      <c r="P2031" s="48">
        <f>HEX2DEC(RIGHT(Table132321279[[#This Row],[h1]],8))</f>
        <v>0</v>
      </c>
      <c r="Q2031" s="48" t="s">
        <v>149</v>
      </c>
      <c r="R2031" s="48">
        <f>HEX2DEC(RIGHT(Table132321279[[#This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149</v>
      </c>
      <c r="P2032" s="48">
        <f>HEX2DEC(RIGHT(Table132321279[[#This Row],[h1]],8))</f>
        <v>0</v>
      </c>
      <c r="Q2032" s="48" t="s">
        <v>149</v>
      </c>
      <c r="R2032" s="48">
        <f>HEX2DEC(RIGHT(Table132321279[[#This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149</v>
      </c>
      <c r="P2033" s="48">
        <f>HEX2DEC(RIGHT(Table132321279[[#This Row],[h1]],8))</f>
        <v>0</v>
      </c>
      <c r="Q2033" s="48" t="s">
        <v>149</v>
      </c>
      <c r="R2033" s="48">
        <f>HEX2DEC(RIGHT(Table132321279[[#This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149</v>
      </c>
      <c r="P2034" s="48">
        <f>HEX2DEC(RIGHT(Table132321279[[#This Row],[h1]],8))</f>
        <v>0</v>
      </c>
      <c r="Q2034" s="48" t="s">
        <v>149</v>
      </c>
      <c r="R2034" s="48">
        <f>HEX2DEC(RIGHT(Table132321279[[#This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149</v>
      </c>
      <c r="P2035" s="48">
        <f>HEX2DEC(RIGHT(Table132321279[[#This Row],[h1]],8))</f>
        <v>0</v>
      </c>
      <c r="Q2035" s="48" t="s">
        <v>149</v>
      </c>
      <c r="R2035" s="48">
        <f>HEX2DEC(RIGHT(Table132321279[[#This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149</v>
      </c>
      <c r="P2036" s="48">
        <f>HEX2DEC(RIGHT(Table132321279[[#This Row],[h1]],8))</f>
        <v>0</v>
      </c>
      <c r="Q2036" s="48" t="s">
        <v>149</v>
      </c>
      <c r="R2036" s="48">
        <f>HEX2DEC(RIGHT(Table132321279[[#This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149</v>
      </c>
      <c r="P2037" s="48">
        <f>HEX2DEC(RIGHT(Table132321279[[#This Row],[h1]],8))</f>
        <v>0</v>
      </c>
      <c r="Q2037" s="48" t="s">
        <v>149</v>
      </c>
      <c r="R2037" s="48">
        <f>HEX2DEC(RIGHT(Table132321279[[#This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149</v>
      </c>
      <c r="P2038" s="48">
        <f>HEX2DEC(RIGHT(Table132321279[[#This Row],[h1]],8))</f>
        <v>0</v>
      </c>
      <c r="Q2038" s="48" t="s">
        <v>149</v>
      </c>
      <c r="R2038" s="48">
        <f>HEX2DEC(RIGHT(Table132321279[[#This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149</v>
      </c>
      <c r="P2039" s="48">
        <f>HEX2DEC(RIGHT(Table132321279[[#This Row],[h1]],8))</f>
        <v>0</v>
      </c>
      <c r="Q2039" s="48" t="s">
        <v>149</v>
      </c>
      <c r="R2039" s="48">
        <f>HEX2DEC(RIGHT(Table132321279[[#This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149</v>
      </c>
      <c r="P2040" s="48">
        <f>HEX2DEC(RIGHT(Table132321279[[#This Row],[h1]],8))</f>
        <v>0</v>
      </c>
      <c r="Q2040" s="48" t="s">
        <v>149</v>
      </c>
      <c r="R2040" s="48">
        <f>HEX2DEC(RIGHT(Table132321279[[#This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149</v>
      </c>
      <c r="P2041" s="48">
        <f>HEX2DEC(RIGHT(Table132321279[[#This Row],[h1]],8))</f>
        <v>0</v>
      </c>
      <c r="Q2041" s="48" t="s">
        <v>149</v>
      </c>
      <c r="R2041" s="48">
        <f>HEX2DEC(RIGHT(Table132321279[[#This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48</v>
      </c>
      <c r="Q2042" s="48" t="s">
        <v>48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48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D2087" s="15" t="s">
        <v>140</v>
      </c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6" spans="3:7" x14ac:dyDescent="0.3">
      <c r="D2096" s="27"/>
      <c r="E2096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G248:G249 D2091:E2094 S2059:S2062 O2061:R2064</xm:sqref>
        </x14:dataValidation>
        <x14:dataValidation type="list" allowBlank="1" showInputMessage="1" showErrorMessage="1">
          <x14:formula1>
            <xm:f>org!$B$11:$B$47</xm:f>
          </x14:formula1>
          <xm:sqref>E168:E175 F6 V2061:V2064 L2061:L2064 E177:E207 G168:G175 I2062:I2064 F2091:F2094 G177:G207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43" activePane="bottomRight" state="frozen"/>
      <selection pane="topRight" activeCell="C1" sqref="C1"/>
      <selection pane="bottomLeft" activeCell="A7" sqref="A7"/>
      <selection pane="bottomRight" activeCell="G74" sqref="G74:G105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52</v>
      </c>
      <c r="B2" s="10" t="s">
        <v>55</v>
      </c>
      <c r="D2" s="60" t="s">
        <v>50</v>
      </c>
      <c r="E2" s="60"/>
      <c r="F2" s="60"/>
      <c r="G2" s="60"/>
      <c r="I2" s="60" t="s">
        <v>141</v>
      </c>
      <c r="J2" s="60"/>
      <c r="K2" s="11"/>
      <c r="L2" s="60" t="s">
        <v>142</v>
      </c>
      <c r="M2" s="60"/>
      <c r="O2" s="60" t="s">
        <v>210</v>
      </c>
      <c r="P2" s="60"/>
      <c r="Q2" s="60"/>
      <c r="R2" s="60"/>
      <c r="T2" s="60" t="s">
        <v>51</v>
      </c>
      <c r="U2" s="60"/>
      <c r="V2" s="60"/>
      <c r="W2" s="60"/>
    </row>
    <row r="3" spans="1:23" s="47" customFormat="1" x14ac:dyDescent="0.3">
      <c r="A3" s="12" t="s">
        <v>53</v>
      </c>
      <c r="C3" s="47" t="s">
        <v>44</v>
      </c>
      <c r="D3" s="47" t="s">
        <v>9</v>
      </c>
      <c r="E3" s="47" t="s">
        <v>10</v>
      </c>
      <c r="F3" s="47" t="s">
        <v>11</v>
      </c>
      <c r="G3" s="47" t="s">
        <v>157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150</v>
      </c>
      <c r="P3" s="34" t="s">
        <v>151</v>
      </c>
      <c r="Q3" s="47" t="s">
        <v>152</v>
      </c>
      <c r="R3" s="47" t="s">
        <v>153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54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563</v>
      </c>
      <c r="B5" s="47" t="str">
        <f>A3&amp;"."&amp;A4&amp;"."&amp;A5&amp;A6&amp;"."</f>
        <v>SCL3.TS.EVR001.</v>
      </c>
      <c r="C5" s="41"/>
      <c r="D5" s="13"/>
      <c r="E5" s="13"/>
      <c r="F5" s="13" t="s">
        <v>137</v>
      </c>
      <c r="G5" s="13"/>
      <c r="I5" s="13" t="s">
        <v>49</v>
      </c>
      <c r="J5" s="13" t="s">
        <v>47</v>
      </c>
      <c r="L5" s="13" t="s">
        <v>138</v>
      </c>
      <c r="M5" s="14" t="s">
        <v>139</v>
      </c>
      <c r="O5" s="13" t="s">
        <v>102</v>
      </c>
      <c r="P5" s="13"/>
      <c r="Q5" s="13" t="s">
        <v>103</v>
      </c>
      <c r="R5" s="14"/>
      <c r="T5" s="13"/>
      <c r="U5" s="13"/>
      <c r="V5" s="13"/>
      <c r="W5" s="13"/>
    </row>
    <row r="6" spans="1:23" s="47" customFormat="1" x14ac:dyDescent="0.3">
      <c r="A6" s="12" t="s">
        <v>62</v>
      </c>
      <c r="B6" s="47" t="str">
        <f>A3&amp;":"&amp;A4&amp;":"&amp;A5&amp;A6&amp;":"</f>
        <v>SCL3:TS:EVR001:</v>
      </c>
      <c r="C6" s="41"/>
      <c r="D6" s="13"/>
      <c r="E6" s="13" t="s">
        <v>143</v>
      </c>
      <c r="F6" s="13" t="s">
        <v>105</v>
      </c>
      <c r="G6" s="13"/>
      <c r="I6" s="13"/>
      <c r="J6" s="13" t="s">
        <v>104</v>
      </c>
      <c r="L6" s="13"/>
      <c r="M6" s="13" t="s">
        <v>104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159</v>
      </c>
      <c r="E7" s="16"/>
      <c r="F7" s="16"/>
      <c r="G7" s="17"/>
      <c r="H7" s="47"/>
      <c r="I7" s="28" t="s">
        <v>340</v>
      </c>
      <c r="J7" s="29" t="s">
        <v>341</v>
      </c>
      <c r="K7" s="30"/>
      <c r="L7" s="28" t="s">
        <v>342</v>
      </c>
      <c r="M7" s="29" t="s">
        <v>343</v>
      </c>
      <c r="O7" s="18" t="s">
        <v>211</v>
      </c>
      <c r="P7" s="18"/>
      <c r="Q7" s="18" t="s">
        <v>212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57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213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2" t="s">
        <v>702</v>
      </c>
      <c r="P11" s="47">
        <f>HEX2DEC(RIGHT(Table1323214[[#This Row],[h1]],8))</f>
        <v>65537</v>
      </c>
      <c r="Q11" s="47" t="s">
        <v>149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49" t="s">
        <v>703</v>
      </c>
      <c r="P12" s="47">
        <f>HEX2DEC(RIGHT(Table1323214[[#This Row],[h1]],8))</f>
        <v>131074</v>
      </c>
      <c r="Q12" s="47" t="s">
        <v>149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144</v>
      </c>
      <c r="H13" s="47"/>
      <c r="I13" s="20" t="s">
        <v>48</v>
      </c>
      <c r="J13" s="24">
        <v>50000</v>
      </c>
      <c r="K13" s="47"/>
      <c r="L13" s="24">
        <v>13</v>
      </c>
      <c r="M13" s="24">
        <v>50000</v>
      </c>
      <c r="O13" s="49" t="s">
        <v>704</v>
      </c>
      <c r="P13" s="47">
        <f>HEX2DEC(RIGHT(Table1323214[[#This Row],[h1]],8))</f>
        <v>262148</v>
      </c>
      <c r="Q13" s="47" t="s">
        <v>149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214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49" t="s">
        <v>705</v>
      </c>
      <c r="P14" s="47">
        <f>HEX2DEC(RIGHT(Table1323214[[#This Row],[h1]],8))</f>
        <v>524296</v>
      </c>
      <c r="Q14" s="47" t="s">
        <v>149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215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49" t="s">
        <v>706</v>
      </c>
      <c r="P15" s="47">
        <f>HEX2DEC(RIGHT(Table1323214[[#This Row],[h1]],8))</f>
        <v>1048592</v>
      </c>
      <c r="Q15" s="47" t="s">
        <v>149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216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49" t="s">
        <v>707</v>
      </c>
      <c r="P16" s="47">
        <f>HEX2DEC(RIGHT(Table1323214[[#This Row],[h1]],8))</f>
        <v>2097184</v>
      </c>
      <c r="Q16" s="47" t="s">
        <v>149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217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49" t="s">
        <v>708</v>
      </c>
      <c r="P17" s="47">
        <f>HEX2DEC(RIGHT(Table1323214[[#This Row],[h1]],8))</f>
        <v>4194368</v>
      </c>
      <c r="Q17" s="47" t="s">
        <v>149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218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49" t="s">
        <v>709</v>
      </c>
      <c r="P18" s="47">
        <f>HEX2DEC(RIGHT(Table1323214[[#This Row],[h1]],8))</f>
        <v>8388736</v>
      </c>
      <c r="Q18" s="47" t="s">
        <v>149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219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49" t="s">
        <v>710</v>
      </c>
      <c r="P19" s="47">
        <f>HEX2DEC(RIGHT(Table1323214[[#This Row],[h1]],8))</f>
        <v>16777472</v>
      </c>
      <c r="Q19" s="47" t="s">
        <v>149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220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3" t="s">
        <v>711</v>
      </c>
      <c r="P20" s="47">
        <f>HEX2DEC(RIGHT(Table1323214[[#This Row],[h1]],8))</f>
        <v>33554944</v>
      </c>
      <c r="Q20" s="47" t="s">
        <v>149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221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3" t="s">
        <v>712</v>
      </c>
      <c r="P21" s="47">
        <f>HEX2DEC(RIGHT(Table1323214[[#This Row],[h1]],8))</f>
        <v>67109888</v>
      </c>
      <c r="Q21" s="47" t="s">
        <v>149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3" t="s">
        <v>713</v>
      </c>
      <c r="P22" s="47">
        <f>HEX2DEC(RIGHT(Table1323214[[#This Row],[h1]],8))</f>
        <v>134219776</v>
      </c>
      <c r="Q22" s="47" t="s">
        <v>149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3" t="s">
        <v>714</v>
      </c>
      <c r="P23" s="47">
        <f>HEX2DEC(RIGHT(Table1323214[[#This Row],[h1]],8))</f>
        <v>268439552</v>
      </c>
      <c r="Q23" s="47" t="s">
        <v>149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145</v>
      </c>
      <c r="H24" s="47"/>
      <c r="J24" s="24">
        <v>50000</v>
      </c>
      <c r="K24" s="47"/>
      <c r="L24" s="24">
        <v>24</v>
      </c>
      <c r="M24" s="24">
        <v>50000</v>
      </c>
      <c r="O24" s="53" t="s">
        <v>715</v>
      </c>
      <c r="P24" s="47">
        <f>HEX2DEC(RIGHT(Table1323214[[#This Row],[h1]],8))</f>
        <v>536879104</v>
      </c>
      <c r="Q24" s="47" t="s">
        <v>149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222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3" t="s">
        <v>716</v>
      </c>
      <c r="P25" s="47">
        <f>HEX2DEC(RIGHT(Table1323214[[#This Row],[h1]],8))</f>
        <v>1073758208</v>
      </c>
      <c r="Q25" s="47" t="s">
        <v>149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223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3" t="s">
        <v>717</v>
      </c>
      <c r="P26" s="47">
        <f>HEX2DEC(RIGHT(Table1323214[[#This Row],[h1]],8))</f>
        <v>2147516416</v>
      </c>
      <c r="Q26" s="47" t="s">
        <v>149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224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47" t="s">
        <v>149</v>
      </c>
      <c r="P27" s="47">
        <f>HEX2DEC(RIGHT(Table1323214[[#This Row],[h1]],8))</f>
        <v>0</v>
      </c>
      <c r="Q27" s="47" t="s">
        <v>149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225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47" t="s">
        <v>149</v>
      </c>
      <c r="P28" s="47">
        <f>HEX2DEC(RIGHT(Table1323214[[#This Row],[h1]],8))</f>
        <v>0</v>
      </c>
      <c r="Q28" s="47" t="s">
        <v>149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226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47" t="s">
        <v>149</v>
      </c>
      <c r="P29" s="47">
        <f>HEX2DEC(RIGHT(Table1323214[[#This Row],[h1]],8))</f>
        <v>0</v>
      </c>
      <c r="Q29" s="47" t="s">
        <v>149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227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47" t="s">
        <v>149</v>
      </c>
      <c r="P30" s="47">
        <f>HEX2DEC(RIGHT(Table1323214[[#This Row],[h1]],8))</f>
        <v>0</v>
      </c>
      <c r="Q30" s="47" t="s">
        <v>149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228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47" t="s">
        <v>149</v>
      </c>
      <c r="P31" s="47">
        <f>HEX2DEC(RIGHT(Table1323214[[#This Row],[h1]],8))</f>
        <v>0</v>
      </c>
      <c r="Q31" s="47" t="s">
        <v>149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229</v>
      </c>
      <c r="G32" s="33">
        <v>0</v>
      </c>
      <c r="H32" s="47"/>
      <c r="J32" s="24">
        <v>50000</v>
      </c>
      <c r="K32" s="47"/>
      <c r="M32" s="24">
        <v>50000</v>
      </c>
      <c r="O32" s="47" t="s">
        <v>149</v>
      </c>
      <c r="P32" s="47">
        <f>HEX2DEC(RIGHT(Table1323214[[#This Row],[h1]],8))</f>
        <v>0</v>
      </c>
      <c r="Q32" s="47" t="s">
        <v>149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230</v>
      </c>
      <c r="G33" s="33">
        <v>0</v>
      </c>
      <c r="H33" s="47"/>
      <c r="J33" s="24">
        <v>50000</v>
      </c>
      <c r="K33" s="47"/>
      <c r="M33" s="24">
        <v>50000</v>
      </c>
      <c r="O33" s="47" t="s">
        <v>149</v>
      </c>
      <c r="P33" s="47">
        <f>HEX2DEC(RIGHT(Table1323214[[#This Row],[h1]],8))</f>
        <v>0</v>
      </c>
      <c r="Q33" s="47" t="s">
        <v>149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231</v>
      </c>
      <c r="G34" s="33">
        <v>0</v>
      </c>
      <c r="H34" s="47"/>
      <c r="J34" s="24">
        <v>50000</v>
      </c>
      <c r="K34" s="47"/>
      <c r="M34" s="24">
        <v>50000</v>
      </c>
      <c r="O34" s="47" t="s">
        <v>149</v>
      </c>
      <c r="P34" s="47">
        <f>HEX2DEC(RIGHT(Table1323214[[#This Row],[h1]],8))</f>
        <v>0</v>
      </c>
      <c r="Q34" s="47" t="s">
        <v>149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232</v>
      </c>
      <c r="G35" s="33">
        <v>0</v>
      </c>
      <c r="H35" s="47"/>
      <c r="J35" s="24">
        <v>50000</v>
      </c>
      <c r="K35" s="47"/>
      <c r="M35" s="24">
        <v>50000</v>
      </c>
      <c r="O35" s="47" t="s">
        <v>149</v>
      </c>
      <c r="P35" s="47">
        <f>HEX2DEC(RIGHT(Table1323214[[#This Row],[h1]],8))</f>
        <v>0</v>
      </c>
      <c r="Q35" s="47" t="s">
        <v>149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233</v>
      </c>
      <c r="G36" s="33">
        <v>0</v>
      </c>
      <c r="H36" s="47"/>
      <c r="J36" s="24">
        <v>50000</v>
      </c>
      <c r="K36" s="47"/>
      <c r="M36" s="24">
        <v>50000</v>
      </c>
      <c r="O36" s="47" t="s">
        <v>149</v>
      </c>
      <c r="P36" s="47">
        <f>HEX2DEC(RIGHT(Table1323214[[#This Row],[h1]],8))</f>
        <v>0</v>
      </c>
      <c r="Q36" s="47" t="s">
        <v>149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234</v>
      </c>
      <c r="G37" s="33">
        <v>0</v>
      </c>
      <c r="H37" s="47"/>
      <c r="J37" s="24">
        <v>50000</v>
      </c>
      <c r="K37" s="47"/>
      <c r="M37" s="24">
        <v>50000</v>
      </c>
      <c r="O37" s="47" t="s">
        <v>149</v>
      </c>
      <c r="P37" s="47">
        <f>HEX2DEC(RIGHT(Table1323214[[#This Row],[h1]],8))</f>
        <v>0</v>
      </c>
      <c r="Q37" s="47" t="s">
        <v>149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235</v>
      </c>
      <c r="G38" s="33">
        <v>0</v>
      </c>
      <c r="H38" s="47"/>
      <c r="J38" s="24">
        <v>50000</v>
      </c>
      <c r="K38" s="47"/>
      <c r="L38" s="20" t="s">
        <v>140</v>
      </c>
      <c r="M38" s="24">
        <v>50000</v>
      </c>
      <c r="O38" s="47" t="s">
        <v>149</v>
      </c>
      <c r="P38" s="47">
        <f>HEX2DEC(RIGHT(Table1323214[[#This Row],[h1]],8))</f>
        <v>0</v>
      </c>
      <c r="Q38" s="47" t="s">
        <v>149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236</v>
      </c>
      <c r="G39" s="33">
        <v>0</v>
      </c>
      <c r="H39" s="47"/>
      <c r="J39" s="24">
        <v>50000</v>
      </c>
      <c r="K39" s="47"/>
      <c r="M39" s="24">
        <v>50000</v>
      </c>
      <c r="O39" s="47" t="s">
        <v>149</v>
      </c>
      <c r="P39" s="47">
        <f>HEX2DEC(RIGHT(Table1323214[[#This Row],[h1]],8))</f>
        <v>0</v>
      </c>
      <c r="Q39" s="47" t="s">
        <v>149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47" t="s">
        <v>727</v>
      </c>
      <c r="P40" s="47">
        <f>HEX2DEC(RIGHT(Table1323214[[#This Row],[h1]],8))</f>
        <v>65536</v>
      </c>
      <c r="Q40" s="47" t="s">
        <v>149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237</v>
      </c>
      <c r="G41" s="33">
        <v>0</v>
      </c>
      <c r="H41" s="47"/>
      <c r="J41" s="24">
        <v>50000</v>
      </c>
      <c r="K41" s="47"/>
      <c r="M41" s="24">
        <v>50000</v>
      </c>
      <c r="O41" s="47" t="s">
        <v>728</v>
      </c>
      <c r="P41" s="47">
        <f>HEX2DEC(RIGHT(Table1323214[[#This Row],[h1]],8))</f>
        <v>196608</v>
      </c>
      <c r="Q41" s="47" t="s">
        <v>149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238</v>
      </c>
      <c r="G42" s="33">
        <v>0</v>
      </c>
      <c r="H42" s="47"/>
      <c r="J42" s="24">
        <v>50000</v>
      </c>
      <c r="K42" s="47"/>
      <c r="M42" s="24">
        <v>50000</v>
      </c>
      <c r="O42" s="47" t="s">
        <v>729</v>
      </c>
      <c r="P42" s="47">
        <f>HEX2DEC(RIGHT(Table1323214[[#This Row],[h1]],8))</f>
        <v>458752</v>
      </c>
      <c r="Q42" s="47" t="s">
        <v>149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239</v>
      </c>
      <c r="G43" s="33">
        <v>0</v>
      </c>
      <c r="H43" s="47"/>
      <c r="J43" s="24">
        <v>50000</v>
      </c>
      <c r="K43" s="47"/>
      <c r="M43" s="24">
        <v>50000</v>
      </c>
      <c r="O43" s="47" t="s">
        <v>730</v>
      </c>
      <c r="P43" s="47">
        <f>HEX2DEC(RIGHT(Table1323214[[#This Row],[h1]],8))</f>
        <v>983040</v>
      </c>
      <c r="Q43" s="47" t="s">
        <v>149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240</v>
      </c>
      <c r="G44" s="33">
        <v>0</v>
      </c>
      <c r="H44" s="47"/>
      <c r="J44" s="24">
        <v>50000</v>
      </c>
      <c r="K44" s="47"/>
      <c r="M44" s="24">
        <v>50000</v>
      </c>
      <c r="O44" s="47" t="s">
        <v>731</v>
      </c>
      <c r="P44" s="47">
        <f>HEX2DEC(RIGHT(Table1323214[[#This Row],[h1]],8))</f>
        <v>4294901760</v>
      </c>
      <c r="Q44" s="47" t="s">
        <v>149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241</v>
      </c>
      <c r="G45" s="33">
        <v>0</v>
      </c>
      <c r="H45" s="47"/>
      <c r="J45" s="24">
        <v>50000</v>
      </c>
      <c r="K45" s="47"/>
      <c r="M45" s="24">
        <v>50000</v>
      </c>
      <c r="O45" s="47" t="s">
        <v>732</v>
      </c>
      <c r="P45" s="47">
        <f>HEX2DEC(RIGHT(Table1323214[[#This Row],[h1]],8))</f>
        <v>0</v>
      </c>
      <c r="Q45" s="47" t="s">
        <v>149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242</v>
      </c>
      <c r="G46" s="33">
        <v>0</v>
      </c>
      <c r="H46" s="47"/>
      <c r="I46" s="20" t="s">
        <v>140</v>
      </c>
      <c r="J46" s="24">
        <v>50000</v>
      </c>
      <c r="K46" s="47"/>
      <c r="M46" s="24">
        <v>50000</v>
      </c>
      <c r="O46" s="53" t="s">
        <v>149</v>
      </c>
      <c r="P46" s="47">
        <f>HEX2DEC(RIGHT(Table1323214[[#This Row],[h1]],8))</f>
        <v>0</v>
      </c>
      <c r="Q46" s="47" t="s">
        <v>149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243</v>
      </c>
      <c r="G47" s="33">
        <v>0</v>
      </c>
      <c r="H47" s="47"/>
      <c r="J47" s="24">
        <v>50000</v>
      </c>
      <c r="K47" s="47"/>
      <c r="M47" s="24">
        <v>50000</v>
      </c>
      <c r="O47" s="47" t="s">
        <v>149</v>
      </c>
      <c r="P47" s="47">
        <f>HEX2DEC(RIGHT(Table1323214[[#This Row],[h1]],8))</f>
        <v>0</v>
      </c>
      <c r="Q47" s="47" t="s">
        <v>149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244</v>
      </c>
      <c r="G48" s="33">
        <v>0</v>
      </c>
      <c r="H48" s="47"/>
      <c r="J48" s="24">
        <v>50000</v>
      </c>
      <c r="K48" s="47"/>
      <c r="M48" s="24">
        <v>50000</v>
      </c>
      <c r="O48" s="47" t="s">
        <v>149</v>
      </c>
      <c r="P48" s="47">
        <f>HEX2DEC(RIGHT(Table1323214[[#This Row],[h1]],8))</f>
        <v>0</v>
      </c>
      <c r="Q48" s="47" t="s">
        <v>149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245</v>
      </c>
      <c r="G49" s="33">
        <v>0</v>
      </c>
      <c r="H49" s="47"/>
      <c r="J49" s="24">
        <v>50000</v>
      </c>
      <c r="K49" s="47"/>
      <c r="M49" s="24">
        <v>50000</v>
      </c>
      <c r="O49" s="47" t="s">
        <v>149</v>
      </c>
      <c r="P49" s="47">
        <f>HEX2DEC(RIGHT(Table1323214[[#This Row],[h1]],8))</f>
        <v>0</v>
      </c>
      <c r="Q49" s="47" t="s">
        <v>149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246</v>
      </c>
      <c r="G50" s="33">
        <v>0</v>
      </c>
      <c r="H50" s="47"/>
      <c r="J50" s="24">
        <v>50000</v>
      </c>
      <c r="K50" s="47"/>
      <c r="M50" s="24">
        <v>50000</v>
      </c>
      <c r="O50" s="47" t="s">
        <v>149</v>
      </c>
      <c r="P50" s="47">
        <f>HEX2DEC(RIGHT(Table1323214[[#This Row],[h1]],8))</f>
        <v>0</v>
      </c>
      <c r="Q50" s="47" t="s">
        <v>149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247</v>
      </c>
      <c r="G51" s="33">
        <v>0</v>
      </c>
      <c r="H51" s="47"/>
      <c r="J51" s="24">
        <v>50000</v>
      </c>
      <c r="K51" s="47"/>
      <c r="M51" s="24">
        <v>50000</v>
      </c>
      <c r="O51" s="47" t="s">
        <v>149</v>
      </c>
      <c r="P51" s="47">
        <f>HEX2DEC(RIGHT(Table1323214[[#This Row],[h1]],8))</f>
        <v>0</v>
      </c>
      <c r="Q51" s="47" t="s">
        <v>149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248</v>
      </c>
      <c r="G52" s="33">
        <v>0</v>
      </c>
      <c r="H52" s="47"/>
      <c r="J52" s="24">
        <v>50000</v>
      </c>
      <c r="K52" s="47"/>
      <c r="M52" s="24">
        <v>50000</v>
      </c>
      <c r="O52" s="47" t="s">
        <v>149</v>
      </c>
      <c r="P52" s="47">
        <f>HEX2DEC(RIGHT(Table1323214[[#This Row],[h1]],8))</f>
        <v>0</v>
      </c>
      <c r="Q52" s="47" t="s">
        <v>149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249</v>
      </c>
      <c r="G53" s="33">
        <v>0</v>
      </c>
      <c r="H53" s="47"/>
      <c r="J53" s="24">
        <v>50000</v>
      </c>
      <c r="K53" s="47"/>
      <c r="M53" s="24">
        <v>50000</v>
      </c>
      <c r="O53" s="47" t="s">
        <v>149</v>
      </c>
      <c r="P53" s="47">
        <f>HEX2DEC(RIGHT(Table1323214[[#This Row],[h1]],8))</f>
        <v>0</v>
      </c>
      <c r="Q53" s="47" t="s">
        <v>149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250</v>
      </c>
      <c r="G54" s="33">
        <v>0</v>
      </c>
      <c r="H54" s="47"/>
      <c r="J54" s="24">
        <v>50000</v>
      </c>
      <c r="K54" s="47"/>
      <c r="M54" s="24">
        <v>50000</v>
      </c>
      <c r="O54" s="47" t="s">
        <v>149</v>
      </c>
      <c r="P54" s="47">
        <f>HEX2DEC(RIGHT(Table1323214[[#This Row],[h1]],8))</f>
        <v>0</v>
      </c>
      <c r="Q54" s="47" t="s">
        <v>149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251</v>
      </c>
      <c r="G55" s="33">
        <v>0</v>
      </c>
      <c r="H55" s="47"/>
      <c r="J55" s="24">
        <v>50000</v>
      </c>
      <c r="K55" s="47"/>
      <c r="M55" s="24">
        <v>50000</v>
      </c>
      <c r="O55" s="47" t="s">
        <v>149</v>
      </c>
      <c r="P55" s="47">
        <f>HEX2DEC(RIGHT(Table1323214[[#This Row],[h1]],8))</f>
        <v>0</v>
      </c>
      <c r="Q55" s="47" t="s">
        <v>149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252</v>
      </c>
      <c r="G56" s="33">
        <v>0</v>
      </c>
      <c r="H56" s="47"/>
      <c r="J56" s="24">
        <v>50000</v>
      </c>
      <c r="K56" s="47"/>
      <c r="M56" s="24">
        <v>50000</v>
      </c>
      <c r="O56" s="47" t="s">
        <v>149</v>
      </c>
      <c r="P56" s="47">
        <f>HEX2DEC(RIGHT(Table1323214[[#This Row],[h1]],8))</f>
        <v>0</v>
      </c>
      <c r="Q56" s="47" t="s">
        <v>149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253</v>
      </c>
      <c r="G57" s="33">
        <v>0</v>
      </c>
      <c r="H57" s="47"/>
      <c r="J57" s="24">
        <v>50000</v>
      </c>
      <c r="K57" s="47"/>
      <c r="M57" s="24">
        <v>50000</v>
      </c>
      <c r="O57" s="47" t="s">
        <v>149</v>
      </c>
      <c r="P57" s="47">
        <f>HEX2DEC(RIGHT(Table1323214[[#This Row],[h1]],8))</f>
        <v>0</v>
      </c>
      <c r="Q57" s="47" t="s">
        <v>149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254</v>
      </c>
      <c r="G58" s="33">
        <v>0</v>
      </c>
      <c r="H58" s="47"/>
      <c r="J58" s="24">
        <v>50000</v>
      </c>
      <c r="K58" s="47"/>
      <c r="M58" s="24">
        <v>50000</v>
      </c>
      <c r="O58" s="47" t="s">
        <v>149</v>
      </c>
      <c r="P58" s="47">
        <f>HEX2DEC(RIGHT(Table1323214[[#This Row],[h1]],8))</f>
        <v>0</v>
      </c>
      <c r="Q58" s="47" t="s">
        <v>149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255</v>
      </c>
      <c r="G59" s="33">
        <v>0</v>
      </c>
      <c r="H59" s="47"/>
      <c r="J59" s="24">
        <v>50000</v>
      </c>
      <c r="K59" s="47"/>
      <c r="M59" s="24">
        <v>50000</v>
      </c>
      <c r="O59" s="47" t="s">
        <v>149</v>
      </c>
      <c r="P59" s="47">
        <f>HEX2DEC(RIGHT(Table1323214[[#This Row],[h1]],8))</f>
        <v>0</v>
      </c>
      <c r="Q59" s="47" t="s">
        <v>149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256</v>
      </c>
      <c r="G60" s="33">
        <v>0</v>
      </c>
      <c r="H60" s="47"/>
      <c r="J60" s="24">
        <v>50000</v>
      </c>
      <c r="K60" s="47"/>
      <c r="M60" s="24">
        <v>50000</v>
      </c>
      <c r="O60" s="47" t="s">
        <v>149</v>
      </c>
      <c r="P60" s="47">
        <f>HEX2DEC(RIGHT(Table1323214[[#This Row],[h1]],8))</f>
        <v>0</v>
      </c>
      <c r="Q60" s="47" t="s">
        <v>149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257</v>
      </c>
      <c r="G61" s="33">
        <v>0</v>
      </c>
      <c r="H61" s="47"/>
      <c r="J61" s="24">
        <v>50000</v>
      </c>
      <c r="K61" s="47"/>
      <c r="M61" s="24">
        <v>50000</v>
      </c>
      <c r="O61" s="47" t="s">
        <v>149</v>
      </c>
      <c r="P61" s="47">
        <f>HEX2DEC(RIGHT(Table1323214[[#This Row],[h1]],8))</f>
        <v>0</v>
      </c>
      <c r="Q61" s="47" t="s">
        <v>149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258</v>
      </c>
      <c r="G62" s="33">
        <v>0</v>
      </c>
      <c r="J62" s="24">
        <v>50000</v>
      </c>
      <c r="M62" s="24">
        <v>50000</v>
      </c>
      <c r="O62" s="47" t="s">
        <v>149</v>
      </c>
      <c r="P62" s="47">
        <f>HEX2DEC(RIGHT(Table1323214[[#This Row],[h1]],8))</f>
        <v>0</v>
      </c>
      <c r="Q62" s="47" t="s">
        <v>149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259</v>
      </c>
      <c r="G63" s="33">
        <v>0</v>
      </c>
      <c r="J63" s="24">
        <v>50000</v>
      </c>
      <c r="M63" s="24">
        <v>50000</v>
      </c>
      <c r="O63" s="47" t="s">
        <v>149</v>
      </c>
      <c r="P63" s="47">
        <f>HEX2DEC(RIGHT(Table1323214[[#This Row],[h1]],8))</f>
        <v>0</v>
      </c>
      <c r="Q63" s="47" t="s">
        <v>149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260</v>
      </c>
      <c r="G64" s="33">
        <v>0</v>
      </c>
      <c r="J64" s="24">
        <v>50000</v>
      </c>
      <c r="M64" s="24">
        <v>50000</v>
      </c>
      <c r="O64" s="47" t="s">
        <v>149</v>
      </c>
      <c r="P64" s="47">
        <f>HEX2DEC(RIGHT(Table1323214[[#This Row],[h1]],8))</f>
        <v>0</v>
      </c>
      <c r="Q64" s="47" t="s">
        <v>149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261</v>
      </c>
      <c r="G65" s="33">
        <v>0</v>
      </c>
      <c r="J65" s="24">
        <v>50000</v>
      </c>
      <c r="M65" s="24">
        <v>50000</v>
      </c>
      <c r="O65" s="47" t="s">
        <v>149</v>
      </c>
      <c r="P65" s="47">
        <f>HEX2DEC(RIGHT(Table1323214[[#This Row],[h1]],8))</f>
        <v>0</v>
      </c>
      <c r="Q65" s="47" t="s">
        <v>149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262</v>
      </c>
      <c r="G66" s="33">
        <v>0</v>
      </c>
      <c r="J66" s="24">
        <v>50000</v>
      </c>
      <c r="M66" s="24">
        <v>50000</v>
      </c>
      <c r="O66" s="47" t="s">
        <v>149</v>
      </c>
      <c r="P66" s="47">
        <f>HEX2DEC(RIGHT(Table1323214[[#This Row],[h1]],8))</f>
        <v>0</v>
      </c>
      <c r="Q66" s="47" t="s">
        <v>149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263</v>
      </c>
      <c r="G67" s="33">
        <v>0</v>
      </c>
      <c r="J67" s="24">
        <v>50000</v>
      </c>
      <c r="M67" s="24">
        <v>50000</v>
      </c>
      <c r="O67" s="47" t="s">
        <v>149</v>
      </c>
      <c r="P67" s="47">
        <f>HEX2DEC(RIGHT(Table1323214[[#This Row],[h1]],8))</f>
        <v>0</v>
      </c>
      <c r="Q67" s="47" t="s">
        <v>149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264</v>
      </c>
      <c r="G68" s="33">
        <v>0</v>
      </c>
      <c r="J68" s="24">
        <v>50000</v>
      </c>
      <c r="M68" s="24">
        <v>50000</v>
      </c>
      <c r="O68" s="47" t="s">
        <v>149</v>
      </c>
      <c r="P68" s="47">
        <f>HEX2DEC(RIGHT(Table1323214[[#This Row],[h1]],8))</f>
        <v>0</v>
      </c>
      <c r="Q68" s="47" t="s">
        <v>149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265</v>
      </c>
      <c r="G69" s="33">
        <v>0</v>
      </c>
      <c r="J69" s="24">
        <v>50000</v>
      </c>
      <c r="M69" s="24">
        <v>50000</v>
      </c>
      <c r="O69" s="47" t="s">
        <v>149</v>
      </c>
      <c r="P69" s="47">
        <f>HEX2DEC(RIGHT(Table1323214[[#This Row],[h1]],8))</f>
        <v>0</v>
      </c>
      <c r="Q69" s="47" t="s">
        <v>149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266</v>
      </c>
      <c r="G70" s="33">
        <v>0</v>
      </c>
      <c r="J70" s="24">
        <v>50000</v>
      </c>
      <c r="M70" s="24">
        <v>50000</v>
      </c>
      <c r="O70" s="47" t="s">
        <v>149</v>
      </c>
      <c r="P70" s="47">
        <f>HEX2DEC(RIGHT(Table1323214[[#This Row],[h1]],8))</f>
        <v>0</v>
      </c>
      <c r="Q70" s="47" t="s">
        <v>149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267</v>
      </c>
      <c r="G71" s="33">
        <v>0</v>
      </c>
      <c r="J71" s="24">
        <v>50000</v>
      </c>
      <c r="M71" s="24">
        <v>50000</v>
      </c>
      <c r="O71" s="47" t="s">
        <v>149</v>
      </c>
      <c r="P71" s="47">
        <f>HEX2DEC(RIGHT(Table1323214[[#This Row],[h1]],8))</f>
        <v>0</v>
      </c>
      <c r="Q71" s="47" t="s">
        <v>149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268</v>
      </c>
      <c r="G72" s="33">
        <v>0</v>
      </c>
      <c r="J72" s="24">
        <v>50000</v>
      </c>
      <c r="M72" s="24">
        <v>50000</v>
      </c>
      <c r="O72" s="47" t="s">
        <v>149</v>
      </c>
      <c r="P72" s="47">
        <f>HEX2DEC(RIGHT(Table1323214[[#This Row],[h1]],8))</f>
        <v>0</v>
      </c>
      <c r="Q72" s="47" t="s">
        <v>149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149</v>
      </c>
      <c r="P73" s="47">
        <f>HEX2DEC(RIGHT(Table1323214[[#This Row],[h1]],8))</f>
        <v>0</v>
      </c>
      <c r="Q73" s="47" t="s">
        <v>149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269</v>
      </c>
      <c r="G74" s="33">
        <v>0</v>
      </c>
      <c r="J74" s="24">
        <v>50000</v>
      </c>
      <c r="M74" s="24">
        <v>50000</v>
      </c>
      <c r="O74" s="47" t="s">
        <v>149</v>
      </c>
      <c r="P74" s="47">
        <f>HEX2DEC(RIGHT(Table1323214[[#This Row],[h1]],8))</f>
        <v>0</v>
      </c>
      <c r="Q74" s="47" t="s">
        <v>149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270</v>
      </c>
      <c r="G75" s="33">
        <v>0</v>
      </c>
      <c r="J75" s="24">
        <v>50000</v>
      </c>
      <c r="M75" s="24">
        <v>50000</v>
      </c>
      <c r="O75" s="47" t="s">
        <v>149</v>
      </c>
      <c r="P75" s="47">
        <f>HEX2DEC(RIGHT(Table1323214[[#This Row],[h1]],8))</f>
        <v>0</v>
      </c>
      <c r="Q75" s="47" t="s">
        <v>149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271</v>
      </c>
      <c r="G76" s="33">
        <v>0</v>
      </c>
      <c r="J76" s="24">
        <v>50000</v>
      </c>
      <c r="M76" s="24">
        <v>50000</v>
      </c>
      <c r="O76" s="47" t="s">
        <v>149</v>
      </c>
      <c r="P76" s="47">
        <f>HEX2DEC(RIGHT(Table1323214[[#This Row],[h1]],8))</f>
        <v>0</v>
      </c>
      <c r="Q76" s="47" t="s">
        <v>149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272</v>
      </c>
      <c r="G77" s="33">
        <v>0</v>
      </c>
      <c r="J77" s="24">
        <v>50000</v>
      </c>
      <c r="M77" s="24">
        <v>50000</v>
      </c>
      <c r="O77" s="47" t="s">
        <v>149</v>
      </c>
      <c r="P77" s="47">
        <f>HEX2DEC(RIGHT(Table1323214[[#This Row],[h1]],8))</f>
        <v>0</v>
      </c>
      <c r="Q77" s="47" t="s">
        <v>149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273</v>
      </c>
      <c r="G78" s="33">
        <v>0</v>
      </c>
      <c r="J78" s="24">
        <v>50000</v>
      </c>
      <c r="M78" s="24">
        <v>50000</v>
      </c>
      <c r="O78" s="47" t="s">
        <v>149</v>
      </c>
      <c r="P78" s="47">
        <f>HEX2DEC(RIGHT(Table1323214[[#This Row],[h1]],8))</f>
        <v>0</v>
      </c>
      <c r="Q78" s="47" t="s">
        <v>149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274</v>
      </c>
      <c r="G79" s="33">
        <v>0</v>
      </c>
      <c r="J79" s="24">
        <v>50000</v>
      </c>
      <c r="M79" s="24">
        <v>50000</v>
      </c>
      <c r="O79" s="47" t="s">
        <v>149</v>
      </c>
      <c r="P79" s="47">
        <f>HEX2DEC(RIGHT(Table1323214[[#This Row],[h1]],8))</f>
        <v>0</v>
      </c>
      <c r="Q79" s="47" t="s">
        <v>149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275</v>
      </c>
      <c r="G80" s="33">
        <v>0</v>
      </c>
      <c r="J80" s="24">
        <v>50000</v>
      </c>
      <c r="M80" s="24">
        <v>50000</v>
      </c>
      <c r="O80" s="47" t="s">
        <v>149</v>
      </c>
      <c r="P80" s="47">
        <f>HEX2DEC(RIGHT(Table1323214[[#This Row],[h1]],8))</f>
        <v>0</v>
      </c>
      <c r="Q80" s="47" t="s">
        <v>149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276</v>
      </c>
      <c r="G81" s="33">
        <v>0</v>
      </c>
      <c r="J81" s="24">
        <v>50000</v>
      </c>
      <c r="M81" s="24">
        <v>50000</v>
      </c>
      <c r="O81" s="47" t="s">
        <v>149</v>
      </c>
      <c r="P81" s="47">
        <f>HEX2DEC(RIGHT(Table1323214[[#This Row],[h1]],8))</f>
        <v>0</v>
      </c>
      <c r="Q81" s="47" t="s">
        <v>149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277</v>
      </c>
      <c r="G82" s="33">
        <v>0</v>
      </c>
      <c r="J82" s="24">
        <v>50000</v>
      </c>
      <c r="M82" s="24">
        <v>50000</v>
      </c>
      <c r="O82" s="47" t="s">
        <v>149</v>
      </c>
      <c r="P82" s="47">
        <f>HEX2DEC(RIGHT(Table1323214[[#This Row],[h1]],8))</f>
        <v>0</v>
      </c>
      <c r="Q82" s="47" t="s">
        <v>149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278</v>
      </c>
      <c r="G83" s="33">
        <v>0</v>
      </c>
      <c r="J83" s="24">
        <v>50000</v>
      </c>
      <c r="M83" s="24">
        <v>50000</v>
      </c>
      <c r="O83" s="47" t="s">
        <v>149</v>
      </c>
      <c r="P83" s="47">
        <f>HEX2DEC(RIGHT(Table1323214[[#This Row],[h1]],8))</f>
        <v>0</v>
      </c>
      <c r="Q83" s="47" t="s">
        <v>149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279</v>
      </c>
      <c r="G84" s="33">
        <v>0</v>
      </c>
      <c r="J84" s="24">
        <v>50000</v>
      </c>
      <c r="M84" s="24">
        <v>50000</v>
      </c>
      <c r="O84" s="47" t="s">
        <v>149</v>
      </c>
      <c r="P84" s="47">
        <f>HEX2DEC(RIGHT(Table1323214[[#This Row],[h1]],8))</f>
        <v>0</v>
      </c>
      <c r="Q84" s="47" t="s">
        <v>149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280</v>
      </c>
      <c r="G85" s="33">
        <v>0</v>
      </c>
      <c r="J85" s="24">
        <v>50000</v>
      </c>
      <c r="M85" s="24">
        <v>50000</v>
      </c>
      <c r="O85" s="47" t="s">
        <v>149</v>
      </c>
      <c r="P85" s="47">
        <f>HEX2DEC(RIGHT(Table1323214[[#This Row],[h1]],8))</f>
        <v>0</v>
      </c>
      <c r="Q85" s="47" t="s">
        <v>149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281</v>
      </c>
      <c r="G86" s="33">
        <v>0</v>
      </c>
      <c r="J86" s="24">
        <v>50000</v>
      </c>
      <c r="M86" s="24">
        <v>50000</v>
      </c>
      <c r="O86" s="47" t="s">
        <v>149</v>
      </c>
      <c r="P86" s="47">
        <f>HEX2DEC(RIGHT(Table1323214[[#This Row],[h1]],8))</f>
        <v>0</v>
      </c>
      <c r="Q86" s="47" t="s">
        <v>149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282</v>
      </c>
      <c r="G87" s="33">
        <v>0</v>
      </c>
      <c r="J87" s="24">
        <v>50000</v>
      </c>
      <c r="M87" s="24">
        <v>50000</v>
      </c>
      <c r="O87" s="47" t="s">
        <v>149</v>
      </c>
      <c r="P87" s="47">
        <f>HEX2DEC(RIGHT(Table1323214[[#This Row],[h1]],8))</f>
        <v>0</v>
      </c>
      <c r="Q87" s="47" t="s">
        <v>149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283</v>
      </c>
      <c r="G88" s="33">
        <v>0</v>
      </c>
      <c r="J88" s="24">
        <v>50000</v>
      </c>
      <c r="M88" s="24">
        <v>50000</v>
      </c>
      <c r="O88" s="47" t="s">
        <v>149</v>
      </c>
      <c r="P88" s="47">
        <f>HEX2DEC(RIGHT(Table1323214[[#This Row],[h1]],8))</f>
        <v>0</v>
      </c>
      <c r="Q88" s="47" t="s">
        <v>149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284</v>
      </c>
      <c r="G89" s="33">
        <v>0</v>
      </c>
      <c r="J89" s="24">
        <v>50000</v>
      </c>
      <c r="M89" s="24">
        <v>50000</v>
      </c>
      <c r="O89" s="47" t="s">
        <v>149</v>
      </c>
      <c r="P89" s="47">
        <f>HEX2DEC(RIGHT(Table1323214[[#This Row],[h1]],8))</f>
        <v>0</v>
      </c>
      <c r="Q89" s="47" t="s">
        <v>149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285</v>
      </c>
      <c r="G90" s="33">
        <v>0</v>
      </c>
      <c r="J90" s="24">
        <v>50000</v>
      </c>
      <c r="M90" s="24">
        <v>50000</v>
      </c>
      <c r="O90" s="47" t="s">
        <v>149</v>
      </c>
      <c r="P90" s="47">
        <f>HEX2DEC(RIGHT(Table1323214[[#This Row],[h1]],8))</f>
        <v>0</v>
      </c>
      <c r="Q90" s="47" t="s">
        <v>149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286</v>
      </c>
      <c r="G91" s="33">
        <v>0</v>
      </c>
      <c r="J91" s="24">
        <v>50000</v>
      </c>
      <c r="M91" s="24">
        <v>50000</v>
      </c>
      <c r="O91" s="47" t="s">
        <v>149</v>
      </c>
      <c r="P91" s="47">
        <f>HEX2DEC(RIGHT(Table1323214[[#This Row],[h1]],8))</f>
        <v>0</v>
      </c>
      <c r="Q91" s="47" t="s">
        <v>149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287</v>
      </c>
      <c r="G92" s="33">
        <v>0</v>
      </c>
      <c r="J92" s="24">
        <v>50000</v>
      </c>
      <c r="M92" s="24">
        <v>50000</v>
      </c>
      <c r="O92" s="47" t="s">
        <v>149</v>
      </c>
      <c r="P92" s="47">
        <f>HEX2DEC(RIGHT(Table1323214[[#This Row],[h1]],8))</f>
        <v>0</v>
      </c>
      <c r="Q92" s="47" t="s">
        <v>149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288</v>
      </c>
      <c r="G93" s="33">
        <v>0</v>
      </c>
      <c r="J93" s="24">
        <v>50000</v>
      </c>
      <c r="M93" s="24">
        <v>50000</v>
      </c>
      <c r="O93" s="47" t="s">
        <v>149</v>
      </c>
      <c r="P93" s="47">
        <f>HEX2DEC(RIGHT(Table1323214[[#This Row],[h1]],8))</f>
        <v>0</v>
      </c>
      <c r="Q93" s="47" t="s">
        <v>149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289</v>
      </c>
      <c r="G94" s="33">
        <v>0</v>
      </c>
      <c r="J94" s="24">
        <v>50000</v>
      </c>
      <c r="M94" s="24">
        <v>50000</v>
      </c>
      <c r="O94" s="47" t="s">
        <v>149</v>
      </c>
      <c r="P94" s="47">
        <f>HEX2DEC(RIGHT(Table1323214[[#This Row],[h1]],8))</f>
        <v>0</v>
      </c>
      <c r="Q94" s="47" t="s">
        <v>149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290</v>
      </c>
      <c r="G95" s="33">
        <v>0</v>
      </c>
      <c r="J95" s="24">
        <v>50000</v>
      </c>
      <c r="M95" s="24">
        <v>50000</v>
      </c>
      <c r="O95" s="47" t="s">
        <v>149</v>
      </c>
      <c r="P95" s="47">
        <f>HEX2DEC(RIGHT(Table1323214[[#This Row],[h1]],8))</f>
        <v>0</v>
      </c>
      <c r="Q95" s="47" t="s">
        <v>149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291</v>
      </c>
      <c r="G96" s="33">
        <v>0</v>
      </c>
      <c r="J96" s="24">
        <v>50000</v>
      </c>
      <c r="M96" s="24">
        <v>50000</v>
      </c>
      <c r="O96" s="47" t="s">
        <v>149</v>
      </c>
      <c r="P96" s="47">
        <f>HEX2DEC(RIGHT(Table1323214[[#This Row],[h1]],8))</f>
        <v>0</v>
      </c>
      <c r="Q96" s="47" t="s">
        <v>149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292</v>
      </c>
      <c r="G97" s="33">
        <v>0</v>
      </c>
      <c r="J97" s="24">
        <v>50000</v>
      </c>
      <c r="M97" s="24">
        <v>50000</v>
      </c>
      <c r="O97" s="47" t="s">
        <v>149</v>
      </c>
      <c r="P97" s="47">
        <f>HEX2DEC(RIGHT(Table1323214[[#This Row],[h1]],8))</f>
        <v>0</v>
      </c>
      <c r="Q97" s="47" t="s">
        <v>149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293</v>
      </c>
      <c r="G98" s="33">
        <v>0</v>
      </c>
      <c r="J98" s="24">
        <v>50000</v>
      </c>
      <c r="M98" s="24">
        <v>50000</v>
      </c>
      <c r="O98" s="47" t="s">
        <v>149</v>
      </c>
      <c r="P98" s="47">
        <f>HEX2DEC(RIGHT(Table1323214[[#This Row],[h1]],8))</f>
        <v>0</v>
      </c>
      <c r="Q98" s="47" t="s">
        <v>149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294</v>
      </c>
      <c r="G99" s="33">
        <v>0</v>
      </c>
      <c r="J99" s="24">
        <v>50000</v>
      </c>
      <c r="M99" s="24">
        <v>50000</v>
      </c>
      <c r="O99" s="47" t="s">
        <v>149</v>
      </c>
      <c r="P99" s="47">
        <f>HEX2DEC(RIGHT(Table1323214[[#This Row],[h1]],8))</f>
        <v>0</v>
      </c>
      <c r="Q99" s="47" t="s">
        <v>149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295</v>
      </c>
      <c r="G100" s="33">
        <v>0</v>
      </c>
      <c r="J100" s="24">
        <v>50000</v>
      </c>
      <c r="M100" s="24">
        <v>50000</v>
      </c>
      <c r="O100" s="47" t="s">
        <v>149</v>
      </c>
      <c r="P100" s="47">
        <f>HEX2DEC(RIGHT(Table1323214[[#This Row],[h1]],8))</f>
        <v>0</v>
      </c>
      <c r="Q100" s="47" t="s">
        <v>149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296</v>
      </c>
      <c r="G101" s="33">
        <v>0</v>
      </c>
      <c r="J101" s="24">
        <v>50000</v>
      </c>
      <c r="M101" s="24">
        <v>50000</v>
      </c>
      <c r="O101" s="47" t="s">
        <v>149</v>
      </c>
      <c r="P101" s="47">
        <f>HEX2DEC(RIGHT(Table1323214[[#This Row],[h1]],8))</f>
        <v>0</v>
      </c>
      <c r="Q101" s="47" t="s">
        <v>149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297</v>
      </c>
      <c r="G102" s="33">
        <v>0</v>
      </c>
      <c r="J102" s="24">
        <v>50000</v>
      </c>
      <c r="M102" s="24">
        <v>50000</v>
      </c>
      <c r="O102" s="47" t="s">
        <v>149</v>
      </c>
      <c r="P102" s="47">
        <f>HEX2DEC(RIGHT(Table1323214[[#This Row],[h1]],8))</f>
        <v>0</v>
      </c>
      <c r="Q102" s="47" t="s">
        <v>149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298</v>
      </c>
      <c r="G103" s="33">
        <v>0</v>
      </c>
      <c r="J103" s="24">
        <v>50000</v>
      </c>
      <c r="M103" s="24">
        <v>50000</v>
      </c>
      <c r="O103" s="47" t="s">
        <v>149</v>
      </c>
      <c r="P103" s="47">
        <f>HEX2DEC(RIGHT(Table1323214[[#This Row],[h1]],8))</f>
        <v>0</v>
      </c>
      <c r="Q103" s="47" t="s">
        <v>149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299</v>
      </c>
      <c r="G104" s="33">
        <v>0</v>
      </c>
      <c r="J104" s="24">
        <v>50000</v>
      </c>
      <c r="M104" s="24">
        <v>50000</v>
      </c>
      <c r="O104" s="47" t="s">
        <v>149</v>
      </c>
      <c r="P104" s="47">
        <f>HEX2DEC(RIGHT(Table1323214[[#This Row],[h1]],8))</f>
        <v>0</v>
      </c>
      <c r="Q104" s="47" t="s">
        <v>149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300</v>
      </c>
      <c r="G105" s="33">
        <v>0</v>
      </c>
      <c r="J105" s="24">
        <v>50000</v>
      </c>
      <c r="M105" s="24">
        <v>50000</v>
      </c>
      <c r="O105" s="47" t="s">
        <v>149</v>
      </c>
      <c r="P105" s="47">
        <f>HEX2DEC(RIGHT(Table1323214[[#This Row],[h1]],8))</f>
        <v>0</v>
      </c>
      <c r="Q105" s="47" t="s">
        <v>149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149</v>
      </c>
      <c r="P106" s="47">
        <f>HEX2DEC(RIGHT(Table1323214[[#This Row],[h1]],8))</f>
        <v>0</v>
      </c>
      <c r="Q106" s="47" t="s">
        <v>149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301</v>
      </c>
      <c r="G107" s="33">
        <v>124999</v>
      </c>
      <c r="J107" s="24">
        <v>50000</v>
      </c>
      <c r="M107" s="24">
        <v>50000</v>
      </c>
      <c r="O107" s="47" t="s">
        <v>149</v>
      </c>
      <c r="P107" s="47">
        <f>HEX2DEC(RIGHT(Table1323214[[#This Row],[h1]],8))</f>
        <v>0</v>
      </c>
      <c r="Q107" s="47" t="s">
        <v>149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302</v>
      </c>
      <c r="G108" s="33">
        <v>124999</v>
      </c>
      <c r="J108" s="24">
        <v>50000</v>
      </c>
      <c r="M108" s="24">
        <v>50000</v>
      </c>
      <c r="O108" s="47" t="s">
        <v>149</v>
      </c>
      <c r="P108" s="47">
        <f>HEX2DEC(RIGHT(Table1323214[[#This Row],[h1]],8))</f>
        <v>0</v>
      </c>
      <c r="Q108" s="47" t="s">
        <v>149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303</v>
      </c>
      <c r="G109" s="33">
        <v>124999</v>
      </c>
      <c r="J109" s="24">
        <v>50000</v>
      </c>
      <c r="M109" s="24">
        <v>50000</v>
      </c>
      <c r="O109" s="47" t="s">
        <v>149</v>
      </c>
      <c r="P109" s="47">
        <f>HEX2DEC(RIGHT(Table1323214[[#This Row],[h1]],8))</f>
        <v>0</v>
      </c>
      <c r="Q109" s="47" t="s">
        <v>149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304</v>
      </c>
      <c r="G110" s="33">
        <v>124999</v>
      </c>
      <c r="J110" s="24">
        <v>50000</v>
      </c>
      <c r="M110" s="24">
        <v>50000</v>
      </c>
      <c r="O110" s="47" t="s">
        <v>149</v>
      </c>
      <c r="P110" s="47">
        <f>HEX2DEC(RIGHT(Table1323214[[#This Row],[h1]],8))</f>
        <v>0</v>
      </c>
      <c r="Q110" s="47" t="s">
        <v>149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305</v>
      </c>
      <c r="G111" s="33">
        <v>124999</v>
      </c>
      <c r="J111" s="24">
        <v>50000</v>
      </c>
      <c r="M111" s="24">
        <v>50000</v>
      </c>
      <c r="O111" s="47" t="s">
        <v>149</v>
      </c>
      <c r="P111" s="47">
        <f>HEX2DEC(RIGHT(Table1323214[[#This Row],[h1]],8))</f>
        <v>0</v>
      </c>
      <c r="Q111" s="47" t="s">
        <v>149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306</v>
      </c>
      <c r="G112" s="33">
        <v>124999</v>
      </c>
      <c r="J112" s="24">
        <v>50000</v>
      </c>
      <c r="M112" s="24">
        <v>50000</v>
      </c>
      <c r="O112" s="47" t="s">
        <v>149</v>
      </c>
      <c r="P112" s="47">
        <f>HEX2DEC(RIGHT(Table1323214[[#This Row],[h1]],8))</f>
        <v>0</v>
      </c>
      <c r="Q112" s="47" t="s">
        <v>149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307</v>
      </c>
      <c r="G113" s="33">
        <v>124999</v>
      </c>
      <c r="J113" s="24">
        <v>50000</v>
      </c>
      <c r="M113" s="24">
        <v>50000</v>
      </c>
      <c r="O113" s="47" t="s">
        <v>149</v>
      </c>
      <c r="P113" s="47">
        <f>HEX2DEC(RIGHT(Table1323214[[#This Row],[h1]],8))</f>
        <v>0</v>
      </c>
      <c r="Q113" s="47" t="s">
        <v>149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308</v>
      </c>
      <c r="G114" s="33">
        <v>124999</v>
      </c>
      <c r="J114" s="24">
        <v>50000</v>
      </c>
      <c r="M114" s="24">
        <v>50000</v>
      </c>
      <c r="O114" s="47" t="s">
        <v>149</v>
      </c>
      <c r="P114" s="47">
        <f>HEX2DEC(RIGHT(Table1323214[[#This Row],[h1]],8))</f>
        <v>0</v>
      </c>
      <c r="Q114" s="47" t="s">
        <v>149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309</v>
      </c>
      <c r="G115" s="33">
        <v>124999</v>
      </c>
      <c r="J115" s="24">
        <v>50000</v>
      </c>
      <c r="M115" s="24">
        <v>50000</v>
      </c>
      <c r="O115" s="47" t="s">
        <v>149</v>
      </c>
      <c r="P115" s="47">
        <f>HEX2DEC(RIGHT(Table1323214[[#This Row],[h1]],8))</f>
        <v>0</v>
      </c>
      <c r="Q115" s="47" t="s">
        <v>149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310</v>
      </c>
      <c r="G116" s="33">
        <v>124999</v>
      </c>
      <c r="J116" s="24">
        <v>50000</v>
      </c>
      <c r="M116" s="24">
        <v>50000</v>
      </c>
      <c r="O116" s="47" t="s">
        <v>149</v>
      </c>
      <c r="P116" s="47">
        <f>HEX2DEC(RIGHT(Table1323214[[#This Row],[h1]],8))</f>
        <v>0</v>
      </c>
      <c r="Q116" s="47" t="s">
        <v>149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311</v>
      </c>
      <c r="G117" s="33">
        <v>124999</v>
      </c>
      <c r="J117" s="24">
        <v>50000</v>
      </c>
      <c r="M117" s="24">
        <v>50000</v>
      </c>
      <c r="O117" s="47" t="s">
        <v>149</v>
      </c>
      <c r="P117" s="47">
        <f>HEX2DEC(RIGHT(Table1323214[[#This Row],[h1]],8))</f>
        <v>0</v>
      </c>
      <c r="Q117" s="47" t="s">
        <v>149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312</v>
      </c>
      <c r="G118" s="33">
        <v>124999</v>
      </c>
      <c r="J118" s="24">
        <v>50000</v>
      </c>
      <c r="M118" s="24">
        <v>50000</v>
      </c>
      <c r="O118" s="47" t="s">
        <v>149</v>
      </c>
      <c r="P118" s="47">
        <f>HEX2DEC(RIGHT(Table1323214[[#This Row],[h1]],8))</f>
        <v>0</v>
      </c>
      <c r="Q118" s="47" t="s">
        <v>149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313</v>
      </c>
      <c r="G119" s="33">
        <v>124999</v>
      </c>
      <c r="J119" s="24">
        <v>50000</v>
      </c>
      <c r="M119" s="24">
        <v>50000</v>
      </c>
      <c r="O119" s="47" t="s">
        <v>149</v>
      </c>
      <c r="P119" s="47">
        <f>HEX2DEC(RIGHT(Table1323214[[#This Row],[h1]],8))</f>
        <v>0</v>
      </c>
      <c r="Q119" s="47" t="s">
        <v>149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314</v>
      </c>
      <c r="G120" s="33">
        <v>124999</v>
      </c>
      <c r="J120" s="24">
        <v>50000</v>
      </c>
      <c r="M120" s="24">
        <v>50000</v>
      </c>
      <c r="O120" s="47" t="s">
        <v>149</v>
      </c>
      <c r="P120" s="47">
        <f>HEX2DEC(RIGHT(Table1323214[[#This Row],[h1]],8))</f>
        <v>0</v>
      </c>
      <c r="Q120" s="47" t="s">
        <v>149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315</v>
      </c>
      <c r="G121" s="33">
        <v>124999</v>
      </c>
      <c r="J121" s="24">
        <v>50000</v>
      </c>
      <c r="M121" s="24">
        <v>50000</v>
      </c>
      <c r="O121" s="47" t="s">
        <v>149</v>
      </c>
      <c r="P121" s="47">
        <f>HEX2DEC(RIGHT(Table1323214[[#This Row],[h1]],8))</f>
        <v>0</v>
      </c>
      <c r="Q121" s="47" t="s">
        <v>149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316</v>
      </c>
      <c r="G122" s="33">
        <v>124999</v>
      </c>
      <c r="J122" s="24">
        <v>50000</v>
      </c>
      <c r="M122" s="24">
        <v>50000</v>
      </c>
      <c r="O122" s="47" t="s">
        <v>149</v>
      </c>
      <c r="P122" s="47">
        <f>HEX2DEC(RIGHT(Table1323214[[#This Row],[h1]],8))</f>
        <v>0</v>
      </c>
      <c r="Q122" s="47" t="s">
        <v>149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317</v>
      </c>
      <c r="G123" s="33">
        <v>124999</v>
      </c>
      <c r="J123" s="24">
        <v>50000</v>
      </c>
      <c r="M123" s="24">
        <v>50000</v>
      </c>
      <c r="O123" s="47" t="s">
        <v>149</v>
      </c>
      <c r="P123" s="47">
        <f>HEX2DEC(RIGHT(Table1323214[[#This Row],[h1]],8))</f>
        <v>0</v>
      </c>
      <c r="Q123" s="47" t="s">
        <v>149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318</v>
      </c>
      <c r="G124" s="33">
        <v>124999</v>
      </c>
      <c r="J124" s="24">
        <v>50000</v>
      </c>
      <c r="M124" s="24">
        <v>50000</v>
      </c>
      <c r="O124" s="47" t="s">
        <v>149</v>
      </c>
      <c r="P124" s="47">
        <f>HEX2DEC(RIGHT(Table1323214[[#This Row],[h1]],8))</f>
        <v>0</v>
      </c>
      <c r="Q124" s="47" t="s">
        <v>149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319</v>
      </c>
      <c r="G125" s="33">
        <v>124999</v>
      </c>
      <c r="J125" s="24">
        <v>50000</v>
      </c>
      <c r="M125" s="24">
        <v>50000</v>
      </c>
      <c r="O125" s="47" t="s">
        <v>149</v>
      </c>
      <c r="P125" s="47">
        <f>HEX2DEC(RIGHT(Table1323214[[#This Row],[h1]],8))</f>
        <v>0</v>
      </c>
      <c r="Q125" s="47" t="s">
        <v>149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320</v>
      </c>
      <c r="G126" s="33">
        <v>124999</v>
      </c>
      <c r="J126" s="24">
        <v>50000</v>
      </c>
      <c r="M126" s="24">
        <v>50000</v>
      </c>
      <c r="O126" s="47" t="s">
        <v>149</v>
      </c>
      <c r="P126" s="47">
        <f>HEX2DEC(RIGHT(Table1323214[[#This Row],[h1]],8))</f>
        <v>0</v>
      </c>
      <c r="Q126" s="47" t="s">
        <v>149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321</v>
      </c>
      <c r="G127" s="33">
        <v>124999</v>
      </c>
      <c r="J127" s="24">
        <v>50000</v>
      </c>
      <c r="M127" s="24">
        <v>50000</v>
      </c>
      <c r="O127" s="47" t="s">
        <v>149</v>
      </c>
      <c r="P127" s="47">
        <f>HEX2DEC(RIGHT(Table1323214[[#This Row],[h1]],8))</f>
        <v>0</v>
      </c>
      <c r="Q127" s="47" t="s">
        <v>149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322</v>
      </c>
      <c r="G128" s="33">
        <v>124999</v>
      </c>
      <c r="J128" s="24">
        <v>50000</v>
      </c>
      <c r="M128" s="24">
        <v>50000</v>
      </c>
      <c r="O128" s="47" t="s">
        <v>149</v>
      </c>
      <c r="P128" s="47">
        <f>HEX2DEC(RIGHT(Table1323214[[#This Row],[h1]],8))</f>
        <v>0</v>
      </c>
      <c r="Q128" s="47" t="s">
        <v>149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323</v>
      </c>
      <c r="G129" s="33">
        <v>124999</v>
      </c>
      <c r="J129" s="24">
        <v>50000</v>
      </c>
      <c r="M129" s="24">
        <v>50000</v>
      </c>
      <c r="O129" s="47" t="s">
        <v>149</v>
      </c>
      <c r="P129" s="47">
        <f>HEX2DEC(RIGHT(Table1323214[[#This Row],[h1]],8))</f>
        <v>0</v>
      </c>
      <c r="Q129" s="47" t="s">
        <v>149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324</v>
      </c>
      <c r="G130" s="33">
        <v>124999</v>
      </c>
      <c r="J130" s="24">
        <v>50000</v>
      </c>
      <c r="M130" s="24">
        <v>50000</v>
      </c>
      <c r="O130" s="47" t="s">
        <v>149</v>
      </c>
      <c r="P130" s="47">
        <f>HEX2DEC(RIGHT(Table1323214[[#This Row],[h1]],8))</f>
        <v>0</v>
      </c>
      <c r="Q130" s="47" t="s">
        <v>149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325</v>
      </c>
      <c r="G131" s="33">
        <v>124999</v>
      </c>
      <c r="J131" s="24">
        <v>50000</v>
      </c>
      <c r="M131" s="24">
        <v>50000</v>
      </c>
      <c r="O131" s="47" t="s">
        <v>149</v>
      </c>
      <c r="P131" s="47">
        <f>HEX2DEC(RIGHT(Table1323214[[#This Row],[h1]],8))</f>
        <v>0</v>
      </c>
      <c r="Q131" s="47" t="s">
        <v>149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326</v>
      </c>
      <c r="G132" s="33">
        <v>124999</v>
      </c>
      <c r="J132" s="24">
        <v>50000</v>
      </c>
      <c r="M132" s="24">
        <v>50000</v>
      </c>
      <c r="O132" s="47" t="s">
        <v>149</v>
      </c>
      <c r="P132" s="47">
        <f>HEX2DEC(RIGHT(Table1323214[[#This Row],[h1]],8))</f>
        <v>0</v>
      </c>
      <c r="Q132" s="47" t="s">
        <v>149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327</v>
      </c>
      <c r="G133" s="33">
        <v>124999</v>
      </c>
      <c r="J133" s="24">
        <v>50000</v>
      </c>
      <c r="M133" s="24">
        <v>50000</v>
      </c>
      <c r="O133" s="47" t="s">
        <v>149</v>
      </c>
      <c r="P133" s="47">
        <f>HEX2DEC(RIGHT(Table1323214[[#This Row],[h1]],8))</f>
        <v>0</v>
      </c>
      <c r="Q133" s="47" t="s">
        <v>149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328</v>
      </c>
      <c r="F134" s="22"/>
      <c r="G134" s="33">
        <v>124999</v>
      </c>
      <c r="J134" s="24">
        <v>50000</v>
      </c>
      <c r="M134" s="24">
        <v>50000</v>
      </c>
      <c r="O134" s="47" t="s">
        <v>149</v>
      </c>
      <c r="P134" s="47">
        <f>HEX2DEC(RIGHT(Table1323214[[#This Row],[h1]],8))</f>
        <v>0</v>
      </c>
      <c r="Q134" s="47" t="s">
        <v>149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329</v>
      </c>
      <c r="F135" s="22"/>
      <c r="G135" s="33">
        <v>124999</v>
      </c>
      <c r="J135" s="24">
        <v>50000</v>
      </c>
      <c r="M135" s="24">
        <v>50000</v>
      </c>
      <c r="O135" s="47" t="s">
        <v>149</v>
      </c>
      <c r="P135" s="47">
        <f>HEX2DEC(RIGHT(Table1323214[[#This Row],[h1]],8))</f>
        <v>0</v>
      </c>
      <c r="Q135" s="47" t="s">
        <v>149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330</v>
      </c>
      <c r="F136" s="22"/>
      <c r="G136" s="33">
        <v>124999</v>
      </c>
      <c r="J136" s="24">
        <v>50000</v>
      </c>
      <c r="M136" s="24">
        <v>50000</v>
      </c>
      <c r="O136" s="47" t="s">
        <v>149</v>
      </c>
      <c r="P136" s="47">
        <f>HEX2DEC(RIGHT(Table1323214[[#This Row],[h1]],8))</f>
        <v>0</v>
      </c>
      <c r="Q136" s="47" t="s">
        <v>149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331</v>
      </c>
      <c r="F137" s="22"/>
      <c r="G137" s="33">
        <v>124999</v>
      </c>
      <c r="J137" s="24">
        <v>50000</v>
      </c>
      <c r="M137" s="24">
        <v>50000</v>
      </c>
      <c r="O137" s="47" t="s">
        <v>149</v>
      </c>
      <c r="P137" s="47">
        <f>HEX2DEC(RIGHT(Table1323214[[#This Row],[h1]],8))</f>
        <v>0</v>
      </c>
      <c r="Q137" s="47" t="s">
        <v>149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332</v>
      </c>
      <c r="F138" s="22"/>
      <c r="G138" s="33">
        <v>124999</v>
      </c>
      <c r="J138" s="24">
        <v>50000</v>
      </c>
      <c r="M138" s="24">
        <v>50000</v>
      </c>
      <c r="O138" s="47" t="s">
        <v>149</v>
      </c>
      <c r="P138" s="47">
        <f>HEX2DEC(RIGHT(Table1323214[[#This Row],[h1]],8))</f>
        <v>0</v>
      </c>
      <c r="Q138" s="47" t="s">
        <v>149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149</v>
      </c>
      <c r="P139" s="47">
        <f>HEX2DEC(RIGHT(Table1323214[[#This Row],[h1]],8))</f>
        <v>0</v>
      </c>
      <c r="Q139" s="47" t="s">
        <v>149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333</v>
      </c>
      <c r="F140" s="22"/>
      <c r="G140" s="36">
        <v>1</v>
      </c>
      <c r="J140" s="24">
        <v>50000</v>
      </c>
      <c r="M140" s="24">
        <v>50000</v>
      </c>
      <c r="O140" s="47" t="s">
        <v>149</v>
      </c>
      <c r="P140" s="47">
        <f>HEX2DEC(RIGHT(Table1323214[[#This Row],[h1]],8))</f>
        <v>0</v>
      </c>
      <c r="Q140" s="47" t="s">
        <v>149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333</v>
      </c>
      <c r="F141" s="22"/>
      <c r="G141" s="36">
        <v>0</v>
      </c>
      <c r="J141" s="24">
        <v>50000</v>
      </c>
      <c r="M141" s="24">
        <v>50000</v>
      </c>
      <c r="O141" s="47" t="s">
        <v>149</v>
      </c>
      <c r="P141" s="47">
        <f>HEX2DEC(RIGHT(Table1323214[[#This Row],[h1]],8))</f>
        <v>0</v>
      </c>
      <c r="Q141" s="47" t="s">
        <v>149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149</v>
      </c>
      <c r="P142" s="47">
        <f>HEX2DEC(RIGHT(Table1323214[[#This Row],[h1]],8))</f>
        <v>0</v>
      </c>
      <c r="Q142" s="47" t="s">
        <v>149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334</v>
      </c>
      <c r="F143" s="22"/>
      <c r="G143" s="32">
        <v>0</v>
      </c>
      <c r="J143" s="24">
        <v>50000</v>
      </c>
      <c r="M143" s="24">
        <v>50000</v>
      </c>
      <c r="O143" s="47" t="s">
        <v>149</v>
      </c>
      <c r="P143" s="47">
        <f>HEX2DEC(RIGHT(Table1323214[[#This Row],[h1]],8))</f>
        <v>0</v>
      </c>
      <c r="Q143" s="47" t="s">
        <v>149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335</v>
      </c>
      <c r="F144" s="22"/>
      <c r="G144" s="32">
        <v>0</v>
      </c>
      <c r="J144" s="24">
        <v>50000</v>
      </c>
      <c r="M144" s="24">
        <v>50000</v>
      </c>
      <c r="O144" s="47" t="s">
        <v>149</v>
      </c>
      <c r="P144" s="47">
        <f>HEX2DEC(RIGHT(Table1323214[[#This Row],[h1]],8))</f>
        <v>0</v>
      </c>
      <c r="Q144" s="47" t="s">
        <v>149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336</v>
      </c>
      <c r="F145" s="22"/>
      <c r="G145" s="32">
        <v>0</v>
      </c>
      <c r="J145" s="24">
        <v>50000</v>
      </c>
      <c r="M145" s="24">
        <v>50000</v>
      </c>
      <c r="O145" s="47" t="s">
        <v>149</v>
      </c>
      <c r="P145" s="47">
        <f>HEX2DEC(RIGHT(Table1323214[[#This Row],[h1]],8))</f>
        <v>0</v>
      </c>
      <c r="Q145" s="47" t="s">
        <v>149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149</v>
      </c>
      <c r="P146" s="47">
        <f>HEX2DEC(RIGHT(Table1323214[[#This Row],[h1]],8))</f>
        <v>0</v>
      </c>
      <c r="Q146" s="47" t="s">
        <v>149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337</v>
      </c>
      <c r="F147" s="22"/>
      <c r="G147" s="32">
        <v>1</v>
      </c>
      <c r="J147" s="24">
        <v>50000</v>
      </c>
      <c r="M147" s="24">
        <v>50000</v>
      </c>
      <c r="O147" s="47" t="s">
        <v>149</v>
      </c>
      <c r="P147" s="47">
        <f>HEX2DEC(RIGHT(Table1323214[[#This Row],[h1]],8))</f>
        <v>0</v>
      </c>
      <c r="Q147" s="47" t="s">
        <v>149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338</v>
      </c>
      <c r="F148" s="22"/>
      <c r="G148" s="32">
        <v>1</v>
      </c>
      <c r="J148" s="24">
        <v>50000</v>
      </c>
      <c r="M148" s="24">
        <v>50000</v>
      </c>
      <c r="O148" s="47" t="s">
        <v>149</v>
      </c>
      <c r="P148" s="47">
        <f>HEX2DEC(RIGHT(Table1323214[[#This Row],[h1]],8))</f>
        <v>0</v>
      </c>
      <c r="Q148" s="47" t="s">
        <v>149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339</v>
      </c>
      <c r="F149" s="22"/>
      <c r="G149" s="32">
        <v>1</v>
      </c>
      <c r="J149" s="24">
        <v>50000</v>
      </c>
      <c r="M149" s="24">
        <v>50000</v>
      </c>
      <c r="O149" s="47" t="s">
        <v>149</v>
      </c>
      <c r="P149" s="47">
        <f>HEX2DEC(RIGHT(Table1323214[[#This Row],[h1]],8))</f>
        <v>0</v>
      </c>
      <c r="Q149" s="47" t="s">
        <v>149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701</v>
      </c>
      <c r="F150" s="22"/>
      <c r="G150" s="32">
        <v>1</v>
      </c>
      <c r="J150" s="24">
        <v>50000</v>
      </c>
      <c r="M150" s="24">
        <v>50000</v>
      </c>
      <c r="O150" s="47" t="s">
        <v>149</v>
      </c>
      <c r="P150" s="47">
        <f>HEX2DEC(RIGHT(Table1323214[[#This Row],[h1]],8))</f>
        <v>0</v>
      </c>
      <c r="Q150" s="47" t="s">
        <v>149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149</v>
      </c>
      <c r="P151" s="47">
        <f>HEX2DEC(RIGHT(Table1323214[[#This Row],[h1]],8))</f>
        <v>0</v>
      </c>
      <c r="Q151" s="47" t="s">
        <v>149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344</v>
      </c>
      <c r="E152" s="56">
        <v>1</v>
      </c>
      <c r="F152" s="57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149</v>
      </c>
      <c r="P152" s="47">
        <f>HEX2DEC(RIGHT(Table1323214[[#This Row],[h1]],8))</f>
        <v>0</v>
      </c>
      <c r="Q152" s="47" t="s">
        <v>149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345</v>
      </c>
      <c r="E153" s="56">
        <v>10</v>
      </c>
      <c r="F153" s="57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149</v>
      </c>
      <c r="P153" s="47">
        <f>HEX2DEC(RIGHT(Table1323214[[#This Row],[h1]],8))</f>
        <v>0</v>
      </c>
      <c r="Q153" s="47" t="s">
        <v>149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346</v>
      </c>
      <c r="E154" s="56">
        <v>100</v>
      </c>
      <c r="F154" s="57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149</v>
      </c>
      <c r="P154" s="47">
        <f>HEX2DEC(RIGHT(Table1323214[[#This Row],[h1]],8))</f>
        <v>0</v>
      </c>
      <c r="Q154" s="47" t="s">
        <v>149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347</v>
      </c>
      <c r="E155" s="56">
        <v>1000</v>
      </c>
      <c r="F155" s="57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149</v>
      </c>
      <c r="P155" s="47">
        <f>HEX2DEC(RIGHT(Table1323214[[#This Row],[h1]],8))</f>
        <v>0</v>
      </c>
      <c r="Q155" s="47" t="s">
        <v>149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348</v>
      </c>
      <c r="E156" s="56">
        <v>10000</v>
      </c>
      <c r="F156" s="57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149</v>
      </c>
      <c r="P156" s="47">
        <f>HEX2DEC(RIGHT(Table1323214[[#This Row],[h1]],8))</f>
        <v>0</v>
      </c>
      <c r="Q156" s="47" t="s">
        <v>149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349</v>
      </c>
      <c r="E157" s="56">
        <v>100000</v>
      </c>
      <c r="F157" s="57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149</v>
      </c>
      <c r="P157" s="47">
        <f>HEX2DEC(RIGHT(Table1323214[[#This Row],[h1]],8))</f>
        <v>0</v>
      </c>
      <c r="Q157" s="47" t="s">
        <v>149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350</v>
      </c>
      <c r="E158" s="56">
        <v>200000</v>
      </c>
      <c r="F158" s="57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149</v>
      </c>
      <c r="P158" s="47">
        <f>HEX2DEC(RIGHT(Table1323214[[#This Row],[h1]],8))</f>
        <v>0</v>
      </c>
      <c r="Q158" s="47" t="s">
        <v>149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351</v>
      </c>
      <c r="E159" s="56">
        <v>300000</v>
      </c>
      <c r="F159" s="57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149</v>
      </c>
      <c r="P159" s="47">
        <f>HEX2DEC(RIGHT(Table1323214[[#This Row],[h1]],8))</f>
        <v>0</v>
      </c>
      <c r="Q159" s="47" t="s">
        <v>149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352</v>
      </c>
      <c r="E160" s="56">
        <v>400000</v>
      </c>
      <c r="F160" s="57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149</v>
      </c>
      <c r="P160" s="47">
        <f>HEX2DEC(RIGHT(Table1323214[[#This Row],[h1]],8))</f>
        <v>0</v>
      </c>
      <c r="Q160" s="47" t="s">
        <v>149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353</v>
      </c>
      <c r="E161" s="56">
        <v>500000</v>
      </c>
      <c r="F161" s="57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149</v>
      </c>
      <c r="P161" s="47">
        <f>HEX2DEC(RIGHT(Table1323214[[#This Row],[h1]],8))</f>
        <v>0</v>
      </c>
      <c r="Q161" s="47" t="s">
        <v>149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354</v>
      </c>
      <c r="E162" s="56">
        <v>600000</v>
      </c>
      <c r="F162" s="57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149</v>
      </c>
      <c r="P162" s="47">
        <f>HEX2DEC(RIGHT(Table1323214[[#This Row],[h1]],8))</f>
        <v>0</v>
      </c>
      <c r="Q162" s="47" t="s">
        <v>149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355</v>
      </c>
      <c r="E163" s="56">
        <v>700000</v>
      </c>
      <c r="F163" s="57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149</v>
      </c>
      <c r="P163" s="47">
        <f>HEX2DEC(RIGHT(Table1323214[[#This Row],[h1]],8))</f>
        <v>0</v>
      </c>
      <c r="Q163" s="47" t="s">
        <v>149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356</v>
      </c>
      <c r="E164" s="56">
        <v>800000</v>
      </c>
      <c r="F164" s="57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149</v>
      </c>
      <c r="P164" s="47">
        <f>HEX2DEC(RIGHT(Table1323214[[#This Row],[h1]],8))</f>
        <v>0</v>
      </c>
      <c r="Q164" s="47" t="s">
        <v>149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357</v>
      </c>
      <c r="E165" s="56">
        <v>900000</v>
      </c>
      <c r="F165" s="57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149</v>
      </c>
      <c r="P165" s="47">
        <f>HEX2DEC(RIGHT(Table1323214[[#This Row],[h1]],8))</f>
        <v>0</v>
      </c>
      <c r="Q165" s="47" t="s">
        <v>149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149</v>
      </c>
      <c r="P166" s="47">
        <f>HEX2DEC(RIGHT(Table1323214[[#This Row],[h1]],8))</f>
        <v>0</v>
      </c>
      <c r="Q166" s="47" t="s">
        <v>149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358</v>
      </c>
      <c r="G167" s="47" t="s">
        <v>94</v>
      </c>
      <c r="J167" s="24">
        <v>50000</v>
      </c>
      <c r="M167" s="24">
        <v>50000</v>
      </c>
      <c r="O167" s="47" t="s">
        <v>149</v>
      </c>
      <c r="P167" s="47">
        <f>HEX2DEC(RIGHT(Table1323214[[#This Row],[h1]],8))</f>
        <v>0</v>
      </c>
      <c r="Q167" s="47" t="s">
        <v>149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359</v>
      </c>
      <c r="G168" s="47" t="s">
        <v>94</v>
      </c>
      <c r="J168" s="24">
        <v>50000</v>
      </c>
      <c r="M168" s="24">
        <v>50000</v>
      </c>
      <c r="O168" s="47" t="s">
        <v>149</v>
      </c>
      <c r="P168" s="47">
        <f>HEX2DEC(RIGHT(Table1323214[[#This Row],[h1]],8))</f>
        <v>0</v>
      </c>
      <c r="Q168" s="47" t="s">
        <v>149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360</v>
      </c>
      <c r="G169" s="47" t="s">
        <v>94</v>
      </c>
      <c r="J169" s="24">
        <v>50000</v>
      </c>
      <c r="M169" s="24">
        <v>50000</v>
      </c>
      <c r="O169" s="47" t="s">
        <v>149</v>
      </c>
      <c r="P169" s="47">
        <f>HEX2DEC(RIGHT(Table1323214[[#This Row],[h1]],8))</f>
        <v>0</v>
      </c>
      <c r="Q169" s="47" t="s">
        <v>149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361</v>
      </c>
      <c r="G170" s="47" t="s">
        <v>94</v>
      </c>
      <c r="J170" s="24">
        <v>50000</v>
      </c>
      <c r="M170" s="24">
        <v>50000</v>
      </c>
      <c r="O170" s="47" t="s">
        <v>149</v>
      </c>
      <c r="P170" s="47">
        <f>HEX2DEC(RIGHT(Table1323214[[#This Row],[h1]],8))</f>
        <v>0</v>
      </c>
      <c r="Q170" s="47" t="s">
        <v>149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362</v>
      </c>
      <c r="G171" s="47" t="s">
        <v>94</v>
      </c>
      <c r="J171" s="24">
        <v>50000</v>
      </c>
      <c r="M171" s="24">
        <v>50000</v>
      </c>
      <c r="O171" s="47" t="s">
        <v>149</v>
      </c>
      <c r="P171" s="47">
        <f>HEX2DEC(RIGHT(Table1323214[[#This Row],[h1]],8))</f>
        <v>0</v>
      </c>
      <c r="Q171" s="47" t="s">
        <v>149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363</v>
      </c>
      <c r="G172" s="47" t="s">
        <v>94</v>
      </c>
      <c r="J172" s="24">
        <v>50000</v>
      </c>
      <c r="M172" s="24">
        <v>50000</v>
      </c>
      <c r="O172" s="47" t="s">
        <v>149</v>
      </c>
      <c r="P172" s="47">
        <f>HEX2DEC(RIGHT(Table1323214[[#This Row],[h1]],8))</f>
        <v>0</v>
      </c>
      <c r="Q172" s="47" t="s">
        <v>149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364</v>
      </c>
      <c r="G173" s="47" t="s">
        <v>94</v>
      </c>
      <c r="J173" s="24">
        <v>50000</v>
      </c>
      <c r="M173" s="24">
        <v>50000</v>
      </c>
      <c r="O173" s="47" t="s">
        <v>149</v>
      </c>
      <c r="P173" s="47">
        <f>HEX2DEC(RIGHT(Table1323214[[#This Row],[h1]],8))</f>
        <v>0</v>
      </c>
      <c r="Q173" s="47" t="s">
        <v>149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365</v>
      </c>
      <c r="G174" s="47" t="s">
        <v>94</v>
      </c>
      <c r="J174" s="24">
        <v>50000</v>
      </c>
      <c r="M174" s="24">
        <v>50000</v>
      </c>
      <c r="O174" s="47" t="s">
        <v>149</v>
      </c>
      <c r="P174" s="47">
        <f>HEX2DEC(RIGHT(Table1323214[[#This Row],[h1]],8))</f>
        <v>0</v>
      </c>
      <c r="Q174" s="47" t="s">
        <v>149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149</v>
      </c>
      <c r="P175" s="47">
        <f>HEX2DEC(RIGHT(Table1323214[[#This Row],[h1]],8))</f>
        <v>0</v>
      </c>
      <c r="Q175" s="47" t="s">
        <v>149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366</v>
      </c>
      <c r="G176" s="47" t="s">
        <v>94</v>
      </c>
      <c r="J176" s="24">
        <v>50000</v>
      </c>
      <c r="M176" s="24">
        <v>50000</v>
      </c>
      <c r="O176" s="47" t="s">
        <v>149</v>
      </c>
      <c r="P176" s="47">
        <f>HEX2DEC(RIGHT(Table1323214[[#This Row],[h1]],8))</f>
        <v>0</v>
      </c>
      <c r="Q176" s="47" t="s">
        <v>149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367</v>
      </c>
      <c r="G177" s="47" t="s">
        <v>94</v>
      </c>
      <c r="J177" s="24">
        <v>50000</v>
      </c>
      <c r="M177" s="24">
        <v>50000</v>
      </c>
      <c r="O177" s="47" t="s">
        <v>149</v>
      </c>
      <c r="P177" s="47">
        <f>HEX2DEC(RIGHT(Table1323214[[#This Row],[h1]],8))</f>
        <v>0</v>
      </c>
      <c r="Q177" s="47" t="s">
        <v>149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368</v>
      </c>
      <c r="G178" s="47" t="s">
        <v>94</v>
      </c>
      <c r="J178" s="24">
        <v>50000</v>
      </c>
      <c r="M178" s="24">
        <v>50000</v>
      </c>
      <c r="O178" s="47" t="s">
        <v>149</v>
      </c>
      <c r="P178" s="47">
        <f>HEX2DEC(RIGHT(Table1323214[[#This Row],[h1]],8))</f>
        <v>0</v>
      </c>
      <c r="Q178" s="47" t="s">
        <v>149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369</v>
      </c>
      <c r="G179" s="47" t="s">
        <v>94</v>
      </c>
      <c r="J179" s="24">
        <v>50000</v>
      </c>
      <c r="M179" s="24">
        <v>50000</v>
      </c>
      <c r="O179" s="47" t="s">
        <v>149</v>
      </c>
      <c r="P179" s="47">
        <f>HEX2DEC(RIGHT(Table1323214[[#This Row],[h1]],8))</f>
        <v>0</v>
      </c>
      <c r="Q179" s="47" t="s">
        <v>149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370</v>
      </c>
      <c r="G180" s="47" t="s">
        <v>94</v>
      </c>
      <c r="J180" s="24">
        <v>50000</v>
      </c>
      <c r="M180" s="24">
        <v>50000</v>
      </c>
      <c r="O180" s="47" t="s">
        <v>149</v>
      </c>
      <c r="P180" s="47">
        <f>HEX2DEC(RIGHT(Table1323214[[#This Row],[h1]],8))</f>
        <v>0</v>
      </c>
      <c r="Q180" s="47" t="s">
        <v>149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371</v>
      </c>
      <c r="G181" s="47" t="s">
        <v>94</v>
      </c>
      <c r="J181" s="24">
        <v>50000</v>
      </c>
      <c r="M181" s="24">
        <v>50000</v>
      </c>
      <c r="O181" s="47" t="s">
        <v>149</v>
      </c>
      <c r="P181" s="47">
        <f>HEX2DEC(RIGHT(Table1323214[[#This Row],[h1]],8))</f>
        <v>0</v>
      </c>
      <c r="Q181" s="47" t="s">
        <v>149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372</v>
      </c>
      <c r="G182" s="47" t="s">
        <v>94</v>
      </c>
      <c r="J182" s="24">
        <v>50000</v>
      </c>
      <c r="M182" s="24">
        <v>50000</v>
      </c>
      <c r="O182" s="47" t="s">
        <v>149</v>
      </c>
      <c r="P182" s="47">
        <f>HEX2DEC(RIGHT(Table1323214[[#This Row],[h1]],8))</f>
        <v>0</v>
      </c>
      <c r="Q182" s="47" t="s">
        <v>149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373</v>
      </c>
      <c r="G183" s="47" t="s">
        <v>94</v>
      </c>
      <c r="J183" s="24">
        <v>50000</v>
      </c>
      <c r="M183" s="24">
        <v>50000</v>
      </c>
      <c r="O183" s="47" t="s">
        <v>149</v>
      </c>
      <c r="P183" s="47">
        <f>HEX2DEC(RIGHT(Table1323214[[#This Row],[h1]],8))</f>
        <v>0</v>
      </c>
      <c r="Q183" s="47" t="s">
        <v>149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374</v>
      </c>
      <c r="G184" s="47" t="s">
        <v>94</v>
      </c>
      <c r="J184" s="24">
        <v>50000</v>
      </c>
      <c r="M184" s="24">
        <v>50000</v>
      </c>
      <c r="O184" s="47" t="s">
        <v>149</v>
      </c>
      <c r="P184" s="47">
        <f>HEX2DEC(RIGHT(Table1323214[[#This Row],[h1]],8))</f>
        <v>0</v>
      </c>
      <c r="Q184" s="47" t="s">
        <v>149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375</v>
      </c>
      <c r="G185" s="47" t="s">
        <v>94</v>
      </c>
      <c r="J185" s="24">
        <v>50000</v>
      </c>
      <c r="M185" s="24">
        <v>50000</v>
      </c>
      <c r="O185" s="47" t="s">
        <v>149</v>
      </c>
      <c r="P185" s="47">
        <f>HEX2DEC(RIGHT(Table1323214[[#This Row],[h1]],8))</f>
        <v>0</v>
      </c>
      <c r="Q185" s="47" t="s">
        <v>149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376</v>
      </c>
      <c r="G186" s="47" t="s">
        <v>94</v>
      </c>
      <c r="J186" s="24">
        <v>50000</v>
      </c>
      <c r="M186" s="24">
        <v>50000</v>
      </c>
      <c r="O186" s="47" t="s">
        <v>149</v>
      </c>
      <c r="P186" s="47">
        <f>HEX2DEC(RIGHT(Table1323214[[#This Row],[h1]],8))</f>
        <v>0</v>
      </c>
      <c r="Q186" s="47" t="s">
        <v>149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377</v>
      </c>
      <c r="G187" s="47" t="s">
        <v>94</v>
      </c>
      <c r="J187" s="24">
        <v>50000</v>
      </c>
      <c r="M187" s="24">
        <v>50000</v>
      </c>
      <c r="O187" s="47" t="s">
        <v>149</v>
      </c>
      <c r="P187" s="47">
        <f>HEX2DEC(RIGHT(Table1323214[[#This Row],[h1]],8))</f>
        <v>0</v>
      </c>
      <c r="Q187" s="47" t="s">
        <v>149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378</v>
      </c>
      <c r="G188" s="47" t="s">
        <v>94</v>
      </c>
      <c r="J188" s="24">
        <v>50000</v>
      </c>
      <c r="M188" s="24">
        <v>50000</v>
      </c>
      <c r="O188" s="47" t="s">
        <v>149</v>
      </c>
      <c r="P188" s="47">
        <f>HEX2DEC(RIGHT(Table1323214[[#This Row],[h1]],8))</f>
        <v>0</v>
      </c>
      <c r="Q188" s="47" t="s">
        <v>149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379</v>
      </c>
      <c r="G189" s="47" t="s">
        <v>94</v>
      </c>
      <c r="J189" s="24">
        <v>50000</v>
      </c>
      <c r="M189" s="24">
        <v>50000</v>
      </c>
      <c r="O189" s="47" t="s">
        <v>149</v>
      </c>
      <c r="P189" s="47">
        <f>HEX2DEC(RIGHT(Table1323214[[#This Row],[h1]],8))</f>
        <v>0</v>
      </c>
      <c r="Q189" s="47" t="s">
        <v>149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380</v>
      </c>
      <c r="G190" s="47" t="s">
        <v>94</v>
      </c>
      <c r="J190" s="24">
        <v>50000</v>
      </c>
      <c r="M190" s="24">
        <v>50000</v>
      </c>
      <c r="O190" s="47" t="s">
        <v>149</v>
      </c>
      <c r="P190" s="47">
        <f>HEX2DEC(RIGHT(Table1323214[[#This Row],[h1]],8))</f>
        <v>0</v>
      </c>
      <c r="Q190" s="47" t="s">
        <v>149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381</v>
      </c>
      <c r="E191" s="27"/>
      <c r="F191" s="27"/>
      <c r="G191" s="47" t="s">
        <v>94</v>
      </c>
      <c r="J191" s="24">
        <v>50000</v>
      </c>
      <c r="M191" s="24">
        <v>50000</v>
      </c>
      <c r="O191" s="47" t="s">
        <v>149</v>
      </c>
      <c r="P191" s="47">
        <f>HEX2DEC(RIGHT(Table1323214[[#This Row],[h1]],8))</f>
        <v>0</v>
      </c>
      <c r="Q191" s="47" t="s">
        <v>149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382</v>
      </c>
      <c r="G192" s="47" t="s">
        <v>94</v>
      </c>
      <c r="J192" s="24">
        <v>50000</v>
      </c>
      <c r="M192" s="24">
        <v>50000</v>
      </c>
      <c r="O192" s="47" t="s">
        <v>149</v>
      </c>
      <c r="P192" s="47">
        <f>HEX2DEC(RIGHT(Table1323214[[#This Row],[h1]],8))</f>
        <v>0</v>
      </c>
      <c r="Q192" s="47" t="s">
        <v>149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383</v>
      </c>
      <c r="G193" s="47" t="s">
        <v>94</v>
      </c>
      <c r="J193" s="24">
        <v>50000</v>
      </c>
      <c r="M193" s="24">
        <v>50000</v>
      </c>
      <c r="O193" s="47" t="s">
        <v>149</v>
      </c>
      <c r="P193" s="47">
        <f>HEX2DEC(RIGHT(Table1323214[[#This Row],[h1]],8))</f>
        <v>0</v>
      </c>
      <c r="Q193" s="47" t="s">
        <v>149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384</v>
      </c>
      <c r="G194" s="47" t="s">
        <v>94</v>
      </c>
      <c r="J194" s="24">
        <v>50000</v>
      </c>
      <c r="M194" s="24">
        <v>50000</v>
      </c>
      <c r="O194" s="47" t="s">
        <v>149</v>
      </c>
      <c r="P194" s="47">
        <f>HEX2DEC(RIGHT(Table1323214[[#This Row],[h1]],8))</f>
        <v>0</v>
      </c>
      <c r="Q194" s="47" t="s">
        <v>149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385</v>
      </c>
      <c r="G195" s="47" t="s">
        <v>94</v>
      </c>
      <c r="J195" s="24">
        <v>50000</v>
      </c>
      <c r="M195" s="24">
        <v>50000</v>
      </c>
      <c r="O195" s="47" t="s">
        <v>149</v>
      </c>
      <c r="P195" s="47">
        <f>HEX2DEC(RIGHT(Table1323214[[#This Row],[h1]],8))</f>
        <v>0</v>
      </c>
      <c r="Q195" s="47" t="s">
        <v>149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386</v>
      </c>
      <c r="G196" s="47" t="s">
        <v>94</v>
      </c>
      <c r="J196" s="24">
        <v>50000</v>
      </c>
      <c r="M196" s="24">
        <v>50000</v>
      </c>
      <c r="O196" s="47" t="s">
        <v>149</v>
      </c>
      <c r="P196" s="47">
        <f>HEX2DEC(RIGHT(Table1323214[[#This Row],[h1]],8))</f>
        <v>0</v>
      </c>
      <c r="Q196" s="47" t="s">
        <v>149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387</v>
      </c>
      <c r="G197" s="47" t="s">
        <v>94</v>
      </c>
      <c r="J197" s="24">
        <v>50000</v>
      </c>
      <c r="M197" s="24">
        <v>50000</v>
      </c>
      <c r="O197" s="47" t="s">
        <v>149</v>
      </c>
      <c r="P197" s="47">
        <f>HEX2DEC(RIGHT(Table1323214[[#This Row],[h1]],8))</f>
        <v>0</v>
      </c>
      <c r="Q197" s="47" t="s">
        <v>149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388</v>
      </c>
      <c r="G198" s="47" t="s">
        <v>94</v>
      </c>
      <c r="J198" s="24">
        <v>50000</v>
      </c>
      <c r="M198" s="24">
        <v>50000</v>
      </c>
      <c r="O198" s="47" t="s">
        <v>149</v>
      </c>
      <c r="P198" s="47">
        <f>HEX2DEC(RIGHT(Table1323214[[#This Row],[h1]],8))</f>
        <v>0</v>
      </c>
      <c r="Q198" s="47" t="s">
        <v>149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389</v>
      </c>
      <c r="G199" s="47" t="s">
        <v>94</v>
      </c>
      <c r="J199" s="24">
        <v>50000</v>
      </c>
      <c r="M199" s="24">
        <v>50000</v>
      </c>
      <c r="O199" s="47" t="s">
        <v>149</v>
      </c>
      <c r="P199" s="47">
        <f>HEX2DEC(RIGHT(Table1323214[[#This Row],[h1]],8))</f>
        <v>0</v>
      </c>
      <c r="Q199" s="47" t="s">
        <v>149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390</v>
      </c>
      <c r="G200" s="47" t="s">
        <v>94</v>
      </c>
      <c r="J200" s="24">
        <v>50000</v>
      </c>
      <c r="M200" s="24">
        <v>50000</v>
      </c>
      <c r="O200" s="47" t="s">
        <v>149</v>
      </c>
      <c r="P200" s="47">
        <f>HEX2DEC(RIGHT(Table1323214[[#This Row],[h1]],8))</f>
        <v>0</v>
      </c>
      <c r="Q200" s="47" t="s">
        <v>149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391</v>
      </c>
      <c r="G201" s="47" t="s">
        <v>94</v>
      </c>
      <c r="J201" s="24">
        <v>50000</v>
      </c>
      <c r="M201" s="24">
        <v>50000</v>
      </c>
      <c r="O201" s="47" t="s">
        <v>149</v>
      </c>
      <c r="P201" s="47">
        <f>HEX2DEC(RIGHT(Table1323214[[#This Row],[h1]],8))</f>
        <v>0</v>
      </c>
      <c r="Q201" s="47" t="s">
        <v>149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392</v>
      </c>
      <c r="G202" s="47" t="s">
        <v>94</v>
      </c>
      <c r="J202" s="24">
        <v>50000</v>
      </c>
      <c r="M202" s="24">
        <v>50000</v>
      </c>
      <c r="O202" s="47" t="s">
        <v>149</v>
      </c>
      <c r="P202" s="47">
        <f>HEX2DEC(RIGHT(Table1323214[[#This Row],[h1]],8))</f>
        <v>0</v>
      </c>
      <c r="Q202" s="47" t="s">
        <v>149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393</v>
      </c>
      <c r="G203" s="47" t="s">
        <v>94</v>
      </c>
      <c r="J203" s="24">
        <v>50000</v>
      </c>
      <c r="M203" s="24">
        <v>50000</v>
      </c>
      <c r="O203" s="47" t="s">
        <v>149</v>
      </c>
      <c r="P203" s="47">
        <f>HEX2DEC(RIGHT(Table1323214[[#This Row],[h1]],8))</f>
        <v>0</v>
      </c>
      <c r="Q203" s="47" t="s">
        <v>149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394</v>
      </c>
      <c r="G204" s="47" t="s">
        <v>94</v>
      </c>
      <c r="J204" s="24">
        <v>50000</v>
      </c>
      <c r="M204" s="24">
        <v>50000</v>
      </c>
      <c r="O204" s="47" t="s">
        <v>149</v>
      </c>
      <c r="P204" s="47">
        <f>HEX2DEC(RIGHT(Table1323214[[#This Row],[h1]],8))</f>
        <v>0</v>
      </c>
      <c r="Q204" s="47" t="s">
        <v>149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395</v>
      </c>
      <c r="G205" s="47" t="s">
        <v>94</v>
      </c>
      <c r="J205" s="24">
        <v>50000</v>
      </c>
      <c r="M205" s="24">
        <v>50000</v>
      </c>
      <c r="O205" s="47" t="s">
        <v>149</v>
      </c>
      <c r="P205" s="47">
        <f>HEX2DEC(RIGHT(Table1323214[[#This Row],[h1]],8))</f>
        <v>0</v>
      </c>
      <c r="Q205" s="47" t="s">
        <v>149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396</v>
      </c>
      <c r="G206" s="47" t="s">
        <v>94</v>
      </c>
      <c r="J206" s="24">
        <v>50000</v>
      </c>
      <c r="M206" s="24">
        <v>50000</v>
      </c>
      <c r="O206" s="47" t="s">
        <v>149</v>
      </c>
      <c r="P206" s="47">
        <f>HEX2DEC(RIGHT(Table1323214[[#This Row],[h1]],8))</f>
        <v>0</v>
      </c>
      <c r="Q206" s="47" t="s">
        <v>149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149</v>
      </c>
      <c r="P207" s="47">
        <f>HEX2DEC(RIGHT(Table1323214[[#This Row],[h1]],8))</f>
        <v>0</v>
      </c>
      <c r="Q207" s="47" t="s">
        <v>149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397</v>
      </c>
      <c r="G208" s="47">
        <v>1</v>
      </c>
      <c r="J208" s="24">
        <v>50000</v>
      </c>
      <c r="M208" s="24">
        <v>50000</v>
      </c>
      <c r="O208" s="47" t="s">
        <v>149</v>
      </c>
      <c r="P208" s="47">
        <f>HEX2DEC(RIGHT(Table1323214[[#This Row],[h1]],8))</f>
        <v>0</v>
      </c>
      <c r="Q208" s="47" t="s">
        <v>149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398</v>
      </c>
      <c r="G209" s="47">
        <v>0</v>
      </c>
      <c r="J209" s="24">
        <v>50000</v>
      </c>
      <c r="M209" s="24">
        <v>50000</v>
      </c>
      <c r="O209" s="47" t="s">
        <v>149</v>
      </c>
      <c r="P209" s="47">
        <f>HEX2DEC(RIGHT(Table1323214[[#This Row],[h1]],8))</f>
        <v>0</v>
      </c>
      <c r="Q209" s="47" t="s">
        <v>149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399</v>
      </c>
      <c r="G210" s="47">
        <v>0</v>
      </c>
      <c r="J210" s="24">
        <v>50000</v>
      </c>
      <c r="M210" s="24">
        <v>50000</v>
      </c>
      <c r="O210" s="47" t="s">
        <v>149</v>
      </c>
      <c r="P210" s="47">
        <f>HEX2DEC(RIGHT(Table1323214[[#This Row],[h1]],8))</f>
        <v>0</v>
      </c>
      <c r="Q210" s="47" t="s">
        <v>149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400</v>
      </c>
      <c r="G211" s="47">
        <v>0</v>
      </c>
      <c r="J211" s="24">
        <v>50000</v>
      </c>
      <c r="M211" s="24">
        <v>50000</v>
      </c>
      <c r="O211" s="47" t="s">
        <v>149</v>
      </c>
      <c r="P211" s="47">
        <f>HEX2DEC(RIGHT(Table1323214[[#This Row],[h1]],8))</f>
        <v>0</v>
      </c>
      <c r="Q211" s="47" t="s">
        <v>149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401</v>
      </c>
      <c r="G212" s="47">
        <v>0</v>
      </c>
      <c r="J212" s="24">
        <v>50000</v>
      </c>
      <c r="M212" s="24">
        <v>50000</v>
      </c>
      <c r="O212" s="47" t="s">
        <v>149</v>
      </c>
      <c r="P212" s="47">
        <f>HEX2DEC(RIGHT(Table1323214[[#This Row],[h1]],8))</f>
        <v>0</v>
      </c>
      <c r="Q212" s="47" t="s">
        <v>149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402</v>
      </c>
      <c r="G213" s="47">
        <v>0</v>
      </c>
      <c r="J213" s="24">
        <v>50000</v>
      </c>
      <c r="M213" s="24">
        <v>50000</v>
      </c>
      <c r="O213" s="47" t="s">
        <v>149</v>
      </c>
      <c r="P213" s="47">
        <f>HEX2DEC(RIGHT(Table1323214[[#This Row],[h1]],8))</f>
        <v>0</v>
      </c>
      <c r="Q213" s="47" t="s">
        <v>149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403</v>
      </c>
      <c r="G214" s="47">
        <v>0</v>
      </c>
      <c r="J214" s="24">
        <v>50000</v>
      </c>
      <c r="M214" s="24">
        <v>50000</v>
      </c>
      <c r="O214" s="47" t="s">
        <v>149</v>
      </c>
      <c r="P214" s="47">
        <f>HEX2DEC(RIGHT(Table1323214[[#This Row],[h1]],8))</f>
        <v>0</v>
      </c>
      <c r="Q214" s="47" t="s">
        <v>149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404</v>
      </c>
      <c r="G215" s="47">
        <v>0</v>
      </c>
      <c r="J215" s="24">
        <v>50000</v>
      </c>
      <c r="M215" s="24">
        <v>50000</v>
      </c>
      <c r="O215" s="47" t="s">
        <v>149</v>
      </c>
      <c r="P215" s="47">
        <f>HEX2DEC(RIGHT(Table1323214[[#This Row],[h1]],8))</f>
        <v>0</v>
      </c>
      <c r="Q215" s="47" t="s">
        <v>149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405</v>
      </c>
      <c r="G216" s="47">
        <v>0</v>
      </c>
      <c r="J216" s="24">
        <v>50000</v>
      </c>
      <c r="M216" s="24">
        <v>50000</v>
      </c>
      <c r="O216" s="47" t="s">
        <v>149</v>
      </c>
      <c r="P216" s="47">
        <f>HEX2DEC(RIGHT(Table1323214[[#This Row],[h1]],8))</f>
        <v>0</v>
      </c>
      <c r="Q216" s="47" t="s">
        <v>149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406</v>
      </c>
      <c r="G217" s="47">
        <v>0</v>
      </c>
      <c r="J217" s="24">
        <v>50000</v>
      </c>
      <c r="M217" s="24">
        <v>50000</v>
      </c>
      <c r="O217" s="47" t="s">
        <v>149</v>
      </c>
      <c r="P217" s="47">
        <f>HEX2DEC(RIGHT(Table1323214[[#This Row],[h1]],8))</f>
        <v>0</v>
      </c>
      <c r="Q217" s="47" t="s">
        <v>149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407</v>
      </c>
      <c r="G218" s="47">
        <v>0</v>
      </c>
      <c r="J218" s="24">
        <v>50000</v>
      </c>
      <c r="M218" s="24">
        <v>50000</v>
      </c>
      <c r="O218" s="47" t="s">
        <v>149</v>
      </c>
      <c r="P218" s="47">
        <f>HEX2DEC(RIGHT(Table1323214[[#This Row],[h1]],8))</f>
        <v>0</v>
      </c>
      <c r="Q218" s="47" t="s">
        <v>149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408</v>
      </c>
      <c r="G219" s="47">
        <v>0</v>
      </c>
      <c r="J219" s="24">
        <v>50000</v>
      </c>
      <c r="M219" s="24">
        <v>50000</v>
      </c>
      <c r="O219" s="47" t="s">
        <v>149</v>
      </c>
      <c r="P219" s="47">
        <f>HEX2DEC(RIGHT(Table1323214[[#This Row],[h1]],8))</f>
        <v>0</v>
      </c>
      <c r="Q219" s="47" t="s">
        <v>149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409</v>
      </c>
      <c r="G220" s="47">
        <v>0</v>
      </c>
      <c r="J220" s="24">
        <v>50000</v>
      </c>
      <c r="M220" s="24">
        <v>50000</v>
      </c>
      <c r="O220" s="47" t="s">
        <v>149</v>
      </c>
      <c r="P220" s="47">
        <f>HEX2DEC(RIGHT(Table1323214[[#This Row],[h1]],8))</f>
        <v>0</v>
      </c>
      <c r="Q220" s="47" t="s">
        <v>149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410</v>
      </c>
      <c r="G221" s="47">
        <v>0</v>
      </c>
      <c r="J221" s="24">
        <v>50000</v>
      </c>
      <c r="M221" s="24">
        <v>50000</v>
      </c>
      <c r="O221" s="47" t="s">
        <v>149</v>
      </c>
      <c r="P221" s="47">
        <f>HEX2DEC(RIGHT(Table1323214[[#This Row],[h1]],8))</f>
        <v>0</v>
      </c>
      <c r="Q221" s="47" t="s">
        <v>149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411</v>
      </c>
      <c r="G222" s="47">
        <v>0</v>
      </c>
      <c r="J222" s="24">
        <v>50000</v>
      </c>
      <c r="M222" s="24">
        <v>50000</v>
      </c>
      <c r="O222" s="47" t="s">
        <v>149</v>
      </c>
      <c r="P222" s="47">
        <f>HEX2DEC(RIGHT(Table1323214[[#This Row],[h1]],8))</f>
        <v>0</v>
      </c>
      <c r="Q222" s="47" t="s">
        <v>149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412</v>
      </c>
      <c r="G223" s="47">
        <v>0</v>
      </c>
      <c r="J223" s="24">
        <v>50000</v>
      </c>
      <c r="M223" s="24">
        <v>50000</v>
      </c>
      <c r="O223" s="47" t="s">
        <v>149</v>
      </c>
      <c r="P223" s="47">
        <f>HEX2DEC(RIGHT(Table1323214[[#This Row],[h1]],8))</f>
        <v>0</v>
      </c>
      <c r="Q223" s="47" t="s">
        <v>149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413</v>
      </c>
      <c r="G224" s="47">
        <v>0</v>
      </c>
      <c r="J224" s="24">
        <v>50000</v>
      </c>
      <c r="M224" s="24">
        <v>50000</v>
      </c>
      <c r="O224" s="47" t="s">
        <v>149</v>
      </c>
      <c r="P224" s="47">
        <f>HEX2DEC(RIGHT(Table1323214[[#This Row],[h1]],8))</f>
        <v>0</v>
      </c>
      <c r="Q224" s="47" t="s">
        <v>149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414</v>
      </c>
      <c r="G225" s="47">
        <v>0</v>
      </c>
      <c r="J225" s="24">
        <v>50000</v>
      </c>
      <c r="M225" s="24">
        <v>50000</v>
      </c>
      <c r="O225" s="47" t="s">
        <v>149</v>
      </c>
      <c r="P225" s="47">
        <f>HEX2DEC(RIGHT(Table1323214[[#This Row],[h1]],8))</f>
        <v>0</v>
      </c>
      <c r="Q225" s="47" t="s">
        <v>149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415</v>
      </c>
      <c r="G226" s="47">
        <v>0</v>
      </c>
      <c r="J226" s="24">
        <v>50000</v>
      </c>
      <c r="M226" s="24">
        <v>50000</v>
      </c>
      <c r="O226" s="47" t="s">
        <v>149</v>
      </c>
      <c r="P226" s="47">
        <f>HEX2DEC(RIGHT(Table1323214[[#This Row],[h1]],8))</f>
        <v>0</v>
      </c>
      <c r="Q226" s="47" t="s">
        <v>149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416</v>
      </c>
      <c r="G227" s="47">
        <v>0</v>
      </c>
      <c r="J227" s="24">
        <v>50000</v>
      </c>
      <c r="M227" s="24">
        <v>50000</v>
      </c>
      <c r="O227" s="47" t="s">
        <v>149</v>
      </c>
      <c r="P227" s="47">
        <f>HEX2DEC(RIGHT(Table1323214[[#This Row],[h1]],8))</f>
        <v>0</v>
      </c>
      <c r="Q227" s="47" t="s">
        <v>149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417</v>
      </c>
      <c r="G228" s="47">
        <v>0</v>
      </c>
      <c r="J228" s="24">
        <v>50000</v>
      </c>
      <c r="M228" s="24">
        <v>50000</v>
      </c>
      <c r="O228" s="47" t="s">
        <v>149</v>
      </c>
      <c r="P228" s="47">
        <f>HEX2DEC(RIGHT(Table1323214[[#This Row],[h1]],8))</f>
        <v>0</v>
      </c>
      <c r="Q228" s="47" t="s">
        <v>149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418</v>
      </c>
      <c r="G229" s="47">
        <v>0</v>
      </c>
      <c r="J229" s="24">
        <v>50000</v>
      </c>
      <c r="M229" s="24">
        <v>50000</v>
      </c>
      <c r="O229" s="47" t="s">
        <v>149</v>
      </c>
      <c r="P229" s="47">
        <f>HEX2DEC(RIGHT(Table1323214[[#This Row],[h1]],8))</f>
        <v>0</v>
      </c>
      <c r="Q229" s="47" t="s">
        <v>149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419</v>
      </c>
      <c r="G230" s="47">
        <v>0</v>
      </c>
      <c r="J230" s="24">
        <v>50000</v>
      </c>
      <c r="M230" s="24">
        <v>50000</v>
      </c>
      <c r="O230" s="47" t="s">
        <v>149</v>
      </c>
      <c r="P230" s="47">
        <f>HEX2DEC(RIGHT(Table1323214[[#This Row],[h1]],8))</f>
        <v>0</v>
      </c>
      <c r="Q230" s="47" t="s">
        <v>149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420</v>
      </c>
      <c r="G231" s="47">
        <v>0</v>
      </c>
      <c r="J231" s="24">
        <v>50000</v>
      </c>
      <c r="M231" s="24">
        <v>50000</v>
      </c>
      <c r="O231" s="47" t="s">
        <v>149</v>
      </c>
      <c r="P231" s="47">
        <f>HEX2DEC(RIGHT(Table1323214[[#This Row],[h1]],8))</f>
        <v>0</v>
      </c>
      <c r="Q231" s="47" t="s">
        <v>149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421</v>
      </c>
      <c r="G232" s="47">
        <v>0</v>
      </c>
      <c r="J232" s="24">
        <v>50000</v>
      </c>
      <c r="M232" s="24">
        <v>50000</v>
      </c>
      <c r="O232" s="47" t="s">
        <v>149</v>
      </c>
      <c r="P232" s="47">
        <f>HEX2DEC(RIGHT(Table1323214[[#This Row],[h1]],8))</f>
        <v>0</v>
      </c>
      <c r="Q232" s="47" t="s">
        <v>149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422</v>
      </c>
      <c r="G233" s="47">
        <v>0</v>
      </c>
      <c r="J233" s="24">
        <v>50000</v>
      </c>
      <c r="M233" s="24">
        <v>50000</v>
      </c>
      <c r="O233" s="47" t="s">
        <v>149</v>
      </c>
      <c r="P233" s="47">
        <f>HEX2DEC(RIGHT(Table1323214[[#This Row],[h1]],8))</f>
        <v>0</v>
      </c>
      <c r="Q233" s="47" t="s">
        <v>149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423</v>
      </c>
      <c r="G234" s="47">
        <v>0</v>
      </c>
      <c r="J234" s="24">
        <v>50000</v>
      </c>
      <c r="M234" s="24">
        <v>50000</v>
      </c>
      <c r="O234" s="47" t="s">
        <v>149</v>
      </c>
      <c r="P234" s="47">
        <f>HEX2DEC(RIGHT(Table1323214[[#This Row],[h1]],8))</f>
        <v>0</v>
      </c>
      <c r="Q234" s="47" t="s">
        <v>149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424</v>
      </c>
      <c r="G235" s="47">
        <v>0</v>
      </c>
      <c r="J235" s="24">
        <v>50000</v>
      </c>
      <c r="M235" s="24">
        <v>50000</v>
      </c>
      <c r="O235" s="47" t="s">
        <v>149</v>
      </c>
      <c r="P235" s="47">
        <f>HEX2DEC(RIGHT(Table1323214[[#This Row],[h1]],8))</f>
        <v>0</v>
      </c>
      <c r="Q235" s="47" t="s">
        <v>149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425</v>
      </c>
      <c r="G236" s="47">
        <v>0</v>
      </c>
      <c r="J236" s="24">
        <v>50000</v>
      </c>
      <c r="M236" s="24">
        <v>50000</v>
      </c>
      <c r="O236" s="47" t="s">
        <v>149</v>
      </c>
      <c r="P236" s="47">
        <f>HEX2DEC(RIGHT(Table1323214[[#This Row],[h1]],8))</f>
        <v>0</v>
      </c>
      <c r="Q236" s="47" t="s">
        <v>149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426</v>
      </c>
      <c r="G237" s="47">
        <v>0</v>
      </c>
      <c r="J237" s="24">
        <v>50000</v>
      </c>
      <c r="M237" s="24">
        <v>50000</v>
      </c>
      <c r="O237" s="47" t="s">
        <v>149</v>
      </c>
      <c r="P237" s="47">
        <f>HEX2DEC(RIGHT(Table1323214[[#This Row],[h1]],8))</f>
        <v>0</v>
      </c>
      <c r="Q237" s="47" t="s">
        <v>149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427</v>
      </c>
      <c r="G238" s="47">
        <v>0</v>
      </c>
      <c r="J238" s="24">
        <v>50000</v>
      </c>
      <c r="M238" s="24">
        <v>50000</v>
      </c>
      <c r="O238" s="47" t="s">
        <v>149</v>
      </c>
      <c r="P238" s="47">
        <f>HEX2DEC(RIGHT(Table1323214[[#This Row],[h1]],8))</f>
        <v>0</v>
      </c>
      <c r="Q238" s="47" t="s">
        <v>149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149</v>
      </c>
      <c r="P239" s="47">
        <f>HEX2DEC(RIGHT(Table1323214[[#This Row],[h1]],8))</f>
        <v>0</v>
      </c>
      <c r="Q239" s="47" t="s">
        <v>149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149</v>
      </c>
      <c r="P240" s="47">
        <f>HEX2DEC(RIGHT(Table1323214[[#This Row],[h1]],8))</f>
        <v>0</v>
      </c>
      <c r="Q240" s="47" t="s">
        <v>149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46</v>
      </c>
      <c r="J241" s="24">
        <v>50000</v>
      </c>
      <c r="M241" s="24">
        <v>50000</v>
      </c>
      <c r="O241" s="47" t="s">
        <v>149</v>
      </c>
      <c r="P241" s="47">
        <f>HEX2DEC(RIGHT(Table1323214[[#This Row],[h1]],8))</f>
        <v>0</v>
      </c>
      <c r="Q241" s="47" t="s">
        <v>149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101</v>
      </c>
      <c r="J242" s="24">
        <v>50000</v>
      </c>
      <c r="M242" s="24">
        <v>50000</v>
      </c>
      <c r="O242" s="47" t="s">
        <v>149</v>
      </c>
      <c r="P242" s="47">
        <f>HEX2DEC(RIGHT(Table1323214[[#This Row],[h1]],8))</f>
        <v>0</v>
      </c>
      <c r="Q242" s="47" t="s">
        <v>149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428</v>
      </c>
      <c r="F243" s="26"/>
      <c r="G243" s="15">
        <v>-1</v>
      </c>
      <c r="J243" s="24">
        <v>50000</v>
      </c>
      <c r="M243" s="24">
        <v>50000</v>
      </c>
      <c r="O243" s="47" t="s">
        <v>149</v>
      </c>
      <c r="P243" s="47">
        <f>HEX2DEC(RIGHT(Table1323214[[#This Row],[h1]],8))</f>
        <v>0</v>
      </c>
      <c r="Q243" s="47" t="s">
        <v>149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429</v>
      </c>
      <c r="G244" s="15">
        <v>1000</v>
      </c>
      <c r="J244" s="24">
        <v>50000</v>
      </c>
      <c r="M244" s="24">
        <v>50000</v>
      </c>
      <c r="O244" s="47" t="s">
        <v>149</v>
      </c>
      <c r="P244" s="47">
        <f>HEX2DEC(RIGHT(Table1323214[[#This Row],[h1]],8))</f>
        <v>0</v>
      </c>
      <c r="Q244" s="47" t="s">
        <v>149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149</v>
      </c>
      <c r="P245" s="47">
        <f>HEX2DEC(RIGHT(Table1323214[[#This Row],[h1]],8))</f>
        <v>0</v>
      </c>
      <c r="Q245" s="47" t="s">
        <v>149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149</v>
      </c>
      <c r="P246" s="47">
        <f>HEX2DEC(RIGHT(Table1323214[[#This Row],[h1]],8))</f>
        <v>0</v>
      </c>
      <c r="Q246" s="47" t="s">
        <v>149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430</v>
      </c>
      <c r="G247" s="15" t="s">
        <v>154</v>
      </c>
      <c r="J247" s="24">
        <v>50000</v>
      </c>
      <c r="M247" s="24">
        <v>50000</v>
      </c>
      <c r="O247" s="47" t="s">
        <v>149</v>
      </c>
      <c r="P247" s="47">
        <f>HEX2DEC(RIGHT(Table1323214[[#This Row],[h1]],8))</f>
        <v>0</v>
      </c>
      <c r="Q247" s="47" t="s">
        <v>149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431</v>
      </c>
      <c r="G248" s="15" t="s">
        <v>146</v>
      </c>
      <c r="J248" s="24">
        <v>50000</v>
      </c>
      <c r="M248" s="24">
        <v>50000</v>
      </c>
      <c r="O248" s="47" t="s">
        <v>149</v>
      </c>
      <c r="P248" s="47">
        <f>HEX2DEC(RIGHT(Table1323214[[#This Row],[h1]],8))</f>
        <v>0</v>
      </c>
      <c r="Q248" s="47" t="s">
        <v>149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149</v>
      </c>
      <c r="P249" s="47">
        <f>HEX2DEC(RIGHT(Table1323214[[#This Row],[h1]],8))</f>
        <v>0</v>
      </c>
      <c r="Q249" s="47" t="s">
        <v>149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149</v>
      </c>
      <c r="P250" s="47">
        <f>HEX2DEC(RIGHT(Table1323214[[#This Row],[h1]],8))</f>
        <v>0</v>
      </c>
      <c r="Q250" s="47" t="s">
        <v>149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45</v>
      </c>
      <c r="J251" s="24">
        <v>50000</v>
      </c>
      <c r="M251" s="24">
        <v>50000</v>
      </c>
      <c r="O251" s="47" t="s">
        <v>149</v>
      </c>
      <c r="P251" s="47">
        <f>HEX2DEC(RIGHT(Table1323214[[#This Row],[h1]],8))</f>
        <v>0</v>
      </c>
      <c r="Q251" s="47" t="s">
        <v>149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432</v>
      </c>
      <c r="E252" s="15" t="s">
        <v>106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149</v>
      </c>
      <c r="P252" s="47">
        <f>HEX2DEC(RIGHT(Table1323214[[#This Row],[h1]],8))</f>
        <v>0</v>
      </c>
      <c r="Q252" s="47" t="s">
        <v>149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433</v>
      </c>
      <c r="E253" s="15" t="s">
        <v>107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149</v>
      </c>
      <c r="P253" s="47">
        <f>HEX2DEC(RIGHT(Table1323214[[#This Row],[h1]],8))</f>
        <v>0</v>
      </c>
      <c r="Q253" s="47" t="s">
        <v>149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434</v>
      </c>
      <c r="E254" s="15" t="s">
        <v>108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149</v>
      </c>
      <c r="P254" s="47">
        <f>HEX2DEC(RIGHT(Table1323214[[#This Row],[h1]],8))</f>
        <v>0</v>
      </c>
      <c r="Q254" s="47" t="s">
        <v>149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435</v>
      </c>
      <c r="E255" s="15" t="s">
        <v>109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149</v>
      </c>
      <c r="P255" s="47">
        <f>HEX2DEC(RIGHT(Table1323214[[#This Row],[h1]],8))</f>
        <v>0</v>
      </c>
      <c r="Q255" s="47" t="s">
        <v>149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436</v>
      </c>
      <c r="E256" s="15" t="s">
        <v>110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149</v>
      </c>
      <c r="P256" s="47">
        <f>HEX2DEC(RIGHT(Table1323214[[#This Row],[h1]],8))</f>
        <v>0</v>
      </c>
      <c r="Q256" s="47" t="s">
        <v>149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437</v>
      </c>
      <c r="E257" s="15" t="s">
        <v>111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149</v>
      </c>
      <c r="P257" s="47">
        <f>HEX2DEC(RIGHT(Table1323214[[#This Row],[h1]],8))</f>
        <v>0</v>
      </c>
      <c r="Q257" s="47" t="s">
        <v>149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438</v>
      </c>
      <c r="E258" s="15" t="s">
        <v>112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149</v>
      </c>
      <c r="P258" s="47">
        <f>HEX2DEC(RIGHT(Table1323214[[#This Row],[h1]],8))</f>
        <v>0</v>
      </c>
      <c r="Q258" s="47" t="s">
        <v>149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439</v>
      </c>
      <c r="E259" s="15" t="s">
        <v>113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149</v>
      </c>
      <c r="P259" s="47">
        <f>HEX2DEC(RIGHT(Table1323214[[#This Row],[h1]],8))</f>
        <v>0</v>
      </c>
      <c r="Q259" s="47" t="s">
        <v>149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440</v>
      </c>
      <c r="E260" s="15" t="s">
        <v>114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149</v>
      </c>
      <c r="P260" s="47">
        <f>HEX2DEC(RIGHT(Table1323214[[#This Row],[h1]],8))</f>
        <v>0</v>
      </c>
      <c r="Q260" s="47" t="s">
        <v>149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441</v>
      </c>
      <c r="E261" s="15" t="s">
        <v>115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149</v>
      </c>
      <c r="P261" s="47">
        <f>HEX2DEC(RIGHT(Table1323214[[#This Row],[h1]],8))</f>
        <v>0</v>
      </c>
      <c r="Q261" s="47" t="s">
        <v>149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442</v>
      </c>
      <c r="E262" s="15" t="s">
        <v>116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149</v>
      </c>
      <c r="P262" s="47">
        <f>HEX2DEC(RIGHT(Table1323214[[#This Row],[h1]],8))</f>
        <v>0</v>
      </c>
      <c r="Q262" s="47" t="s">
        <v>149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443</v>
      </c>
      <c r="E263" s="15" t="s">
        <v>117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149</v>
      </c>
      <c r="P263" s="47">
        <f>HEX2DEC(RIGHT(Table1323214[[#This Row],[h1]],8))</f>
        <v>0</v>
      </c>
      <c r="Q263" s="47" t="s">
        <v>149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444</v>
      </c>
      <c r="E264" s="15" t="s">
        <v>118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149</v>
      </c>
      <c r="P264" s="47">
        <f>HEX2DEC(RIGHT(Table1323214[[#This Row],[h1]],8))</f>
        <v>0</v>
      </c>
      <c r="Q264" s="47" t="s">
        <v>149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445</v>
      </c>
      <c r="E265" s="15" t="s">
        <v>119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149</v>
      </c>
      <c r="P265" s="47">
        <f>HEX2DEC(RIGHT(Table1323214[[#This Row],[h1]],8))</f>
        <v>0</v>
      </c>
      <c r="Q265" s="47" t="s">
        <v>149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446</v>
      </c>
      <c r="E266" s="15" t="s">
        <v>120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149</v>
      </c>
      <c r="P266" s="47">
        <f>HEX2DEC(RIGHT(Table1323214[[#This Row],[h1]],8))</f>
        <v>0</v>
      </c>
      <c r="Q266" s="47" t="s">
        <v>149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447</v>
      </c>
      <c r="E267" s="15" t="s">
        <v>121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149</v>
      </c>
      <c r="P267" s="47">
        <f>HEX2DEC(RIGHT(Table1323214[[#This Row],[h1]],8))</f>
        <v>0</v>
      </c>
      <c r="Q267" s="47" t="s">
        <v>149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448</v>
      </c>
      <c r="E268" s="15" t="s">
        <v>122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149</v>
      </c>
      <c r="P268" s="47">
        <f>HEX2DEC(RIGHT(Table1323214[[#This Row],[h1]],8))</f>
        <v>0</v>
      </c>
      <c r="Q268" s="47" t="s">
        <v>149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449</v>
      </c>
      <c r="E269" s="15" t="s">
        <v>123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149</v>
      </c>
      <c r="P269" s="47">
        <f>HEX2DEC(RIGHT(Table1323214[[#This Row],[h1]],8))</f>
        <v>0</v>
      </c>
      <c r="Q269" s="47" t="s">
        <v>149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450</v>
      </c>
      <c r="E270" s="15" t="s">
        <v>124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149</v>
      </c>
      <c r="P270" s="47">
        <f>HEX2DEC(RIGHT(Table1323214[[#This Row],[h1]],8))</f>
        <v>0</v>
      </c>
      <c r="Q270" s="47" t="s">
        <v>149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451</v>
      </c>
      <c r="E271" s="15" t="s">
        <v>125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149</v>
      </c>
      <c r="P271" s="47">
        <f>HEX2DEC(RIGHT(Table1323214[[#This Row],[h1]],8))</f>
        <v>0</v>
      </c>
      <c r="Q271" s="47" t="s">
        <v>149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452</v>
      </c>
      <c r="E272" s="15" t="s">
        <v>126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149</v>
      </c>
      <c r="P272" s="47">
        <f>HEX2DEC(RIGHT(Table1323214[[#This Row],[h1]],8))</f>
        <v>0</v>
      </c>
      <c r="Q272" s="47" t="s">
        <v>149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453</v>
      </c>
      <c r="E273" s="15" t="s">
        <v>127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149</v>
      </c>
      <c r="P273" s="47">
        <f>HEX2DEC(RIGHT(Table1323214[[#This Row],[h1]],8))</f>
        <v>0</v>
      </c>
      <c r="Q273" s="47" t="s">
        <v>149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454</v>
      </c>
      <c r="E274" s="15" t="s">
        <v>128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149</v>
      </c>
      <c r="P274" s="47">
        <f>HEX2DEC(RIGHT(Table1323214[[#This Row],[h1]],8))</f>
        <v>0</v>
      </c>
      <c r="Q274" s="47" t="s">
        <v>149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455</v>
      </c>
      <c r="E275" s="15" t="s">
        <v>129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149</v>
      </c>
      <c r="P275" s="47">
        <f>HEX2DEC(RIGHT(Table1323214[[#This Row],[h1]],8))</f>
        <v>0</v>
      </c>
      <c r="Q275" s="47" t="s">
        <v>149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456</v>
      </c>
      <c r="E276" s="15" t="s">
        <v>130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149</v>
      </c>
      <c r="P276" s="47">
        <f>HEX2DEC(RIGHT(Table1323214[[#This Row],[h1]],8))</f>
        <v>0</v>
      </c>
      <c r="Q276" s="47" t="s">
        <v>149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457</v>
      </c>
      <c r="E277" s="15" t="s">
        <v>131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149</v>
      </c>
      <c r="P277" s="47">
        <f>HEX2DEC(RIGHT(Table1323214[[#This Row],[h1]],8))</f>
        <v>0</v>
      </c>
      <c r="Q277" s="47" t="s">
        <v>149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458</v>
      </c>
      <c r="E278" s="15" t="s">
        <v>132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149</v>
      </c>
      <c r="P278" s="47">
        <f>HEX2DEC(RIGHT(Table1323214[[#This Row],[h1]],8))</f>
        <v>0</v>
      </c>
      <c r="Q278" s="47" t="s">
        <v>149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459</v>
      </c>
      <c r="E279" s="15" t="s">
        <v>133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149</v>
      </c>
      <c r="P279" s="47">
        <f>HEX2DEC(RIGHT(Table1323214[[#This Row],[h1]],8))</f>
        <v>0</v>
      </c>
      <c r="Q279" s="47" t="s">
        <v>149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460</v>
      </c>
      <c r="E280" s="15" t="s">
        <v>134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149</v>
      </c>
      <c r="P280" s="47">
        <f>HEX2DEC(RIGHT(Table1323214[[#This Row],[h1]],8))</f>
        <v>0</v>
      </c>
      <c r="Q280" s="47" t="s">
        <v>149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461</v>
      </c>
      <c r="E281" s="15" t="s">
        <v>135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149</v>
      </c>
      <c r="P281" s="47">
        <f>HEX2DEC(RIGHT(Table1323214[[#This Row],[h1]],8))</f>
        <v>0</v>
      </c>
      <c r="Q281" s="47" t="s">
        <v>149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462</v>
      </c>
      <c r="E282" s="15" t="s">
        <v>136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149</v>
      </c>
      <c r="P282" s="47">
        <f>HEX2DEC(RIGHT(Table1323214[[#This Row],[h1]],8))</f>
        <v>0</v>
      </c>
      <c r="Q282" s="47" t="s">
        <v>149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149</v>
      </c>
      <c r="P283" s="47">
        <f>HEX2DEC(RIGHT(Table1323214[[#This Row],[h1]],8))</f>
        <v>0</v>
      </c>
      <c r="Q283" s="47" t="s">
        <v>149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463</v>
      </c>
      <c r="E284" s="15" t="s">
        <v>106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149</v>
      </c>
      <c r="P284" s="47">
        <f>HEX2DEC(RIGHT(Table1323214[[#This Row],[h1]],8))</f>
        <v>0</v>
      </c>
      <c r="Q284" s="47" t="s">
        <v>149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464</v>
      </c>
      <c r="E285" s="15" t="s">
        <v>107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149</v>
      </c>
      <c r="P285" s="47">
        <f>HEX2DEC(RIGHT(Table1323214[[#This Row],[h1]],8))</f>
        <v>0</v>
      </c>
      <c r="Q285" s="47" t="s">
        <v>149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465</v>
      </c>
      <c r="E286" s="15" t="s">
        <v>108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149</v>
      </c>
      <c r="P286" s="47">
        <f>HEX2DEC(RIGHT(Table1323214[[#This Row],[h1]],8))</f>
        <v>0</v>
      </c>
      <c r="Q286" s="47" t="s">
        <v>149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466</v>
      </c>
      <c r="E287" s="15" t="s">
        <v>109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149</v>
      </c>
      <c r="P287" s="47">
        <f>HEX2DEC(RIGHT(Table1323214[[#This Row],[h1]],8))</f>
        <v>0</v>
      </c>
      <c r="Q287" s="47" t="s">
        <v>149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467</v>
      </c>
      <c r="E288" s="15" t="s">
        <v>110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149</v>
      </c>
      <c r="P288" s="47">
        <f>HEX2DEC(RIGHT(Table1323214[[#This Row],[h1]],8))</f>
        <v>0</v>
      </c>
      <c r="Q288" s="47" t="s">
        <v>149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468</v>
      </c>
      <c r="E289" s="15" t="s">
        <v>111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149</v>
      </c>
      <c r="P289" s="47">
        <f>HEX2DEC(RIGHT(Table1323214[[#This Row],[h1]],8))</f>
        <v>0</v>
      </c>
      <c r="Q289" s="47" t="s">
        <v>149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469</v>
      </c>
      <c r="E290" s="15" t="s">
        <v>112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149</v>
      </c>
      <c r="P290" s="47">
        <f>HEX2DEC(RIGHT(Table1323214[[#This Row],[h1]],8))</f>
        <v>0</v>
      </c>
      <c r="Q290" s="47" t="s">
        <v>149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470</v>
      </c>
      <c r="E291" s="15" t="s">
        <v>113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149</v>
      </c>
      <c r="P291" s="47">
        <f>HEX2DEC(RIGHT(Table1323214[[#This Row],[h1]],8))</f>
        <v>0</v>
      </c>
      <c r="Q291" s="47" t="s">
        <v>149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471</v>
      </c>
      <c r="E292" s="15" t="s">
        <v>114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149</v>
      </c>
      <c r="P292" s="47">
        <f>HEX2DEC(RIGHT(Table1323214[[#This Row],[h1]],8))</f>
        <v>0</v>
      </c>
      <c r="Q292" s="47" t="s">
        <v>149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472</v>
      </c>
      <c r="E293" s="15" t="s">
        <v>115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149</v>
      </c>
      <c r="P293" s="47">
        <f>HEX2DEC(RIGHT(Table1323214[[#This Row],[h1]],8))</f>
        <v>0</v>
      </c>
      <c r="Q293" s="47" t="s">
        <v>149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473</v>
      </c>
      <c r="E294" s="15" t="s">
        <v>116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149</v>
      </c>
      <c r="P294" s="47">
        <f>HEX2DEC(RIGHT(Table1323214[[#This Row],[h1]],8))</f>
        <v>0</v>
      </c>
      <c r="Q294" s="47" t="s">
        <v>149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474</v>
      </c>
      <c r="E295" s="15" t="s">
        <v>117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149</v>
      </c>
      <c r="P295" s="47">
        <f>HEX2DEC(RIGHT(Table1323214[[#This Row],[h1]],8))</f>
        <v>0</v>
      </c>
      <c r="Q295" s="47" t="s">
        <v>149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475</v>
      </c>
      <c r="E296" s="15" t="s">
        <v>118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149</v>
      </c>
      <c r="P296" s="47">
        <f>HEX2DEC(RIGHT(Table1323214[[#This Row],[h1]],8))</f>
        <v>0</v>
      </c>
      <c r="Q296" s="47" t="s">
        <v>149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476</v>
      </c>
      <c r="E297" s="15" t="s">
        <v>119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149</v>
      </c>
      <c r="P297" s="47">
        <f>HEX2DEC(RIGHT(Table1323214[[#This Row],[h1]],8))</f>
        <v>0</v>
      </c>
      <c r="Q297" s="47" t="s">
        <v>149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477</v>
      </c>
      <c r="E298" s="15" t="s">
        <v>120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149</v>
      </c>
      <c r="P298" s="47">
        <f>HEX2DEC(RIGHT(Table1323214[[#This Row],[h1]],8))</f>
        <v>0</v>
      </c>
      <c r="Q298" s="47" t="s">
        <v>149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478</v>
      </c>
      <c r="E299" s="15" t="s">
        <v>121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149</v>
      </c>
      <c r="P299" s="47">
        <f>HEX2DEC(RIGHT(Table1323214[[#This Row],[h1]],8))</f>
        <v>0</v>
      </c>
      <c r="Q299" s="47" t="s">
        <v>149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479</v>
      </c>
      <c r="E300" s="15" t="s">
        <v>122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149</v>
      </c>
      <c r="P300" s="47">
        <f>HEX2DEC(RIGHT(Table1323214[[#This Row],[h1]],8))</f>
        <v>0</v>
      </c>
      <c r="Q300" s="47" t="s">
        <v>149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480</v>
      </c>
      <c r="E301" s="15" t="s">
        <v>123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149</v>
      </c>
      <c r="P301" s="47">
        <f>HEX2DEC(RIGHT(Table1323214[[#This Row],[h1]],8))</f>
        <v>0</v>
      </c>
      <c r="Q301" s="47" t="s">
        <v>149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481</v>
      </c>
      <c r="E302" s="15" t="s">
        <v>124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149</v>
      </c>
      <c r="P302" s="47">
        <f>HEX2DEC(RIGHT(Table1323214[[#This Row],[h1]],8))</f>
        <v>0</v>
      </c>
      <c r="Q302" s="47" t="s">
        <v>149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482</v>
      </c>
      <c r="E303" s="15" t="s">
        <v>125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149</v>
      </c>
      <c r="P303" s="47">
        <f>HEX2DEC(RIGHT(Table1323214[[#This Row],[h1]],8))</f>
        <v>0</v>
      </c>
      <c r="Q303" s="47" t="s">
        <v>149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483</v>
      </c>
      <c r="E304" s="15" t="s">
        <v>126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149</v>
      </c>
      <c r="P304" s="47">
        <f>HEX2DEC(RIGHT(Table1323214[[#This Row],[h1]],8))</f>
        <v>0</v>
      </c>
      <c r="Q304" s="47" t="s">
        <v>149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484</v>
      </c>
      <c r="E305" s="15" t="s">
        <v>127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149</v>
      </c>
      <c r="P305" s="47">
        <f>HEX2DEC(RIGHT(Table1323214[[#This Row],[h1]],8))</f>
        <v>0</v>
      </c>
      <c r="Q305" s="47" t="s">
        <v>149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485</v>
      </c>
      <c r="E306" s="15" t="s">
        <v>128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149</v>
      </c>
      <c r="P306" s="47">
        <f>HEX2DEC(RIGHT(Table1323214[[#This Row],[h1]],8))</f>
        <v>0</v>
      </c>
      <c r="Q306" s="47" t="s">
        <v>149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486</v>
      </c>
      <c r="E307" s="15" t="s">
        <v>129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149</v>
      </c>
      <c r="P307" s="47">
        <f>HEX2DEC(RIGHT(Table1323214[[#This Row],[h1]],8))</f>
        <v>0</v>
      </c>
      <c r="Q307" s="47" t="s">
        <v>149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487</v>
      </c>
      <c r="E308" s="15" t="s">
        <v>130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149</v>
      </c>
      <c r="P308" s="47">
        <f>HEX2DEC(RIGHT(Table1323214[[#This Row],[h1]],8))</f>
        <v>0</v>
      </c>
      <c r="Q308" s="47" t="s">
        <v>149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488</v>
      </c>
      <c r="E309" s="15" t="s">
        <v>131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149</v>
      </c>
      <c r="P309" s="47">
        <f>HEX2DEC(RIGHT(Table1323214[[#This Row],[h1]],8))</f>
        <v>0</v>
      </c>
      <c r="Q309" s="47" t="s">
        <v>149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489</v>
      </c>
      <c r="E310" s="15" t="s">
        <v>132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149</v>
      </c>
      <c r="P310" s="47">
        <f>HEX2DEC(RIGHT(Table1323214[[#This Row],[h1]],8))</f>
        <v>0</v>
      </c>
      <c r="Q310" s="47" t="s">
        <v>149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490</v>
      </c>
      <c r="E311" s="15" t="s">
        <v>133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149</v>
      </c>
      <c r="P311" s="47">
        <f>HEX2DEC(RIGHT(Table1323214[[#This Row],[h1]],8))</f>
        <v>0</v>
      </c>
      <c r="Q311" s="47" t="s">
        <v>149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491</v>
      </c>
      <c r="E312" s="15" t="s">
        <v>134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149</v>
      </c>
      <c r="P312" s="47">
        <f>HEX2DEC(RIGHT(Table1323214[[#This Row],[h1]],8))</f>
        <v>0</v>
      </c>
      <c r="Q312" s="47" t="s">
        <v>149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492</v>
      </c>
      <c r="E313" s="15" t="s">
        <v>135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149</v>
      </c>
      <c r="P313" s="47">
        <f>HEX2DEC(RIGHT(Table1323214[[#This Row],[h1]],8))</f>
        <v>0</v>
      </c>
      <c r="Q313" s="47" t="s">
        <v>149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493</v>
      </c>
      <c r="E314" s="15" t="s">
        <v>136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149</v>
      </c>
      <c r="P314" s="47">
        <f>HEX2DEC(RIGHT(Table1323214[[#This Row],[h1]],8))</f>
        <v>0</v>
      </c>
      <c r="Q314" s="47" t="s">
        <v>149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149</v>
      </c>
      <c r="P315" s="47">
        <f>HEX2DEC(RIGHT(Table1323214[[#This Row],[h1]],8))</f>
        <v>0</v>
      </c>
      <c r="Q315" s="47" t="s">
        <v>149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494</v>
      </c>
      <c r="E316" s="15" t="s">
        <v>106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149</v>
      </c>
      <c r="P316" s="47">
        <f>HEX2DEC(RIGHT(Table1323214[[#This Row],[h1]],8))</f>
        <v>0</v>
      </c>
      <c r="Q316" s="47" t="s">
        <v>149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495</v>
      </c>
      <c r="E317" s="15" t="s">
        <v>107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149</v>
      </c>
      <c r="P317" s="47">
        <f>HEX2DEC(RIGHT(Table1323214[[#This Row],[h1]],8))</f>
        <v>0</v>
      </c>
      <c r="Q317" s="47" t="s">
        <v>149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496</v>
      </c>
      <c r="E318" s="15" t="s">
        <v>108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149</v>
      </c>
      <c r="P318" s="47">
        <f>HEX2DEC(RIGHT(Table1323214[[#This Row],[h1]],8))</f>
        <v>0</v>
      </c>
      <c r="Q318" s="47" t="s">
        <v>149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497</v>
      </c>
      <c r="E319" s="15" t="s">
        <v>109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149</v>
      </c>
      <c r="P319" s="47">
        <f>HEX2DEC(RIGHT(Table1323214[[#This Row],[h1]],8))</f>
        <v>0</v>
      </c>
      <c r="Q319" s="47" t="s">
        <v>149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498</v>
      </c>
      <c r="E320" s="15" t="s">
        <v>110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149</v>
      </c>
      <c r="P320" s="47">
        <f>HEX2DEC(RIGHT(Table1323214[[#This Row],[h1]],8))</f>
        <v>0</v>
      </c>
      <c r="Q320" s="47" t="s">
        <v>149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499</v>
      </c>
      <c r="E321" s="15" t="s">
        <v>111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149</v>
      </c>
      <c r="P321" s="47">
        <f>HEX2DEC(RIGHT(Table1323214[[#This Row],[h1]],8))</f>
        <v>0</v>
      </c>
      <c r="Q321" s="47" t="s">
        <v>149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500</v>
      </c>
      <c r="E322" s="15" t="s">
        <v>112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149</v>
      </c>
      <c r="P322" s="47">
        <f>HEX2DEC(RIGHT(Table1323214[[#This Row],[h1]],8))</f>
        <v>0</v>
      </c>
      <c r="Q322" s="47" t="s">
        <v>149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501</v>
      </c>
      <c r="E323" s="15" t="s">
        <v>113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149</v>
      </c>
      <c r="P323" s="47">
        <f>HEX2DEC(RIGHT(Table1323214[[#This Row],[h1]],8))</f>
        <v>0</v>
      </c>
      <c r="Q323" s="47" t="s">
        <v>149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502</v>
      </c>
      <c r="E324" s="15" t="s">
        <v>114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149</v>
      </c>
      <c r="P324" s="47">
        <f>HEX2DEC(RIGHT(Table1323214[[#This Row],[h1]],8))</f>
        <v>0</v>
      </c>
      <c r="Q324" s="47" t="s">
        <v>149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503</v>
      </c>
      <c r="E325" s="15" t="s">
        <v>115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149</v>
      </c>
      <c r="P325" s="47">
        <f>HEX2DEC(RIGHT(Table1323214[[#This Row],[h1]],8))</f>
        <v>0</v>
      </c>
      <c r="Q325" s="47" t="s">
        <v>149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504</v>
      </c>
      <c r="E326" s="15" t="s">
        <v>116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149</v>
      </c>
      <c r="P326" s="47">
        <f>HEX2DEC(RIGHT(Table1323214[[#This Row],[h1]],8))</f>
        <v>0</v>
      </c>
      <c r="Q326" s="47" t="s">
        <v>149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505</v>
      </c>
      <c r="E327" s="15" t="s">
        <v>117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149</v>
      </c>
      <c r="P327" s="47">
        <f>HEX2DEC(RIGHT(Table1323214[[#This Row],[h1]],8))</f>
        <v>0</v>
      </c>
      <c r="Q327" s="47" t="s">
        <v>149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506</v>
      </c>
      <c r="E328" s="15" t="s">
        <v>118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149</v>
      </c>
      <c r="P328" s="47">
        <f>HEX2DEC(RIGHT(Table1323214[[#This Row],[h1]],8))</f>
        <v>0</v>
      </c>
      <c r="Q328" s="47" t="s">
        <v>149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507</v>
      </c>
      <c r="E329" s="15" t="s">
        <v>119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149</v>
      </c>
      <c r="P329" s="47">
        <f>HEX2DEC(RIGHT(Table1323214[[#This Row],[h1]],8))</f>
        <v>0</v>
      </c>
      <c r="Q329" s="47" t="s">
        <v>149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508</v>
      </c>
      <c r="E330" s="15" t="s">
        <v>120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149</v>
      </c>
      <c r="P330" s="47">
        <f>HEX2DEC(RIGHT(Table1323214[[#This Row],[h1]],8))</f>
        <v>0</v>
      </c>
      <c r="Q330" s="47" t="s">
        <v>149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509</v>
      </c>
      <c r="E331" s="15" t="s">
        <v>121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149</v>
      </c>
      <c r="P331" s="47">
        <f>HEX2DEC(RIGHT(Table1323214[[#This Row],[h1]],8))</f>
        <v>0</v>
      </c>
      <c r="Q331" s="47" t="s">
        <v>149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510</v>
      </c>
      <c r="E332" s="15" t="s">
        <v>122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149</v>
      </c>
      <c r="P332" s="47">
        <f>HEX2DEC(RIGHT(Table1323214[[#This Row],[h1]],8))</f>
        <v>0</v>
      </c>
      <c r="Q332" s="47" t="s">
        <v>149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511</v>
      </c>
      <c r="E333" s="15" t="s">
        <v>123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149</v>
      </c>
      <c r="P333" s="47">
        <f>HEX2DEC(RIGHT(Table1323214[[#This Row],[h1]],8))</f>
        <v>0</v>
      </c>
      <c r="Q333" s="47" t="s">
        <v>149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512</v>
      </c>
      <c r="E334" s="15" t="s">
        <v>124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149</v>
      </c>
      <c r="P334" s="47">
        <f>HEX2DEC(RIGHT(Table1323214[[#This Row],[h1]],8))</f>
        <v>0</v>
      </c>
      <c r="Q334" s="47" t="s">
        <v>149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513</v>
      </c>
      <c r="E335" s="15" t="s">
        <v>125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149</v>
      </c>
      <c r="P335" s="47">
        <f>HEX2DEC(RIGHT(Table1323214[[#This Row],[h1]],8))</f>
        <v>0</v>
      </c>
      <c r="Q335" s="47" t="s">
        <v>149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514</v>
      </c>
      <c r="E336" s="15" t="s">
        <v>126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149</v>
      </c>
      <c r="P336" s="47">
        <f>HEX2DEC(RIGHT(Table1323214[[#This Row],[h1]],8))</f>
        <v>0</v>
      </c>
      <c r="Q336" s="47" t="s">
        <v>149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515</v>
      </c>
      <c r="E337" s="15" t="s">
        <v>127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149</v>
      </c>
      <c r="P337" s="47">
        <f>HEX2DEC(RIGHT(Table1323214[[#This Row],[h1]],8))</f>
        <v>0</v>
      </c>
      <c r="Q337" s="47" t="s">
        <v>149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516</v>
      </c>
      <c r="E338" s="15" t="s">
        <v>128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149</v>
      </c>
      <c r="P338" s="47">
        <f>HEX2DEC(RIGHT(Table1323214[[#This Row],[h1]],8))</f>
        <v>0</v>
      </c>
      <c r="Q338" s="47" t="s">
        <v>149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517</v>
      </c>
      <c r="E339" s="15" t="s">
        <v>129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149</v>
      </c>
      <c r="P339" s="47">
        <f>HEX2DEC(RIGHT(Table1323214[[#This Row],[h1]],8))</f>
        <v>0</v>
      </c>
      <c r="Q339" s="47" t="s">
        <v>149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518</v>
      </c>
      <c r="E340" s="15" t="s">
        <v>130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149</v>
      </c>
      <c r="P340" s="47">
        <f>HEX2DEC(RIGHT(Table1323214[[#This Row],[h1]],8))</f>
        <v>0</v>
      </c>
      <c r="Q340" s="47" t="s">
        <v>149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519</v>
      </c>
      <c r="E341" s="15" t="s">
        <v>131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149</v>
      </c>
      <c r="P341" s="47">
        <f>HEX2DEC(RIGHT(Table1323214[[#This Row],[h1]],8))</f>
        <v>0</v>
      </c>
      <c r="Q341" s="47" t="s">
        <v>149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520</v>
      </c>
      <c r="E342" s="15" t="s">
        <v>132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149</v>
      </c>
      <c r="P342" s="47">
        <f>HEX2DEC(RIGHT(Table1323214[[#This Row],[h1]],8))</f>
        <v>0</v>
      </c>
      <c r="Q342" s="47" t="s">
        <v>149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521</v>
      </c>
      <c r="E343" s="15" t="s">
        <v>133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149</v>
      </c>
      <c r="P343" s="47">
        <f>HEX2DEC(RIGHT(Table1323214[[#This Row],[h1]],8))</f>
        <v>0</v>
      </c>
      <c r="Q343" s="47" t="s">
        <v>149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522</v>
      </c>
      <c r="E344" s="15" t="s">
        <v>134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149</v>
      </c>
      <c r="P344" s="47">
        <f>HEX2DEC(RIGHT(Table1323214[[#This Row],[h1]],8))</f>
        <v>0</v>
      </c>
      <c r="Q344" s="47" t="s">
        <v>149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523</v>
      </c>
      <c r="E345" s="15" t="s">
        <v>135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149</v>
      </c>
      <c r="P345" s="47">
        <f>HEX2DEC(RIGHT(Table1323214[[#This Row],[h1]],8))</f>
        <v>0</v>
      </c>
      <c r="Q345" s="47" t="s">
        <v>149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524</v>
      </c>
      <c r="E346" s="15" t="s">
        <v>136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149</v>
      </c>
      <c r="P346" s="47">
        <f>HEX2DEC(RIGHT(Table1323214[[#This Row],[h1]],8))</f>
        <v>0</v>
      </c>
      <c r="Q346" s="47" t="s">
        <v>149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149</v>
      </c>
      <c r="P347" s="47">
        <f>HEX2DEC(RIGHT(Table1323214[[#This Row],[h1]],8))</f>
        <v>0</v>
      </c>
      <c r="Q347" s="47" t="s">
        <v>149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525</v>
      </c>
      <c r="E348" s="15" t="s">
        <v>106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149</v>
      </c>
      <c r="P348" s="47">
        <f>HEX2DEC(RIGHT(Table1323214[[#This Row],[h1]],8))</f>
        <v>0</v>
      </c>
      <c r="Q348" s="47" t="s">
        <v>149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526</v>
      </c>
      <c r="E349" s="15" t="s">
        <v>107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149</v>
      </c>
      <c r="P349" s="47">
        <f>HEX2DEC(RIGHT(Table1323214[[#This Row],[h1]],8))</f>
        <v>0</v>
      </c>
      <c r="Q349" s="47" t="s">
        <v>149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527</v>
      </c>
      <c r="E350" s="15" t="s">
        <v>108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149</v>
      </c>
      <c r="P350" s="47">
        <f>HEX2DEC(RIGHT(Table1323214[[#This Row],[h1]],8))</f>
        <v>0</v>
      </c>
      <c r="Q350" s="47" t="s">
        <v>149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528</v>
      </c>
      <c r="E351" s="15" t="s">
        <v>109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149</v>
      </c>
      <c r="P351" s="47">
        <f>HEX2DEC(RIGHT(Table1323214[[#This Row],[h1]],8))</f>
        <v>0</v>
      </c>
      <c r="Q351" s="47" t="s">
        <v>149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529</v>
      </c>
      <c r="E352" s="15" t="s">
        <v>110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149</v>
      </c>
      <c r="P352" s="47">
        <f>HEX2DEC(RIGHT(Table1323214[[#This Row],[h1]],8))</f>
        <v>0</v>
      </c>
      <c r="Q352" s="47" t="s">
        <v>149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530</v>
      </c>
      <c r="E353" s="15" t="s">
        <v>111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149</v>
      </c>
      <c r="P353" s="47">
        <f>HEX2DEC(RIGHT(Table1323214[[#This Row],[h1]],8))</f>
        <v>0</v>
      </c>
      <c r="Q353" s="47" t="s">
        <v>149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531</v>
      </c>
      <c r="E354" s="15" t="s">
        <v>112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149</v>
      </c>
      <c r="P354" s="47">
        <f>HEX2DEC(RIGHT(Table1323214[[#This Row],[h1]],8))</f>
        <v>0</v>
      </c>
      <c r="Q354" s="47" t="s">
        <v>149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532</v>
      </c>
      <c r="E355" s="15" t="s">
        <v>113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149</v>
      </c>
      <c r="P355" s="47">
        <f>HEX2DEC(RIGHT(Table1323214[[#This Row],[h1]],8))</f>
        <v>0</v>
      </c>
      <c r="Q355" s="47" t="s">
        <v>149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533</v>
      </c>
      <c r="E356" s="15" t="s">
        <v>114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149</v>
      </c>
      <c r="P356" s="47">
        <f>HEX2DEC(RIGHT(Table1323214[[#This Row],[h1]],8))</f>
        <v>0</v>
      </c>
      <c r="Q356" s="47" t="s">
        <v>149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534</v>
      </c>
      <c r="E357" s="15" t="s">
        <v>115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149</v>
      </c>
      <c r="P357" s="47">
        <f>HEX2DEC(RIGHT(Table1323214[[#This Row],[h1]],8))</f>
        <v>0</v>
      </c>
      <c r="Q357" s="47" t="s">
        <v>149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535</v>
      </c>
      <c r="E358" s="15" t="s">
        <v>116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149</v>
      </c>
      <c r="P358" s="47">
        <f>HEX2DEC(RIGHT(Table1323214[[#This Row],[h1]],8))</f>
        <v>0</v>
      </c>
      <c r="Q358" s="47" t="s">
        <v>149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536</v>
      </c>
      <c r="E359" s="15" t="s">
        <v>117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149</v>
      </c>
      <c r="P359" s="47">
        <f>HEX2DEC(RIGHT(Table1323214[[#This Row],[h1]],8))</f>
        <v>0</v>
      </c>
      <c r="Q359" s="47" t="s">
        <v>149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537</v>
      </c>
      <c r="E360" s="15" t="s">
        <v>118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149</v>
      </c>
      <c r="P360" s="47">
        <f>HEX2DEC(RIGHT(Table1323214[[#This Row],[h1]],8))</f>
        <v>0</v>
      </c>
      <c r="Q360" s="47" t="s">
        <v>149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538</v>
      </c>
      <c r="E361" s="15" t="s">
        <v>119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149</v>
      </c>
      <c r="P361" s="47">
        <f>HEX2DEC(RIGHT(Table1323214[[#This Row],[h1]],8))</f>
        <v>0</v>
      </c>
      <c r="Q361" s="47" t="s">
        <v>149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539</v>
      </c>
      <c r="E362" s="15" t="s">
        <v>120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149</v>
      </c>
      <c r="P362" s="47">
        <f>HEX2DEC(RIGHT(Table1323214[[#This Row],[h1]],8))</f>
        <v>0</v>
      </c>
      <c r="Q362" s="47" t="s">
        <v>149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540</v>
      </c>
      <c r="E363" s="15" t="s">
        <v>121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149</v>
      </c>
      <c r="P363" s="47">
        <f>HEX2DEC(RIGHT(Table1323214[[#This Row],[h1]],8))</f>
        <v>0</v>
      </c>
      <c r="Q363" s="47" t="s">
        <v>149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541</v>
      </c>
      <c r="E364" s="15" t="s">
        <v>122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149</v>
      </c>
      <c r="P364" s="47">
        <f>HEX2DEC(RIGHT(Table1323214[[#This Row],[h1]],8))</f>
        <v>0</v>
      </c>
      <c r="Q364" s="47" t="s">
        <v>149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542</v>
      </c>
      <c r="E365" s="15" t="s">
        <v>123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149</v>
      </c>
      <c r="P365" s="47">
        <f>HEX2DEC(RIGHT(Table1323214[[#This Row],[h1]],8))</f>
        <v>0</v>
      </c>
      <c r="Q365" s="47" t="s">
        <v>149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543</v>
      </c>
      <c r="E366" s="15" t="s">
        <v>124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149</v>
      </c>
      <c r="P366" s="47">
        <f>HEX2DEC(RIGHT(Table1323214[[#This Row],[h1]],8))</f>
        <v>0</v>
      </c>
      <c r="Q366" s="47" t="s">
        <v>149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544</v>
      </c>
      <c r="E367" s="15" t="s">
        <v>125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149</v>
      </c>
      <c r="P367" s="47">
        <f>HEX2DEC(RIGHT(Table1323214[[#This Row],[h1]],8))</f>
        <v>0</v>
      </c>
      <c r="Q367" s="47" t="s">
        <v>149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545</v>
      </c>
      <c r="E368" s="15" t="s">
        <v>126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149</v>
      </c>
      <c r="P368" s="47">
        <f>HEX2DEC(RIGHT(Table1323214[[#This Row],[h1]],8))</f>
        <v>0</v>
      </c>
      <c r="Q368" s="47" t="s">
        <v>149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546</v>
      </c>
      <c r="E369" s="15" t="s">
        <v>127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149</v>
      </c>
      <c r="P369" s="47">
        <f>HEX2DEC(RIGHT(Table1323214[[#This Row],[h1]],8))</f>
        <v>0</v>
      </c>
      <c r="Q369" s="47" t="s">
        <v>149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547</v>
      </c>
      <c r="E370" s="15" t="s">
        <v>128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149</v>
      </c>
      <c r="P370" s="47">
        <f>HEX2DEC(RIGHT(Table1323214[[#This Row],[h1]],8))</f>
        <v>0</v>
      </c>
      <c r="Q370" s="47" t="s">
        <v>149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548</v>
      </c>
      <c r="E371" s="15" t="s">
        <v>129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149</v>
      </c>
      <c r="P371" s="47">
        <f>HEX2DEC(RIGHT(Table1323214[[#This Row],[h1]],8))</f>
        <v>0</v>
      </c>
      <c r="Q371" s="47" t="s">
        <v>149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549</v>
      </c>
      <c r="E372" s="15" t="s">
        <v>130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149</v>
      </c>
      <c r="P372" s="47">
        <f>HEX2DEC(RIGHT(Table1323214[[#This Row],[h1]],8))</f>
        <v>0</v>
      </c>
      <c r="Q372" s="47" t="s">
        <v>149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550</v>
      </c>
      <c r="E373" s="15" t="s">
        <v>131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149</v>
      </c>
      <c r="P373" s="47">
        <f>HEX2DEC(RIGHT(Table1323214[[#This Row],[h1]],8))</f>
        <v>0</v>
      </c>
      <c r="Q373" s="47" t="s">
        <v>149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551</v>
      </c>
      <c r="E374" s="15" t="s">
        <v>132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149</v>
      </c>
      <c r="P374" s="47">
        <f>HEX2DEC(RIGHT(Table1323214[[#This Row],[h1]],8))</f>
        <v>0</v>
      </c>
      <c r="Q374" s="47" t="s">
        <v>149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552</v>
      </c>
      <c r="E375" s="15" t="s">
        <v>133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149</v>
      </c>
      <c r="P375" s="47">
        <f>HEX2DEC(RIGHT(Table1323214[[#This Row],[h1]],8))</f>
        <v>0</v>
      </c>
      <c r="Q375" s="47" t="s">
        <v>149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553</v>
      </c>
      <c r="E376" s="15" t="s">
        <v>134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149</v>
      </c>
      <c r="P376" s="47">
        <f>HEX2DEC(RIGHT(Table1323214[[#This Row],[h1]],8))</f>
        <v>0</v>
      </c>
      <c r="Q376" s="47" t="s">
        <v>149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554</v>
      </c>
      <c r="E377" s="15" t="s">
        <v>135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149</v>
      </c>
      <c r="P377" s="47">
        <f>HEX2DEC(RIGHT(Table1323214[[#This Row],[h1]],8))</f>
        <v>0</v>
      </c>
      <c r="Q377" s="47" t="s">
        <v>149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555</v>
      </c>
      <c r="E378" s="15" t="s">
        <v>136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149</v>
      </c>
      <c r="P378" s="47">
        <f>HEX2DEC(RIGHT(Table1323214[[#This Row],[h1]],8))</f>
        <v>0</v>
      </c>
      <c r="Q378" s="47" t="s">
        <v>149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149</v>
      </c>
      <c r="P379" s="47">
        <f>HEX2DEC(RIGHT(Table1323214[[#This Row],[h1]],8))</f>
        <v>0</v>
      </c>
      <c r="Q379" s="47" t="s">
        <v>149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556</v>
      </c>
      <c r="G380" s="15">
        <v>0</v>
      </c>
      <c r="J380" s="24">
        <v>50000</v>
      </c>
      <c r="M380" s="24">
        <v>50000</v>
      </c>
      <c r="O380" s="47" t="s">
        <v>149</v>
      </c>
      <c r="P380" s="47">
        <f>HEX2DEC(RIGHT(Table1323214[[#This Row],[h1]],8))</f>
        <v>0</v>
      </c>
      <c r="Q380" s="47" t="s">
        <v>149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557</v>
      </c>
      <c r="G381" s="15">
        <v>0</v>
      </c>
      <c r="J381" s="24">
        <v>50000</v>
      </c>
      <c r="M381" s="24">
        <v>50000</v>
      </c>
      <c r="O381" s="47" t="s">
        <v>149</v>
      </c>
      <c r="P381" s="47">
        <f>HEX2DEC(RIGHT(Table1323214[[#This Row],[h1]],8))</f>
        <v>0</v>
      </c>
      <c r="Q381" s="47" t="s">
        <v>149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558</v>
      </c>
      <c r="G382" s="15">
        <v>0</v>
      </c>
      <c r="J382" s="24">
        <v>50000</v>
      </c>
      <c r="M382" s="24">
        <v>50000</v>
      </c>
      <c r="O382" s="47" t="s">
        <v>149</v>
      </c>
      <c r="P382" s="47">
        <f>HEX2DEC(RIGHT(Table1323214[[#This Row],[h1]],8))</f>
        <v>0</v>
      </c>
      <c r="Q382" s="47" t="s">
        <v>149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559</v>
      </c>
      <c r="G383" s="15">
        <v>0</v>
      </c>
      <c r="J383" s="24">
        <v>50000</v>
      </c>
      <c r="M383" s="24">
        <v>50000</v>
      </c>
      <c r="O383" s="47" t="s">
        <v>149</v>
      </c>
      <c r="P383" s="47">
        <f>HEX2DEC(RIGHT(Table1323214[[#This Row],[h1]],8))</f>
        <v>0</v>
      </c>
      <c r="Q383" s="47" t="s">
        <v>149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560</v>
      </c>
      <c r="G384" s="15">
        <v>0</v>
      </c>
      <c r="J384" s="24">
        <v>50000</v>
      </c>
      <c r="M384" s="24">
        <v>50000</v>
      </c>
      <c r="O384" s="47" t="s">
        <v>149</v>
      </c>
      <c r="P384" s="47">
        <f>HEX2DEC(RIGHT(Table1323214[[#This Row],[h1]],8))</f>
        <v>0</v>
      </c>
      <c r="Q384" s="47" t="s">
        <v>149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561</v>
      </c>
      <c r="G385" s="15">
        <v>0</v>
      </c>
      <c r="J385" s="24">
        <v>50000</v>
      </c>
      <c r="M385" s="24">
        <v>50000</v>
      </c>
      <c r="O385" s="47" t="s">
        <v>149</v>
      </c>
      <c r="P385" s="47">
        <f>HEX2DEC(RIGHT(Table1323214[[#This Row],[h1]],8))</f>
        <v>0</v>
      </c>
      <c r="Q385" s="47" t="s">
        <v>149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562</v>
      </c>
      <c r="G386" s="15">
        <v>0</v>
      </c>
      <c r="J386" s="24">
        <v>50000</v>
      </c>
      <c r="M386" s="24">
        <v>50000</v>
      </c>
      <c r="O386" s="47" t="s">
        <v>149</v>
      </c>
      <c r="P386" s="47">
        <f>HEX2DEC(RIGHT(Table1323214[[#This Row],[h1]],8))</f>
        <v>0</v>
      </c>
      <c r="Q386" s="47" t="s">
        <v>149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149</v>
      </c>
      <c r="P387" s="47">
        <f>HEX2DEC(RIGHT(Table1323214[[#This Row],[h1]],8))</f>
        <v>0</v>
      </c>
      <c r="Q387" s="47" t="s">
        <v>149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165</v>
      </c>
      <c r="G388" s="33" t="s">
        <v>208</v>
      </c>
      <c r="J388" s="24">
        <v>50000</v>
      </c>
      <c r="M388" s="24">
        <v>50000</v>
      </c>
      <c r="O388" s="47" t="s">
        <v>149</v>
      </c>
      <c r="P388" s="47">
        <f>HEX2DEC(RIGHT(Table1323214[[#This Row],[h1]],8))</f>
        <v>0</v>
      </c>
      <c r="Q388" s="47" t="s">
        <v>149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166</v>
      </c>
      <c r="G389" s="33" t="s">
        <v>208</v>
      </c>
      <c r="J389" s="24">
        <v>50000</v>
      </c>
      <c r="M389" s="24">
        <v>50000</v>
      </c>
      <c r="O389" s="47" t="s">
        <v>149</v>
      </c>
      <c r="P389" s="47">
        <f>HEX2DEC(RIGHT(Table1323214[[#This Row],[h1]],8))</f>
        <v>0</v>
      </c>
      <c r="Q389" s="47" t="s">
        <v>149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167</v>
      </c>
      <c r="G390" s="33" t="s">
        <v>208</v>
      </c>
      <c r="J390" s="24">
        <v>50000</v>
      </c>
      <c r="M390" s="24">
        <v>50000</v>
      </c>
      <c r="O390" s="47" t="s">
        <v>149</v>
      </c>
      <c r="P390" s="47">
        <f>HEX2DEC(RIGHT(Table1323214[[#This Row],[h1]],8))</f>
        <v>0</v>
      </c>
      <c r="Q390" s="47" t="s">
        <v>149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168</v>
      </c>
      <c r="G391" s="33" t="s">
        <v>208</v>
      </c>
      <c r="J391" s="24">
        <v>50000</v>
      </c>
      <c r="M391" s="24">
        <v>50000</v>
      </c>
      <c r="O391" s="47" t="s">
        <v>149</v>
      </c>
      <c r="P391" s="47">
        <f>HEX2DEC(RIGHT(Table1323214[[#This Row],[h1]],8))</f>
        <v>0</v>
      </c>
      <c r="Q391" s="47" t="s">
        <v>149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169</v>
      </c>
      <c r="G392" s="33" t="s">
        <v>208</v>
      </c>
      <c r="J392" s="24">
        <v>50000</v>
      </c>
      <c r="M392" s="24">
        <v>50000</v>
      </c>
      <c r="O392" s="47" t="s">
        <v>149</v>
      </c>
      <c r="P392" s="47">
        <f>HEX2DEC(RIGHT(Table1323214[[#This Row],[h1]],8))</f>
        <v>0</v>
      </c>
      <c r="Q392" s="47" t="s">
        <v>149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170</v>
      </c>
      <c r="G393" s="33" t="s">
        <v>208</v>
      </c>
      <c r="J393" s="24">
        <v>50000</v>
      </c>
      <c r="M393" s="24">
        <v>50000</v>
      </c>
      <c r="O393" s="47" t="s">
        <v>149</v>
      </c>
      <c r="P393" s="47">
        <f>HEX2DEC(RIGHT(Table1323214[[#This Row],[h1]],8))</f>
        <v>0</v>
      </c>
      <c r="Q393" s="47" t="s">
        <v>149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171</v>
      </c>
      <c r="G394" s="33" t="s">
        <v>208</v>
      </c>
      <c r="J394" s="24">
        <v>50000</v>
      </c>
      <c r="M394" s="24">
        <v>50000</v>
      </c>
      <c r="O394" s="47" t="s">
        <v>149</v>
      </c>
      <c r="P394" s="47">
        <f>HEX2DEC(RIGHT(Table1323214[[#This Row],[h1]],8))</f>
        <v>0</v>
      </c>
      <c r="Q394" s="47" t="s">
        <v>149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172</v>
      </c>
      <c r="G395" s="33" t="s">
        <v>204</v>
      </c>
      <c r="J395" s="24">
        <v>50000</v>
      </c>
      <c r="M395" s="24">
        <v>50000</v>
      </c>
      <c r="O395" s="47" t="s">
        <v>149</v>
      </c>
      <c r="P395" s="47">
        <f>HEX2DEC(RIGHT(Table1323214[[#This Row],[h1]],8))</f>
        <v>0</v>
      </c>
      <c r="Q395" s="47" t="s">
        <v>149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173</v>
      </c>
      <c r="G396" s="33" t="s">
        <v>204</v>
      </c>
      <c r="J396" s="24">
        <v>50000</v>
      </c>
      <c r="M396" s="24">
        <v>50000</v>
      </c>
      <c r="O396" s="47" t="s">
        <v>149</v>
      </c>
      <c r="P396" s="47">
        <f>HEX2DEC(RIGHT(Table1323214[[#This Row],[h1]],8))</f>
        <v>0</v>
      </c>
      <c r="Q396" s="47" t="s">
        <v>149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174</v>
      </c>
      <c r="G397" s="33" t="s">
        <v>204</v>
      </c>
      <c r="J397" s="24">
        <v>50000</v>
      </c>
      <c r="M397" s="24">
        <v>50000</v>
      </c>
      <c r="O397" s="47" t="s">
        <v>149</v>
      </c>
      <c r="P397" s="47">
        <f>HEX2DEC(RIGHT(Table1323214[[#This Row],[h1]],8))</f>
        <v>0</v>
      </c>
      <c r="Q397" s="47" t="s">
        <v>149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175</v>
      </c>
      <c r="G398" s="33" t="s">
        <v>204</v>
      </c>
      <c r="J398" s="24">
        <v>50000</v>
      </c>
      <c r="M398" s="24">
        <v>50000</v>
      </c>
      <c r="O398" s="47" t="s">
        <v>149</v>
      </c>
      <c r="P398" s="47">
        <f>HEX2DEC(RIGHT(Table1323214[[#This Row],[h1]],8))</f>
        <v>0</v>
      </c>
      <c r="Q398" s="47" t="s">
        <v>149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176</v>
      </c>
      <c r="G399" s="33" t="s">
        <v>204</v>
      </c>
      <c r="J399" s="24">
        <v>50000</v>
      </c>
      <c r="M399" s="24">
        <v>50000</v>
      </c>
      <c r="O399" s="47" t="s">
        <v>149</v>
      </c>
      <c r="P399" s="47">
        <f>HEX2DEC(RIGHT(Table1323214[[#This Row],[h1]],8))</f>
        <v>0</v>
      </c>
      <c r="Q399" s="47" t="s">
        <v>149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177</v>
      </c>
      <c r="G400" s="33" t="s">
        <v>204</v>
      </c>
      <c r="J400" s="24">
        <v>50000</v>
      </c>
      <c r="M400" s="24">
        <v>50000</v>
      </c>
      <c r="O400" s="47" t="s">
        <v>149</v>
      </c>
      <c r="P400" s="47">
        <f>HEX2DEC(RIGHT(Table1323214[[#This Row],[h1]],8))</f>
        <v>0</v>
      </c>
      <c r="Q400" s="47" t="s">
        <v>149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178</v>
      </c>
      <c r="G401" s="33" t="s">
        <v>204</v>
      </c>
      <c r="J401" s="24">
        <v>50000</v>
      </c>
      <c r="M401" s="24">
        <v>50000</v>
      </c>
      <c r="O401" s="47" t="s">
        <v>149</v>
      </c>
      <c r="P401" s="47">
        <f>HEX2DEC(RIGHT(Table1323214[[#This Row],[h1]],8))</f>
        <v>0</v>
      </c>
      <c r="Q401" s="47" t="s">
        <v>149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179</v>
      </c>
      <c r="G402" s="33" t="s">
        <v>204</v>
      </c>
      <c r="J402" s="24">
        <v>50000</v>
      </c>
      <c r="M402" s="24">
        <v>50000</v>
      </c>
      <c r="O402" s="47" t="s">
        <v>149</v>
      </c>
      <c r="P402" s="47">
        <f>HEX2DEC(RIGHT(Table1323214[[#This Row],[h1]],8))</f>
        <v>0</v>
      </c>
      <c r="Q402" s="47" t="s">
        <v>149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180</v>
      </c>
      <c r="G403" s="33" t="s">
        <v>204</v>
      </c>
      <c r="J403" s="24">
        <v>50000</v>
      </c>
      <c r="M403" s="24">
        <v>50000</v>
      </c>
      <c r="O403" s="47" t="s">
        <v>149</v>
      </c>
      <c r="P403" s="47">
        <f>HEX2DEC(RIGHT(Table1323214[[#This Row],[h1]],8))</f>
        <v>0</v>
      </c>
      <c r="Q403" s="47" t="s">
        <v>149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181</v>
      </c>
      <c r="G404" s="33" t="s">
        <v>204</v>
      </c>
      <c r="J404" s="24">
        <v>50000</v>
      </c>
      <c r="M404" s="24">
        <v>50000</v>
      </c>
      <c r="O404" s="47" t="s">
        <v>149</v>
      </c>
      <c r="P404" s="47">
        <f>HEX2DEC(RIGHT(Table1323214[[#This Row],[h1]],8))</f>
        <v>0</v>
      </c>
      <c r="Q404" s="47" t="s">
        <v>149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182</v>
      </c>
      <c r="G405" s="33" t="s">
        <v>204</v>
      </c>
      <c r="J405" s="24">
        <v>50000</v>
      </c>
      <c r="M405" s="24">
        <v>50000</v>
      </c>
      <c r="O405" s="47" t="s">
        <v>149</v>
      </c>
      <c r="P405" s="47">
        <f>HEX2DEC(RIGHT(Table1323214[[#This Row],[h1]],8))</f>
        <v>0</v>
      </c>
      <c r="Q405" s="47" t="s">
        <v>149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183</v>
      </c>
      <c r="G406" s="33" t="s">
        <v>204</v>
      </c>
      <c r="J406" s="24">
        <v>50000</v>
      </c>
      <c r="M406" s="24">
        <v>50000</v>
      </c>
      <c r="O406" s="47" t="s">
        <v>149</v>
      </c>
      <c r="P406" s="47">
        <f>HEX2DEC(RIGHT(Table1323214[[#This Row],[h1]],8))</f>
        <v>0</v>
      </c>
      <c r="Q406" s="47" t="s">
        <v>149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184</v>
      </c>
      <c r="G407" s="33" t="s">
        <v>204</v>
      </c>
      <c r="J407" s="24">
        <v>50000</v>
      </c>
      <c r="M407" s="24">
        <v>50000</v>
      </c>
      <c r="O407" s="47" t="s">
        <v>149</v>
      </c>
      <c r="P407" s="47">
        <f>HEX2DEC(RIGHT(Table1323214[[#This Row],[h1]],8))</f>
        <v>0</v>
      </c>
      <c r="Q407" s="47" t="s">
        <v>149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185</v>
      </c>
      <c r="G408" s="33" t="s">
        <v>204</v>
      </c>
      <c r="J408" s="24">
        <v>50000</v>
      </c>
      <c r="M408" s="24">
        <v>50000</v>
      </c>
      <c r="O408" s="47" t="s">
        <v>149</v>
      </c>
      <c r="P408" s="47">
        <f>HEX2DEC(RIGHT(Table1323214[[#This Row],[h1]],8))</f>
        <v>0</v>
      </c>
      <c r="Q408" s="47" t="s">
        <v>149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186</v>
      </c>
      <c r="G409" s="33" t="s">
        <v>204</v>
      </c>
      <c r="J409" s="24">
        <v>50000</v>
      </c>
      <c r="M409" s="24">
        <v>50000</v>
      </c>
      <c r="O409" s="47" t="s">
        <v>149</v>
      </c>
      <c r="P409" s="47">
        <f>HEX2DEC(RIGHT(Table1323214[[#This Row],[h1]],8))</f>
        <v>0</v>
      </c>
      <c r="Q409" s="47" t="s">
        <v>149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187</v>
      </c>
      <c r="G410" s="33" t="s">
        <v>204</v>
      </c>
      <c r="J410" s="24">
        <v>50000</v>
      </c>
      <c r="M410" s="24">
        <v>50000</v>
      </c>
      <c r="O410" s="47" t="s">
        <v>149</v>
      </c>
      <c r="P410" s="47">
        <f>HEX2DEC(RIGHT(Table1323214[[#This Row],[h1]],8))</f>
        <v>0</v>
      </c>
      <c r="Q410" s="47" t="s">
        <v>149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188</v>
      </c>
      <c r="G411" s="33" t="s">
        <v>204</v>
      </c>
      <c r="J411" s="24">
        <v>50000</v>
      </c>
      <c r="M411" s="24">
        <v>50000</v>
      </c>
      <c r="O411" s="47" t="s">
        <v>149</v>
      </c>
      <c r="P411" s="47">
        <f>HEX2DEC(RIGHT(Table1323214[[#This Row],[h1]],8))</f>
        <v>0</v>
      </c>
      <c r="Q411" s="47" t="s">
        <v>149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189</v>
      </c>
      <c r="G412" s="33" t="s">
        <v>204</v>
      </c>
      <c r="J412" s="24">
        <v>50000</v>
      </c>
      <c r="M412" s="24">
        <v>50000</v>
      </c>
      <c r="O412" s="47" t="s">
        <v>149</v>
      </c>
      <c r="P412" s="47">
        <f>HEX2DEC(RIGHT(Table1323214[[#This Row],[h1]],8))</f>
        <v>0</v>
      </c>
      <c r="Q412" s="47" t="s">
        <v>149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190</v>
      </c>
      <c r="G413" s="33" t="s">
        <v>204</v>
      </c>
      <c r="J413" s="24">
        <v>50000</v>
      </c>
      <c r="M413" s="24">
        <v>50000</v>
      </c>
      <c r="O413" s="47" t="s">
        <v>149</v>
      </c>
      <c r="P413" s="47">
        <f>HEX2DEC(RIGHT(Table1323214[[#This Row],[h1]],8))</f>
        <v>0</v>
      </c>
      <c r="Q413" s="47" t="s">
        <v>149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191</v>
      </c>
      <c r="G414" s="33" t="s">
        <v>204</v>
      </c>
      <c r="J414" s="24">
        <v>50000</v>
      </c>
      <c r="M414" s="24">
        <v>50000</v>
      </c>
      <c r="O414" s="47" t="s">
        <v>149</v>
      </c>
      <c r="P414" s="47">
        <f>HEX2DEC(RIGHT(Table1323214[[#This Row],[h1]],8))</f>
        <v>0</v>
      </c>
      <c r="Q414" s="47" t="s">
        <v>149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192</v>
      </c>
      <c r="G415" s="33" t="s">
        <v>204</v>
      </c>
      <c r="J415" s="24">
        <v>50000</v>
      </c>
      <c r="M415" s="24">
        <v>50000</v>
      </c>
      <c r="O415" s="47" t="s">
        <v>149</v>
      </c>
      <c r="P415" s="47">
        <f>HEX2DEC(RIGHT(Table1323214[[#This Row],[h1]],8))</f>
        <v>0</v>
      </c>
      <c r="Q415" s="47" t="s">
        <v>149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193</v>
      </c>
      <c r="G416" s="33" t="s">
        <v>204</v>
      </c>
      <c r="J416" s="24">
        <v>50000</v>
      </c>
      <c r="M416" s="24">
        <v>50000</v>
      </c>
      <c r="O416" s="47" t="s">
        <v>149</v>
      </c>
      <c r="P416" s="47">
        <f>HEX2DEC(RIGHT(Table1323214[[#This Row],[h1]],8))</f>
        <v>0</v>
      </c>
      <c r="Q416" s="47" t="s">
        <v>149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194</v>
      </c>
      <c r="G417" s="33" t="s">
        <v>204</v>
      </c>
      <c r="J417" s="24">
        <v>50000</v>
      </c>
      <c r="M417" s="24">
        <v>50000</v>
      </c>
      <c r="O417" s="47" t="s">
        <v>149</v>
      </c>
      <c r="P417" s="47">
        <f>HEX2DEC(RIGHT(Table1323214[[#This Row],[h1]],8))</f>
        <v>0</v>
      </c>
      <c r="Q417" s="47" t="s">
        <v>149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195</v>
      </c>
      <c r="G418" s="33" t="s">
        <v>204</v>
      </c>
      <c r="J418" s="24">
        <v>50000</v>
      </c>
      <c r="M418" s="24">
        <v>50000</v>
      </c>
      <c r="O418" s="47" t="s">
        <v>149</v>
      </c>
      <c r="P418" s="47">
        <f>HEX2DEC(RIGHT(Table1323214[[#This Row],[h1]],8))</f>
        <v>0</v>
      </c>
      <c r="Q418" s="47" t="s">
        <v>149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196</v>
      </c>
      <c r="G419" s="33" t="s">
        <v>204</v>
      </c>
      <c r="J419" s="24">
        <v>50000</v>
      </c>
      <c r="M419" s="24">
        <v>50000</v>
      </c>
      <c r="O419" s="47" t="s">
        <v>149</v>
      </c>
      <c r="P419" s="47">
        <f>HEX2DEC(RIGHT(Table1323214[[#This Row],[h1]],8))</f>
        <v>0</v>
      </c>
      <c r="Q419" s="47" t="s">
        <v>149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197</v>
      </c>
      <c r="G420" s="33" t="s">
        <v>204</v>
      </c>
      <c r="J420" s="24">
        <v>50000</v>
      </c>
      <c r="M420" s="24">
        <v>50000</v>
      </c>
      <c r="O420" s="47" t="s">
        <v>149</v>
      </c>
      <c r="P420" s="47">
        <f>HEX2DEC(RIGHT(Table1323214[[#This Row],[h1]],8))</f>
        <v>0</v>
      </c>
      <c r="Q420" s="47" t="s">
        <v>149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198</v>
      </c>
      <c r="G421" s="33" t="s">
        <v>204</v>
      </c>
      <c r="J421" s="24">
        <v>50000</v>
      </c>
      <c r="M421" s="24">
        <v>50000</v>
      </c>
      <c r="O421" s="47" t="s">
        <v>149</v>
      </c>
      <c r="P421" s="47">
        <f>HEX2DEC(RIGHT(Table1323214[[#This Row],[h1]],8))</f>
        <v>0</v>
      </c>
      <c r="Q421" s="47" t="s">
        <v>149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199</v>
      </c>
      <c r="G422" s="33" t="s">
        <v>204</v>
      </c>
      <c r="J422" s="24">
        <v>50000</v>
      </c>
      <c r="M422" s="24">
        <v>50000</v>
      </c>
      <c r="O422" s="47" t="s">
        <v>149</v>
      </c>
      <c r="P422" s="47">
        <f>HEX2DEC(RIGHT(Table1323214[[#This Row],[h1]],8))</f>
        <v>0</v>
      </c>
      <c r="Q422" s="47" t="s">
        <v>149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200</v>
      </c>
      <c r="G423" s="33" t="s">
        <v>204</v>
      </c>
      <c r="J423" s="24">
        <v>50000</v>
      </c>
      <c r="M423" s="24">
        <v>50000</v>
      </c>
      <c r="O423" s="47" t="s">
        <v>149</v>
      </c>
      <c r="P423" s="47">
        <f>HEX2DEC(RIGHT(Table1323214[[#This Row],[h1]],8))</f>
        <v>0</v>
      </c>
      <c r="Q423" s="47" t="s">
        <v>149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201</v>
      </c>
      <c r="G424" s="33" t="s">
        <v>204</v>
      </c>
      <c r="J424" s="24">
        <v>50000</v>
      </c>
      <c r="M424" s="24">
        <v>50000</v>
      </c>
      <c r="O424" s="47" t="s">
        <v>149</v>
      </c>
      <c r="P424" s="47">
        <f>HEX2DEC(RIGHT(Table1323214[[#This Row],[h1]],8))</f>
        <v>0</v>
      </c>
      <c r="Q424" s="47" t="s">
        <v>149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202</v>
      </c>
      <c r="G425" s="33" t="s">
        <v>204</v>
      </c>
      <c r="J425" s="24">
        <v>50000</v>
      </c>
      <c r="M425" s="24">
        <v>50000</v>
      </c>
      <c r="O425" s="47" t="s">
        <v>149</v>
      </c>
      <c r="P425" s="47">
        <f>HEX2DEC(RIGHT(Table1323214[[#This Row],[h1]],8))</f>
        <v>0</v>
      </c>
      <c r="Q425" s="47" t="s">
        <v>149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203</v>
      </c>
      <c r="G426" s="33" t="s">
        <v>204</v>
      </c>
      <c r="J426" s="24">
        <v>50000</v>
      </c>
      <c r="M426" s="24">
        <v>50000</v>
      </c>
      <c r="O426" s="47" t="s">
        <v>149</v>
      </c>
      <c r="P426" s="47">
        <f>HEX2DEC(RIGHT(Table1323214[[#This Row],[h1]],8))</f>
        <v>0</v>
      </c>
      <c r="Q426" s="47" t="s">
        <v>149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205</v>
      </c>
      <c r="G427" s="15">
        <v>1</v>
      </c>
      <c r="J427" s="24">
        <v>50000</v>
      </c>
      <c r="M427" s="24">
        <v>50000</v>
      </c>
      <c r="O427" s="47" t="s">
        <v>149</v>
      </c>
      <c r="P427" s="47">
        <f>HEX2DEC(RIGHT(Table1323214[[#This Row],[h1]],8))</f>
        <v>0</v>
      </c>
      <c r="Q427" s="47" t="s">
        <v>149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205</v>
      </c>
      <c r="G428" s="15">
        <v>0</v>
      </c>
      <c r="J428" s="24">
        <v>50000</v>
      </c>
      <c r="M428" s="24">
        <v>50000</v>
      </c>
      <c r="O428" s="47" t="s">
        <v>149</v>
      </c>
      <c r="P428" s="47">
        <f>HEX2DEC(RIGHT(Table1323214[[#This Row],[h1]],8))</f>
        <v>0</v>
      </c>
      <c r="Q428" s="47" t="s">
        <v>149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149</v>
      </c>
      <c r="P429" s="47">
        <f>HEX2DEC(RIGHT(Table1323214[[#This Row],[h1]],8))</f>
        <v>0</v>
      </c>
      <c r="Q429" s="47" t="s">
        <v>149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149</v>
      </c>
      <c r="P430" s="47">
        <f>HEX2DEC(RIGHT(Table1323214[[#This Row],[h1]],8))</f>
        <v>0</v>
      </c>
      <c r="Q430" s="47" t="s">
        <v>149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149</v>
      </c>
      <c r="P431" s="47">
        <f>HEX2DEC(RIGHT(Table1323214[[#This Row],[h1]],8))</f>
        <v>0</v>
      </c>
      <c r="Q431" s="47" t="s">
        <v>149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149</v>
      </c>
      <c r="P432" s="47">
        <f>HEX2DEC(RIGHT(Table1323214[[#This Row],[h1]],8))</f>
        <v>0</v>
      </c>
      <c r="Q432" s="47" t="s">
        <v>149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149</v>
      </c>
      <c r="P433" s="47">
        <f>HEX2DEC(RIGHT(Table1323214[[#This Row],[h1]],8))</f>
        <v>0</v>
      </c>
      <c r="Q433" s="47" t="s">
        <v>149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149</v>
      </c>
      <c r="P434" s="47">
        <f>HEX2DEC(RIGHT(Table1323214[[#This Row],[h1]],8))</f>
        <v>0</v>
      </c>
      <c r="Q434" s="47" t="s">
        <v>149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149</v>
      </c>
      <c r="P435" s="47">
        <f>HEX2DEC(RIGHT(Table1323214[[#This Row],[h1]],8))</f>
        <v>0</v>
      </c>
      <c r="Q435" s="47" t="s">
        <v>149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149</v>
      </c>
      <c r="P436" s="47">
        <f>HEX2DEC(RIGHT(Table1323214[[#This Row],[h1]],8))</f>
        <v>0</v>
      </c>
      <c r="Q436" s="47" t="s">
        <v>149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149</v>
      </c>
      <c r="P437" s="47">
        <f>HEX2DEC(RIGHT(Table1323214[[#This Row],[h1]],8))</f>
        <v>0</v>
      </c>
      <c r="Q437" s="47" t="s">
        <v>149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149</v>
      </c>
      <c r="P438" s="47">
        <f>HEX2DEC(RIGHT(Table1323214[[#This Row],[h1]],8))</f>
        <v>0</v>
      </c>
      <c r="Q438" s="47" t="s">
        <v>149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149</v>
      </c>
      <c r="P439" s="47">
        <f>HEX2DEC(RIGHT(Table1323214[[#This Row],[h1]],8))</f>
        <v>0</v>
      </c>
      <c r="Q439" s="47" t="s">
        <v>149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149</v>
      </c>
      <c r="P440" s="47">
        <f>HEX2DEC(RIGHT(Table1323214[[#This Row],[h1]],8))</f>
        <v>0</v>
      </c>
      <c r="Q440" s="47" t="s">
        <v>149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149</v>
      </c>
      <c r="P441" s="47">
        <f>HEX2DEC(RIGHT(Table1323214[[#This Row],[h1]],8))</f>
        <v>0</v>
      </c>
      <c r="Q441" s="47" t="s">
        <v>149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149</v>
      </c>
      <c r="P442" s="47">
        <f>HEX2DEC(RIGHT(Table1323214[[#This Row],[h1]],8))</f>
        <v>0</v>
      </c>
      <c r="Q442" s="47" t="s">
        <v>149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149</v>
      </c>
      <c r="P443" s="47">
        <f>HEX2DEC(RIGHT(Table1323214[[#This Row],[h1]],8))</f>
        <v>0</v>
      </c>
      <c r="Q443" s="47" t="s">
        <v>149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149</v>
      </c>
      <c r="P444" s="47">
        <f>HEX2DEC(RIGHT(Table1323214[[#This Row],[h1]],8))</f>
        <v>0</v>
      </c>
      <c r="Q444" s="47" t="s">
        <v>149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149</v>
      </c>
      <c r="P445" s="47">
        <f>HEX2DEC(RIGHT(Table1323214[[#This Row],[h1]],8))</f>
        <v>0</v>
      </c>
      <c r="Q445" s="47" t="s">
        <v>149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149</v>
      </c>
      <c r="P446" s="47">
        <f>HEX2DEC(RIGHT(Table1323214[[#This Row],[h1]],8))</f>
        <v>0</v>
      </c>
      <c r="Q446" s="47" t="s">
        <v>149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149</v>
      </c>
      <c r="P447" s="47">
        <f>HEX2DEC(RIGHT(Table1323214[[#This Row],[h1]],8))</f>
        <v>0</v>
      </c>
      <c r="Q447" s="47" t="s">
        <v>149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149</v>
      </c>
      <c r="P448" s="47">
        <f>HEX2DEC(RIGHT(Table1323214[[#This Row],[h1]],8))</f>
        <v>0</v>
      </c>
      <c r="Q448" s="47" t="s">
        <v>149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149</v>
      </c>
      <c r="P449" s="47">
        <f>HEX2DEC(RIGHT(Table1323214[[#This Row],[h1]],8))</f>
        <v>0</v>
      </c>
      <c r="Q449" s="47" t="s">
        <v>149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149</v>
      </c>
      <c r="P450" s="47">
        <f>HEX2DEC(RIGHT(Table1323214[[#This Row],[h1]],8))</f>
        <v>0</v>
      </c>
      <c r="Q450" s="47" t="s">
        <v>149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149</v>
      </c>
      <c r="P451" s="47">
        <f>HEX2DEC(RIGHT(Table1323214[[#This Row],[h1]],8))</f>
        <v>0</v>
      </c>
      <c r="Q451" s="47" t="s">
        <v>149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149</v>
      </c>
      <c r="P452" s="47">
        <f>HEX2DEC(RIGHT(Table1323214[[#This Row],[h1]],8))</f>
        <v>0</v>
      </c>
      <c r="Q452" s="47" t="s">
        <v>149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149</v>
      </c>
      <c r="P453" s="47">
        <f>HEX2DEC(RIGHT(Table1323214[[#This Row],[h1]],8))</f>
        <v>0</v>
      </c>
      <c r="Q453" s="47" t="s">
        <v>149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149</v>
      </c>
      <c r="P454" s="47">
        <f>HEX2DEC(RIGHT(Table1323214[[#This Row],[h1]],8))</f>
        <v>0</v>
      </c>
      <c r="Q454" s="47" t="s">
        <v>149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149</v>
      </c>
      <c r="P455" s="47">
        <f>HEX2DEC(RIGHT(Table1323214[[#This Row],[h1]],8))</f>
        <v>0</v>
      </c>
      <c r="Q455" s="47" t="s">
        <v>149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149</v>
      </c>
      <c r="P456" s="47">
        <f>HEX2DEC(RIGHT(Table1323214[[#This Row],[h1]],8))</f>
        <v>0</v>
      </c>
      <c r="Q456" s="47" t="s">
        <v>149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149</v>
      </c>
      <c r="P457" s="47">
        <f>HEX2DEC(RIGHT(Table1323214[[#This Row],[h1]],8))</f>
        <v>0</v>
      </c>
      <c r="Q457" s="47" t="s">
        <v>149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149</v>
      </c>
      <c r="P458" s="47">
        <f>HEX2DEC(RIGHT(Table1323214[[#This Row],[h1]],8))</f>
        <v>0</v>
      </c>
      <c r="Q458" s="47" t="s">
        <v>149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149</v>
      </c>
      <c r="P459" s="47">
        <f>HEX2DEC(RIGHT(Table1323214[[#This Row],[h1]],8))</f>
        <v>0</v>
      </c>
      <c r="Q459" s="47" t="s">
        <v>149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149</v>
      </c>
      <c r="P460" s="47">
        <f>HEX2DEC(RIGHT(Table1323214[[#This Row],[h1]],8))</f>
        <v>0</v>
      </c>
      <c r="Q460" s="47" t="s">
        <v>149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56</v>
      </c>
      <c r="D461" s="43" t="s">
        <v>48</v>
      </c>
      <c r="E461" s="43"/>
      <c r="F461" s="43"/>
      <c r="G461" s="44"/>
      <c r="J461" s="24">
        <v>50000</v>
      </c>
      <c r="M461" s="24">
        <v>50000</v>
      </c>
      <c r="O461" s="47" t="s">
        <v>149</v>
      </c>
      <c r="P461" s="47">
        <f>HEX2DEC(RIGHT(Table1323214[[#This Row],[h1]],8))</f>
        <v>0</v>
      </c>
      <c r="Q461" s="47" t="s">
        <v>149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149</v>
      </c>
      <c r="P462" s="47">
        <f>HEX2DEC(RIGHT(Table1323214[[#This Row],[h1]],8))</f>
        <v>0</v>
      </c>
      <c r="Q462" s="47" t="s">
        <v>149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149</v>
      </c>
      <c r="P463" s="47">
        <f>HEX2DEC(RIGHT(Table1323214[[#This Row],[h1]],8))</f>
        <v>0</v>
      </c>
      <c r="Q463" s="47" t="s">
        <v>149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149</v>
      </c>
      <c r="P464" s="47">
        <f>HEX2DEC(RIGHT(Table1323214[[#This Row],[h1]],8))</f>
        <v>0</v>
      </c>
      <c r="Q464" s="47" t="s">
        <v>149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149</v>
      </c>
      <c r="P465" s="47">
        <f>HEX2DEC(RIGHT(Table1323214[[#This Row],[h1]],8))</f>
        <v>0</v>
      </c>
      <c r="Q465" s="47" t="s">
        <v>149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160</v>
      </c>
      <c r="G466" s="33">
        <v>0</v>
      </c>
      <c r="J466" s="24">
        <v>50000</v>
      </c>
      <c r="M466" s="24">
        <v>50000</v>
      </c>
      <c r="O466" s="47" t="s">
        <v>149</v>
      </c>
      <c r="P466" s="47">
        <f>HEX2DEC(RIGHT(Table1323214[[#This Row],[h1]],8))</f>
        <v>0</v>
      </c>
      <c r="Q466" s="47" t="s">
        <v>149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161</v>
      </c>
      <c r="G467" s="33">
        <v>1</v>
      </c>
      <c r="J467" s="24">
        <v>50000</v>
      </c>
      <c r="M467" s="24">
        <v>50000</v>
      </c>
      <c r="O467" s="47" t="s">
        <v>149</v>
      </c>
      <c r="P467" s="47">
        <f>HEX2DEC(RIGHT(Table1323214[[#This Row],[h1]],8))</f>
        <v>0</v>
      </c>
      <c r="Q467" s="47" t="s">
        <v>149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162</v>
      </c>
      <c r="G468" s="33">
        <v>1</v>
      </c>
      <c r="J468" s="24">
        <v>50000</v>
      </c>
      <c r="M468" s="24">
        <v>50000</v>
      </c>
      <c r="O468" s="47" t="s">
        <v>149</v>
      </c>
      <c r="P468" s="47">
        <f>HEX2DEC(RIGHT(Table1323214[[#This Row],[h1]],8))</f>
        <v>0</v>
      </c>
      <c r="Q468" s="47" t="s">
        <v>149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163</v>
      </c>
      <c r="G469" s="33">
        <v>1</v>
      </c>
      <c r="J469" s="24">
        <v>50000</v>
      </c>
      <c r="M469" s="24">
        <v>50000</v>
      </c>
      <c r="O469" s="47" t="s">
        <v>149</v>
      </c>
      <c r="P469" s="47">
        <f>HEX2DEC(RIGHT(Table1323214[[#This Row],[h1]],8))</f>
        <v>0</v>
      </c>
      <c r="Q469" s="47" t="s">
        <v>149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158</v>
      </c>
      <c r="J470" s="24">
        <v>50000</v>
      </c>
      <c r="M470" s="24">
        <v>50000</v>
      </c>
      <c r="O470" s="47" t="s">
        <v>149</v>
      </c>
      <c r="P470" s="47">
        <f>HEX2DEC(RIGHT(Table1323214[[#This Row],[h1]],8))</f>
        <v>0</v>
      </c>
      <c r="Q470" s="47" t="s">
        <v>149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149</v>
      </c>
      <c r="P471" s="47">
        <f>HEX2DEC(RIGHT(Table1323214[[#This Row],[h1]],8))</f>
        <v>0</v>
      </c>
      <c r="Q471" s="47" t="s">
        <v>149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48</v>
      </c>
      <c r="J472" s="24">
        <v>50000</v>
      </c>
      <c r="M472" s="24">
        <v>50000</v>
      </c>
      <c r="O472" s="47" t="s">
        <v>149</v>
      </c>
      <c r="P472" s="47">
        <f>HEX2DEC(RIGHT(Table1323214[[#This Row],[h1]],8))</f>
        <v>0</v>
      </c>
      <c r="Q472" s="47" t="s">
        <v>149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149</v>
      </c>
      <c r="P473" s="47">
        <f>HEX2DEC(RIGHT(Table1323214[[#This Row],[h1]],8))</f>
        <v>0</v>
      </c>
      <c r="Q473" s="47" t="s">
        <v>149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149</v>
      </c>
      <c r="P474" s="47">
        <f>HEX2DEC(RIGHT(Table1323214[[#This Row],[h1]],8))</f>
        <v>0</v>
      </c>
      <c r="Q474" s="47" t="s">
        <v>149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149</v>
      </c>
      <c r="P475" s="47">
        <f>HEX2DEC(RIGHT(Table1323214[[#This Row],[h1]],8))</f>
        <v>0</v>
      </c>
      <c r="Q475" s="47" t="s">
        <v>149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149</v>
      </c>
      <c r="P476" s="47">
        <f>HEX2DEC(RIGHT(Table1323214[[#This Row],[h1]],8))</f>
        <v>0</v>
      </c>
      <c r="Q476" s="47" t="s">
        <v>149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149</v>
      </c>
      <c r="P477" s="47">
        <f>HEX2DEC(RIGHT(Table1323214[[#This Row],[h1]],8))</f>
        <v>0</v>
      </c>
      <c r="Q477" s="47" t="s">
        <v>149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149</v>
      </c>
      <c r="P478" s="47">
        <f>HEX2DEC(RIGHT(Table1323214[[#This Row],[h1]],8))</f>
        <v>0</v>
      </c>
      <c r="Q478" s="47" t="s">
        <v>149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149</v>
      </c>
      <c r="P479" s="47">
        <f>HEX2DEC(RIGHT(Table1323214[[#This Row],[h1]],8))</f>
        <v>0</v>
      </c>
      <c r="Q479" s="47" t="s">
        <v>149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149</v>
      </c>
      <c r="P480" s="47">
        <f>HEX2DEC(RIGHT(Table1323214[[#This Row],[h1]],8))</f>
        <v>0</v>
      </c>
      <c r="Q480" s="47" t="s">
        <v>149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149</v>
      </c>
      <c r="P481" s="47">
        <f>HEX2DEC(RIGHT(Table1323214[[#This Row],[h1]],8))</f>
        <v>0</v>
      </c>
      <c r="Q481" s="47" t="s">
        <v>149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149</v>
      </c>
      <c r="P482" s="47">
        <f>HEX2DEC(RIGHT(Table1323214[[#This Row],[h1]],8))</f>
        <v>0</v>
      </c>
      <c r="Q482" s="47" t="s">
        <v>149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149</v>
      </c>
      <c r="P483" s="47">
        <f>HEX2DEC(RIGHT(Table1323214[[#This Row],[h1]],8))</f>
        <v>0</v>
      </c>
      <c r="Q483" s="47" t="s">
        <v>149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149</v>
      </c>
      <c r="P484" s="47">
        <f>HEX2DEC(RIGHT(Table1323214[[#This Row],[h1]],8))</f>
        <v>0</v>
      </c>
      <c r="Q484" s="47" t="s">
        <v>149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149</v>
      </c>
      <c r="P485" s="47">
        <f>HEX2DEC(RIGHT(Table1323214[[#This Row],[h1]],8))</f>
        <v>0</v>
      </c>
      <c r="Q485" s="47" t="s">
        <v>149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149</v>
      </c>
      <c r="P486" s="47">
        <f>HEX2DEC(RIGHT(Table1323214[[#This Row],[h1]],8))</f>
        <v>0</v>
      </c>
      <c r="Q486" s="47" t="s">
        <v>149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149</v>
      </c>
      <c r="P487" s="47">
        <f>HEX2DEC(RIGHT(Table1323214[[#This Row],[h1]],8))</f>
        <v>0</v>
      </c>
      <c r="Q487" s="47" t="s">
        <v>149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149</v>
      </c>
      <c r="P488" s="47">
        <f>HEX2DEC(RIGHT(Table1323214[[#This Row],[h1]],8))</f>
        <v>0</v>
      </c>
      <c r="Q488" s="47" t="s">
        <v>149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149</v>
      </c>
      <c r="P489" s="47">
        <f>HEX2DEC(RIGHT(Table1323214[[#This Row],[h1]],8))</f>
        <v>0</v>
      </c>
      <c r="Q489" s="47" t="s">
        <v>149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149</v>
      </c>
      <c r="P490" s="47">
        <f>HEX2DEC(RIGHT(Table1323214[[#This Row],[h1]],8))</f>
        <v>0</v>
      </c>
      <c r="Q490" s="47" t="s">
        <v>149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149</v>
      </c>
      <c r="P491" s="47">
        <f>HEX2DEC(RIGHT(Table1323214[[#This Row],[h1]],8))</f>
        <v>0</v>
      </c>
      <c r="Q491" s="47" t="s">
        <v>149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149</v>
      </c>
      <c r="P492" s="47">
        <f>HEX2DEC(RIGHT(Table1323214[[#This Row],[h1]],8))</f>
        <v>0</v>
      </c>
      <c r="Q492" s="47" t="s">
        <v>149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149</v>
      </c>
      <c r="P493" s="47">
        <f>HEX2DEC(RIGHT(Table1323214[[#This Row],[h1]],8))</f>
        <v>0</v>
      </c>
      <c r="Q493" s="47" t="s">
        <v>149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149</v>
      </c>
      <c r="P494" s="47">
        <f>HEX2DEC(RIGHT(Table1323214[[#This Row],[h1]],8))</f>
        <v>0</v>
      </c>
      <c r="Q494" s="47" t="s">
        <v>149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149</v>
      </c>
      <c r="P495" s="47">
        <f>HEX2DEC(RIGHT(Table1323214[[#This Row],[h1]],8))</f>
        <v>0</v>
      </c>
      <c r="Q495" s="47" t="s">
        <v>149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149</v>
      </c>
      <c r="P496" s="47">
        <f>HEX2DEC(RIGHT(Table1323214[[#This Row],[h1]],8))</f>
        <v>0</v>
      </c>
      <c r="Q496" s="47" t="s">
        <v>149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149</v>
      </c>
      <c r="P497" s="47">
        <f>HEX2DEC(RIGHT(Table1323214[[#This Row],[h1]],8))</f>
        <v>0</v>
      </c>
      <c r="Q497" s="47" t="s">
        <v>149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149</v>
      </c>
      <c r="P498" s="47">
        <f>HEX2DEC(RIGHT(Table1323214[[#This Row],[h1]],8))</f>
        <v>0</v>
      </c>
      <c r="Q498" s="47" t="s">
        <v>149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149</v>
      </c>
      <c r="P499" s="47">
        <f>HEX2DEC(RIGHT(Table1323214[[#This Row],[h1]],8))</f>
        <v>0</v>
      </c>
      <c r="Q499" s="47" t="s">
        <v>149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149</v>
      </c>
      <c r="P500" s="47">
        <f>HEX2DEC(RIGHT(Table1323214[[#This Row],[h1]],8))</f>
        <v>0</v>
      </c>
      <c r="Q500" s="47" t="s">
        <v>149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149</v>
      </c>
      <c r="P501" s="47">
        <f>HEX2DEC(RIGHT(Table1323214[[#This Row],[h1]],8))</f>
        <v>0</v>
      </c>
      <c r="Q501" s="47" t="s">
        <v>149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149</v>
      </c>
      <c r="P502" s="47">
        <f>HEX2DEC(RIGHT(Table1323214[[#This Row],[h1]],8))</f>
        <v>0</v>
      </c>
      <c r="Q502" s="47" t="s">
        <v>149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149</v>
      </c>
      <c r="P503" s="47">
        <f>HEX2DEC(RIGHT(Table1323214[[#This Row],[h1]],8))</f>
        <v>0</v>
      </c>
      <c r="Q503" s="47" t="s">
        <v>149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149</v>
      </c>
      <c r="P504" s="47">
        <f>HEX2DEC(RIGHT(Table1323214[[#This Row],[h1]],8))</f>
        <v>0</v>
      </c>
      <c r="Q504" s="47" t="s">
        <v>149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149</v>
      </c>
      <c r="P505" s="47">
        <f>HEX2DEC(RIGHT(Table1323214[[#This Row],[h1]],8))</f>
        <v>0</v>
      </c>
      <c r="Q505" s="47" t="s">
        <v>149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149</v>
      </c>
      <c r="P506" s="47">
        <f>HEX2DEC(RIGHT(Table1323214[[#This Row],[h1]],8))</f>
        <v>0</v>
      </c>
      <c r="Q506" s="47" t="s">
        <v>149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149</v>
      </c>
      <c r="P507" s="47">
        <f>HEX2DEC(RIGHT(Table1323214[[#This Row],[h1]],8))</f>
        <v>0</v>
      </c>
      <c r="Q507" s="47" t="s">
        <v>149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149</v>
      </c>
      <c r="P508" s="47">
        <f>HEX2DEC(RIGHT(Table1323214[[#This Row],[h1]],8))</f>
        <v>0</v>
      </c>
      <c r="Q508" s="47" t="s">
        <v>149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149</v>
      </c>
      <c r="P509" s="47">
        <f>HEX2DEC(RIGHT(Table1323214[[#This Row],[h1]],8))</f>
        <v>0</v>
      </c>
      <c r="Q509" s="47" t="s">
        <v>149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149</v>
      </c>
      <c r="P510" s="47">
        <f>HEX2DEC(RIGHT(Table1323214[[#This Row],[h1]],8))</f>
        <v>0</v>
      </c>
      <c r="Q510" s="47" t="s">
        <v>149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149</v>
      </c>
      <c r="P511" s="47">
        <f>HEX2DEC(RIGHT(Table1323214[[#This Row],[h1]],8))</f>
        <v>0</v>
      </c>
      <c r="Q511" s="47" t="s">
        <v>149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149</v>
      </c>
      <c r="P512" s="47">
        <f>HEX2DEC(RIGHT(Table1323214[[#This Row],[h1]],8))</f>
        <v>0</v>
      </c>
      <c r="Q512" s="47" t="s">
        <v>149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149</v>
      </c>
      <c r="P513" s="47">
        <f>HEX2DEC(RIGHT(Table1323214[[#This Row],[h1]],8))</f>
        <v>0</v>
      </c>
      <c r="Q513" s="47" t="s">
        <v>149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149</v>
      </c>
      <c r="P514" s="47">
        <f>HEX2DEC(RIGHT(Table1323214[[#This Row],[h1]],8))</f>
        <v>0</v>
      </c>
      <c r="Q514" s="47" t="s">
        <v>149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149</v>
      </c>
      <c r="P515" s="47">
        <f>HEX2DEC(RIGHT(Table1323214[[#This Row],[h1]],8))</f>
        <v>0</v>
      </c>
      <c r="Q515" s="47" t="s">
        <v>149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149</v>
      </c>
      <c r="P516" s="47">
        <f>HEX2DEC(RIGHT(Table1323214[[#This Row],[h1]],8))</f>
        <v>0</v>
      </c>
      <c r="Q516" s="47" t="s">
        <v>149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149</v>
      </c>
      <c r="P517" s="47">
        <f>HEX2DEC(RIGHT(Table1323214[[#This Row],[h1]],8))</f>
        <v>0</v>
      </c>
      <c r="Q517" s="47" t="s">
        <v>149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149</v>
      </c>
      <c r="P518" s="47">
        <f>HEX2DEC(RIGHT(Table1323214[[#This Row],[h1]],8))</f>
        <v>0</v>
      </c>
      <c r="Q518" s="47" t="s">
        <v>149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149</v>
      </c>
      <c r="P519" s="47">
        <f>HEX2DEC(RIGHT(Table1323214[[#This Row],[h1]],8))</f>
        <v>0</v>
      </c>
      <c r="Q519" s="47" t="s">
        <v>149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149</v>
      </c>
      <c r="P520" s="47">
        <f>HEX2DEC(RIGHT(Table1323214[[#This Row],[h1]],8))</f>
        <v>0</v>
      </c>
      <c r="Q520" s="47" t="s">
        <v>149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149</v>
      </c>
      <c r="P521" s="47">
        <f>HEX2DEC(RIGHT(Table1323214[[#This Row],[h1]],8))</f>
        <v>0</v>
      </c>
      <c r="Q521" s="47" t="s">
        <v>149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149</v>
      </c>
      <c r="P522" s="47">
        <f>HEX2DEC(RIGHT(Table1323214[[#This Row],[h1]],8))</f>
        <v>0</v>
      </c>
      <c r="Q522" s="47" t="s">
        <v>149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149</v>
      </c>
      <c r="P523" s="47">
        <f>HEX2DEC(RIGHT(Table1323214[[#This Row],[h1]],8))</f>
        <v>0</v>
      </c>
      <c r="Q523" s="47" t="s">
        <v>149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149</v>
      </c>
      <c r="P524" s="47">
        <f>HEX2DEC(RIGHT(Table1323214[[#This Row],[h1]],8))</f>
        <v>0</v>
      </c>
      <c r="Q524" s="47" t="s">
        <v>149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149</v>
      </c>
      <c r="P525" s="47">
        <f>HEX2DEC(RIGHT(Table1323214[[#This Row],[h1]],8))</f>
        <v>0</v>
      </c>
      <c r="Q525" s="47" t="s">
        <v>149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149</v>
      </c>
      <c r="P526" s="47">
        <f>HEX2DEC(RIGHT(Table1323214[[#This Row],[h1]],8))</f>
        <v>0</v>
      </c>
      <c r="Q526" s="47" t="s">
        <v>149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149</v>
      </c>
      <c r="P527" s="47">
        <f>HEX2DEC(RIGHT(Table1323214[[#This Row],[h1]],8))</f>
        <v>0</v>
      </c>
      <c r="Q527" s="47" t="s">
        <v>149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149</v>
      </c>
      <c r="P528" s="47">
        <f>HEX2DEC(RIGHT(Table1323214[[#This Row],[h1]],8))</f>
        <v>0</v>
      </c>
      <c r="Q528" s="47" t="s">
        <v>149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149</v>
      </c>
      <c r="P529" s="47">
        <f>HEX2DEC(RIGHT(Table1323214[[#This Row],[h1]],8))</f>
        <v>0</v>
      </c>
      <c r="Q529" s="47" t="s">
        <v>149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149</v>
      </c>
      <c r="P530" s="47">
        <f>HEX2DEC(RIGHT(Table1323214[[#This Row],[h1]],8))</f>
        <v>0</v>
      </c>
      <c r="Q530" s="47" t="s">
        <v>149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149</v>
      </c>
      <c r="P531" s="47">
        <f>HEX2DEC(RIGHT(Table1323214[[#This Row],[h1]],8))</f>
        <v>0</v>
      </c>
      <c r="Q531" s="47" t="s">
        <v>149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149</v>
      </c>
      <c r="P532" s="47">
        <f>HEX2DEC(RIGHT(Table1323214[[#This Row],[h1]],8))</f>
        <v>0</v>
      </c>
      <c r="Q532" s="47" t="s">
        <v>149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149</v>
      </c>
      <c r="P533" s="47">
        <f>HEX2DEC(RIGHT(Table1323214[[#This Row],[h1]],8))</f>
        <v>0</v>
      </c>
      <c r="Q533" s="47" t="s">
        <v>149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149</v>
      </c>
      <c r="P534" s="47">
        <f>HEX2DEC(RIGHT(Table1323214[[#This Row],[h1]],8))</f>
        <v>0</v>
      </c>
      <c r="Q534" s="47" t="s">
        <v>149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149</v>
      </c>
      <c r="P535" s="47">
        <f>HEX2DEC(RIGHT(Table1323214[[#This Row],[h1]],8))</f>
        <v>0</v>
      </c>
      <c r="Q535" s="47" t="s">
        <v>149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149</v>
      </c>
      <c r="P536" s="47">
        <f>HEX2DEC(RIGHT(Table1323214[[#This Row],[h1]],8))</f>
        <v>0</v>
      </c>
      <c r="Q536" s="47" t="s">
        <v>149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149</v>
      </c>
      <c r="P537" s="47">
        <f>HEX2DEC(RIGHT(Table1323214[[#This Row],[h1]],8))</f>
        <v>0</v>
      </c>
      <c r="Q537" s="47" t="s">
        <v>149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149</v>
      </c>
      <c r="P538" s="47">
        <f>HEX2DEC(RIGHT(Table1323214[[#This Row],[h1]],8))</f>
        <v>0</v>
      </c>
      <c r="Q538" s="47" t="s">
        <v>149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149</v>
      </c>
      <c r="P539" s="47">
        <f>HEX2DEC(RIGHT(Table1323214[[#This Row],[h1]],8))</f>
        <v>0</v>
      </c>
      <c r="Q539" s="47" t="s">
        <v>149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149</v>
      </c>
      <c r="P540" s="47">
        <f>HEX2DEC(RIGHT(Table1323214[[#This Row],[h1]],8))</f>
        <v>0</v>
      </c>
      <c r="Q540" s="47" t="s">
        <v>149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149</v>
      </c>
      <c r="P541" s="47">
        <f>HEX2DEC(RIGHT(Table1323214[[#This Row],[h1]],8))</f>
        <v>0</v>
      </c>
      <c r="Q541" s="47" t="s">
        <v>149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149</v>
      </c>
      <c r="P542" s="47">
        <f>HEX2DEC(RIGHT(Table1323214[[#This Row],[h1]],8))</f>
        <v>0</v>
      </c>
      <c r="Q542" s="47" t="s">
        <v>149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149</v>
      </c>
      <c r="P543" s="47">
        <f>HEX2DEC(RIGHT(Table1323214[[#This Row],[h1]],8))</f>
        <v>0</v>
      </c>
      <c r="Q543" s="47" t="s">
        <v>149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149</v>
      </c>
      <c r="P544" s="47">
        <f>HEX2DEC(RIGHT(Table1323214[[#This Row],[h1]],8))</f>
        <v>0</v>
      </c>
      <c r="Q544" s="47" t="s">
        <v>149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149</v>
      </c>
      <c r="P545" s="47">
        <f>HEX2DEC(RIGHT(Table1323214[[#This Row],[h1]],8))</f>
        <v>0</v>
      </c>
      <c r="Q545" s="47" t="s">
        <v>149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149</v>
      </c>
      <c r="P546" s="47">
        <f>HEX2DEC(RIGHT(Table1323214[[#This Row],[h1]],8))</f>
        <v>0</v>
      </c>
      <c r="Q546" s="47" t="s">
        <v>149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149</v>
      </c>
      <c r="P547" s="47">
        <f>HEX2DEC(RIGHT(Table1323214[[#This Row],[h1]],8))</f>
        <v>0</v>
      </c>
      <c r="Q547" s="47" t="s">
        <v>149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149</v>
      </c>
      <c r="P548" s="47">
        <f>HEX2DEC(RIGHT(Table1323214[[#This Row],[h1]],8))</f>
        <v>0</v>
      </c>
      <c r="Q548" s="47" t="s">
        <v>149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149</v>
      </c>
      <c r="P549" s="47">
        <f>HEX2DEC(RIGHT(Table1323214[[#This Row],[h1]],8))</f>
        <v>0</v>
      </c>
      <c r="Q549" s="47" t="s">
        <v>149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149</v>
      </c>
      <c r="P550" s="47">
        <f>HEX2DEC(RIGHT(Table1323214[[#This Row],[h1]],8))</f>
        <v>0</v>
      </c>
      <c r="Q550" s="47" t="s">
        <v>149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149</v>
      </c>
      <c r="P551" s="47">
        <f>HEX2DEC(RIGHT(Table1323214[[#This Row],[h1]],8))</f>
        <v>0</v>
      </c>
      <c r="Q551" s="47" t="s">
        <v>149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149</v>
      </c>
      <c r="P552" s="47">
        <f>HEX2DEC(RIGHT(Table1323214[[#This Row],[h1]],8))</f>
        <v>0</v>
      </c>
      <c r="Q552" s="47" t="s">
        <v>149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149</v>
      </c>
      <c r="P553" s="47">
        <f>HEX2DEC(RIGHT(Table1323214[[#This Row],[h1]],8))</f>
        <v>0</v>
      </c>
      <c r="Q553" s="47" t="s">
        <v>149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149</v>
      </c>
      <c r="P554" s="47">
        <f>HEX2DEC(RIGHT(Table1323214[[#This Row],[h1]],8))</f>
        <v>0</v>
      </c>
      <c r="Q554" s="47" t="s">
        <v>149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149</v>
      </c>
      <c r="P555" s="47">
        <f>HEX2DEC(RIGHT(Table1323214[[#This Row],[h1]],8))</f>
        <v>0</v>
      </c>
      <c r="Q555" s="47" t="s">
        <v>149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149</v>
      </c>
      <c r="P556" s="47">
        <f>HEX2DEC(RIGHT(Table1323214[[#This Row],[h1]],8))</f>
        <v>0</v>
      </c>
      <c r="Q556" s="47" t="s">
        <v>149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149</v>
      </c>
      <c r="P557" s="47">
        <f>HEX2DEC(RIGHT(Table1323214[[#This Row],[h1]],8))</f>
        <v>0</v>
      </c>
      <c r="Q557" s="47" t="s">
        <v>149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149</v>
      </c>
      <c r="P558" s="47">
        <f>HEX2DEC(RIGHT(Table1323214[[#This Row],[h1]],8))</f>
        <v>0</v>
      </c>
      <c r="Q558" s="47" t="s">
        <v>149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149</v>
      </c>
      <c r="P559" s="47">
        <f>HEX2DEC(RIGHT(Table1323214[[#This Row],[h1]],8))</f>
        <v>0</v>
      </c>
      <c r="Q559" s="47" t="s">
        <v>149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149</v>
      </c>
      <c r="P560" s="47">
        <f>HEX2DEC(RIGHT(Table1323214[[#This Row],[h1]],8))</f>
        <v>0</v>
      </c>
      <c r="Q560" s="47" t="s">
        <v>149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149</v>
      </c>
      <c r="P561" s="47">
        <f>HEX2DEC(RIGHT(Table1323214[[#This Row],[h1]],8))</f>
        <v>0</v>
      </c>
      <c r="Q561" s="47" t="s">
        <v>149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149</v>
      </c>
      <c r="P562" s="47">
        <f>HEX2DEC(RIGHT(Table1323214[[#This Row],[h1]],8))</f>
        <v>0</v>
      </c>
      <c r="Q562" s="47" t="s">
        <v>149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149</v>
      </c>
      <c r="P563" s="47">
        <f>HEX2DEC(RIGHT(Table1323214[[#This Row],[h1]],8))</f>
        <v>0</v>
      </c>
      <c r="Q563" s="47" t="s">
        <v>149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149</v>
      </c>
      <c r="P564" s="47">
        <f>HEX2DEC(RIGHT(Table1323214[[#This Row],[h1]],8))</f>
        <v>0</v>
      </c>
      <c r="Q564" s="47" t="s">
        <v>149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149</v>
      </c>
      <c r="P565" s="47">
        <f>HEX2DEC(RIGHT(Table1323214[[#This Row],[h1]],8))</f>
        <v>0</v>
      </c>
      <c r="Q565" s="47" t="s">
        <v>149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149</v>
      </c>
      <c r="P566" s="47">
        <f>HEX2DEC(RIGHT(Table1323214[[#This Row],[h1]],8))</f>
        <v>0</v>
      </c>
      <c r="Q566" s="47" t="s">
        <v>149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149</v>
      </c>
      <c r="P567" s="47">
        <f>HEX2DEC(RIGHT(Table1323214[[#This Row],[h1]],8))</f>
        <v>0</v>
      </c>
      <c r="Q567" s="47" t="s">
        <v>149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149</v>
      </c>
      <c r="P568" s="47">
        <f>HEX2DEC(RIGHT(Table1323214[[#This Row],[h1]],8))</f>
        <v>0</v>
      </c>
      <c r="Q568" s="47" t="s">
        <v>149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149</v>
      </c>
      <c r="P569" s="47">
        <f>HEX2DEC(RIGHT(Table1323214[[#This Row],[h1]],8))</f>
        <v>0</v>
      </c>
      <c r="Q569" s="47" t="s">
        <v>149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149</v>
      </c>
      <c r="P570" s="47">
        <f>HEX2DEC(RIGHT(Table1323214[[#This Row],[h1]],8))</f>
        <v>0</v>
      </c>
      <c r="Q570" s="47" t="s">
        <v>149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149</v>
      </c>
      <c r="P571" s="47">
        <f>HEX2DEC(RIGHT(Table1323214[[#This Row],[h1]],8))</f>
        <v>0</v>
      </c>
      <c r="Q571" s="47" t="s">
        <v>149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149</v>
      </c>
      <c r="P572" s="47">
        <f>HEX2DEC(RIGHT(Table1323214[[#This Row],[h1]],8))</f>
        <v>0</v>
      </c>
      <c r="Q572" s="47" t="s">
        <v>149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149</v>
      </c>
      <c r="P573" s="47">
        <f>HEX2DEC(RIGHT(Table1323214[[#This Row],[h1]],8))</f>
        <v>0</v>
      </c>
      <c r="Q573" s="47" t="s">
        <v>149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149</v>
      </c>
      <c r="P574" s="47">
        <f>HEX2DEC(RIGHT(Table1323214[[#This Row],[h1]],8))</f>
        <v>0</v>
      </c>
      <c r="Q574" s="47" t="s">
        <v>149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149</v>
      </c>
      <c r="P575" s="47">
        <f>HEX2DEC(RIGHT(Table1323214[[#This Row],[h1]],8))</f>
        <v>0</v>
      </c>
      <c r="Q575" s="47" t="s">
        <v>149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149</v>
      </c>
      <c r="P576" s="47">
        <f>HEX2DEC(RIGHT(Table1323214[[#This Row],[h1]],8))</f>
        <v>0</v>
      </c>
      <c r="Q576" s="47" t="s">
        <v>149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149</v>
      </c>
      <c r="P577" s="47">
        <f>HEX2DEC(RIGHT(Table1323214[[#This Row],[h1]],8))</f>
        <v>0</v>
      </c>
      <c r="Q577" s="47" t="s">
        <v>149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149</v>
      </c>
      <c r="P578" s="47">
        <f>HEX2DEC(RIGHT(Table1323214[[#This Row],[h1]],8))</f>
        <v>0</v>
      </c>
      <c r="Q578" s="47" t="s">
        <v>149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149</v>
      </c>
      <c r="P579" s="47">
        <f>HEX2DEC(RIGHT(Table1323214[[#This Row],[h1]],8))</f>
        <v>0</v>
      </c>
      <c r="Q579" s="47" t="s">
        <v>149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149</v>
      </c>
      <c r="P580" s="47">
        <f>HEX2DEC(RIGHT(Table1323214[[#This Row],[h1]],8))</f>
        <v>0</v>
      </c>
      <c r="Q580" s="47" t="s">
        <v>149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149</v>
      </c>
      <c r="P581" s="47">
        <f>HEX2DEC(RIGHT(Table1323214[[#This Row],[h1]],8))</f>
        <v>0</v>
      </c>
      <c r="Q581" s="47" t="s">
        <v>149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149</v>
      </c>
      <c r="P582" s="47">
        <f>HEX2DEC(RIGHT(Table1323214[[#This Row],[h1]],8))</f>
        <v>0</v>
      </c>
      <c r="Q582" s="47" t="s">
        <v>149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149</v>
      </c>
      <c r="P583" s="47">
        <f>HEX2DEC(RIGHT(Table1323214[[#This Row],[h1]],8))</f>
        <v>0</v>
      </c>
      <c r="Q583" s="47" t="s">
        <v>149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149</v>
      </c>
      <c r="P584" s="47">
        <f>HEX2DEC(RIGHT(Table1323214[[#This Row],[h1]],8))</f>
        <v>0</v>
      </c>
      <c r="Q584" s="47" t="s">
        <v>149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149</v>
      </c>
      <c r="P585" s="47">
        <f>HEX2DEC(RIGHT(Table1323214[[#This Row],[h1]],8))</f>
        <v>0</v>
      </c>
      <c r="Q585" s="47" t="s">
        <v>149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149</v>
      </c>
      <c r="P586" s="47">
        <f>HEX2DEC(RIGHT(Table1323214[[#This Row],[h1]],8))</f>
        <v>0</v>
      </c>
      <c r="Q586" s="47" t="s">
        <v>149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149</v>
      </c>
      <c r="P587" s="47">
        <f>HEX2DEC(RIGHT(Table1323214[[#This Row],[h1]],8))</f>
        <v>0</v>
      </c>
      <c r="Q587" s="47" t="s">
        <v>149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149</v>
      </c>
      <c r="P588" s="47">
        <f>HEX2DEC(RIGHT(Table1323214[[#This Row],[h1]],8))</f>
        <v>0</v>
      </c>
      <c r="Q588" s="47" t="s">
        <v>149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149</v>
      </c>
      <c r="P589" s="47">
        <f>HEX2DEC(RIGHT(Table1323214[[#This Row],[h1]],8))</f>
        <v>0</v>
      </c>
      <c r="Q589" s="47" t="s">
        <v>149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149</v>
      </c>
      <c r="P590" s="47">
        <f>HEX2DEC(RIGHT(Table1323214[[#This Row],[h1]],8))</f>
        <v>0</v>
      </c>
      <c r="Q590" s="47" t="s">
        <v>149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149</v>
      </c>
      <c r="P591" s="47">
        <f>HEX2DEC(RIGHT(Table1323214[[#This Row],[h1]],8))</f>
        <v>0</v>
      </c>
      <c r="Q591" s="47" t="s">
        <v>149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149</v>
      </c>
      <c r="P592" s="47">
        <f>HEX2DEC(RIGHT(Table1323214[[#This Row],[h1]],8))</f>
        <v>0</v>
      </c>
      <c r="Q592" s="47" t="s">
        <v>149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149</v>
      </c>
      <c r="P593" s="47">
        <f>HEX2DEC(RIGHT(Table1323214[[#This Row],[h1]],8))</f>
        <v>0</v>
      </c>
      <c r="Q593" s="47" t="s">
        <v>149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149</v>
      </c>
      <c r="P594" s="47">
        <f>HEX2DEC(RIGHT(Table1323214[[#This Row],[h1]],8))</f>
        <v>0</v>
      </c>
      <c r="Q594" s="47" t="s">
        <v>149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149</v>
      </c>
      <c r="P595" s="47">
        <f>HEX2DEC(RIGHT(Table1323214[[#This Row],[h1]],8))</f>
        <v>0</v>
      </c>
      <c r="Q595" s="47" t="s">
        <v>149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149</v>
      </c>
      <c r="P596" s="47">
        <f>HEX2DEC(RIGHT(Table1323214[[#This Row],[h1]],8))</f>
        <v>0</v>
      </c>
      <c r="Q596" s="47" t="s">
        <v>149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149</v>
      </c>
      <c r="P597" s="47">
        <f>HEX2DEC(RIGHT(Table1323214[[#This Row],[h1]],8))</f>
        <v>0</v>
      </c>
      <c r="Q597" s="47" t="s">
        <v>149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149</v>
      </c>
      <c r="P598" s="47">
        <f>HEX2DEC(RIGHT(Table1323214[[#This Row],[h1]],8))</f>
        <v>0</v>
      </c>
      <c r="Q598" s="47" t="s">
        <v>149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149</v>
      </c>
      <c r="P599" s="47">
        <f>HEX2DEC(RIGHT(Table1323214[[#This Row],[h1]],8))</f>
        <v>0</v>
      </c>
      <c r="Q599" s="47" t="s">
        <v>149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149</v>
      </c>
      <c r="P600" s="47">
        <f>HEX2DEC(RIGHT(Table1323214[[#This Row],[h1]],8))</f>
        <v>0</v>
      </c>
      <c r="Q600" s="47" t="s">
        <v>149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149</v>
      </c>
      <c r="P601" s="47">
        <f>HEX2DEC(RIGHT(Table1323214[[#This Row],[h1]],8))</f>
        <v>0</v>
      </c>
      <c r="Q601" s="47" t="s">
        <v>149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149</v>
      </c>
      <c r="P602" s="47">
        <f>HEX2DEC(RIGHT(Table1323214[[#This Row],[h1]],8))</f>
        <v>0</v>
      </c>
      <c r="Q602" s="47" t="s">
        <v>149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149</v>
      </c>
      <c r="P603" s="47">
        <f>HEX2DEC(RIGHT(Table1323214[[#This Row],[h1]],8))</f>
        <v>0</v>
      </c>
      <c r="Q603" s="47" t="s">
        <v>149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149</v>
      </c>
      <c r="P604" s="47">
        <f>HEX2DEC(RIGHT(Table1323214[[#This Row],[h1]],8))</f>
        <v>0</v>
      </c>
      <c r="Q604" s="47" t="s">
        <v>149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149</v>
      </c>
      <c r="P605" s="47">
        <f>HEX2DEC(RIGHT(Table1323214[[#This Row],[h1]],8))</f>
        <v>0</v>
      </c>
      <c r="Q605" s="47" t="s">
        <v>149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149</v>
      </c>
      <c r="P606" s="47">
        <f>HEX2DEC(RIGHT(Table1323214[[#This Row],[h1]],8))</f>
        <v>0</v>
      </c>
      <c r="Q606" s="47" t="s">
        <v>149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149</v>
      </c>
      <c r="P607" s="47">
        <f>HEX2DEC(RIGHT(Table1323214[[#This Row],[h1]],8))</f>
        <v>0</v>
      </c>
      <c r="Q607" s="47" t="s">
        <v>149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149</v>
      </c>
      <c r="P608" s="47">
        <f>HEX2DEC(RIGHT(Table1323214[[#This Row],[h1]],8))</f>
        <v>0</v>
      </c>
      <c r="Q608" s="47" t="s">
        <v>149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149</v>
      </c>
      <c r="P609" s="47">
        <f>HEX2DEC(RIGHT(Table1323214[[#This Row],[h1]],8))</f>
        <v>0</v>
      </c>
      <c r="Q609" s="47" t="s">
        <v>149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149</v>
      </c>
      <c r="P610" s="47">
        <f>HEX2DEC(RIGHT(Table1323214[[#This Row],[h1]],8))</f>
        <v>0</v>
      </c>
      <c r="Q610" s="47" t="s">
        <v>149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149</v>
      </c>
      <c r="P611" s="47">
        <f>HEX2DEC(RIGHT(Table1323214[[#This Row],[h1]],8))</f>
        <v>0</v>
      </c>
      <c r="Q611" s="47" t="s">
        <v>149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149</v>
      </c>
      <c r="P612" s="47">
        <f>HEX2DEC(RIGHT(Table1323214[[#This Row],[h1]],8))</f>
        <v>0</v>
      </c>
      <c r="Q612" s="47" t="s">
        <v>149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149</v>
      </c>
      <c r="P613" s="47">
        <f>HEX2DEC(RIGHT(Table1323214[[#This Row],[h1]],8))</f>
        <v>0</v>
      </c>
      <c r="Q613" s="47" t="s">
        <v>149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149</v>
      </c>
      <c r="P614" s="47">
        <f>HEX2DEC(RIGHT(Table1323214[[#This Row],[h1]],8))</f>
        <v>0</v>
      </c>
      <c r="Q614" s="47" t="s">
        <v>149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149</v>
      </c>
      <c r="P615" s="47">
        <f>HEX2DEC(RIGHT(Table1323214[[#This Row],[h1]],8))</f>
        <v>0</v>
      </c>
      <c r="Q615" s="47" t="s">
        <v>149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149</v>
      </c>
      <c r="P616" s="47">
        <f>HEX2DEC(RIGHT(Table1323214[[#This Row],[h1]],8))</f>
        <v>0</v>
      </c>
      <c r="Q616" s="47" t="s">
        <v>149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149</v>
      </c>
      <c r="P617" s="47">
        <f>HEX2DEC(RIGHT(Table1323214[[#This Row],[h1]],8))</f>
        <v>0</v>
      </c>
      <c r="Q617" s="47" t="s">
        <v>149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149</v>
      </c>
      <c r="P618" s="47">
        <f>HEX2DEC(RIGHT(Table1323214[[#This Row],[h1]],8))</f>
        <v>0</v>
      </c>
      <c r="Q618" s="47" t="s">
        <v>149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149</v>
      </c>
      <c r="P619" s="47">
        <f>HEX2DEC(RIGHT(Table1323214[[#This Row],[h1]],8))</f>
        <v>0</v>
      </c>
      <c r="Q619" s="47" t="s">
        <v>149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149</v>
      </c>
      <c r="P620" s="47">
        <f>HEX2DEC(RIGHT(Table1323214[[#This Row],[h1]],8))</f>
        <v>0</v>
      </c>
      <c r="Q620" s="47" t="s">
        <v>149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149</v>
      </c>
      <c r="P621" s="47">
        <f>HEX2DEC(RIGHT(Table1323214[[#This Row],[h1]],8))</f>
        <v>0</v>
      </c>
      <c r="Q621" s="47" t="s">
        <v>149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149</v>
      </c>
      <c r="P622" s="47">
        <f>HEX2DEC(RIGHT(Table1323214[[#This Row],[h1]],8))</f>
        <v>0</v>
      </c>
      <c r="Q622" s="47" t="s">
        <v>149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149</v>
      </c>
      <c r="P623" s="47">
        <f>HEX2DEC(RIGHT(Table1323214[[#This Row],[h1]],8))</f>
        <v>0</v>
      </c>
      <c r="Q623" s="47" t="s">
        <v>149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149</v>
      </c>
      <c r="P624" s="47">
        <f>HEX2DEC(RIGHT(Table1323214[[#This Row],[h1]],8))</f>
        <v>0</v>
      </c>
      <c r="Q624" s="47" t="s">
        <v>149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149</v>
      </c>
      <c r="P625" s="47">
        <f>HEX2DEC(RIGHT(Table1323214[[#This Row],[h1]],8))</f>
        <v>0</v>
      </c>
      <c r="Q625" s="47" t="s">
        <v>149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149</v>
      </c>
      <c r="P626" s="47">
        <f>HEX2DEC(RIGHT(Table1323214[[#This Row],[h1]],8))</f>
        <v>0</v>
      </c>
      <c r="Q626" s="47" t="s">
        <v>149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149</v>
      </c>
      <c r="P627" s="47">
        <f>HEX2DEC(RIGHT(Table1323214[[#This Row],[h1]],8))</f>
        <v>0</v>
      </c>
      <c r="Q627" s="47" t="s">
        <v>149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149</v>
      </c>
      <c r="P628" s="47">
        <f>HEX2DEC(RIGHT(Table1323214[[#This Row],[h1]],8))</f>
        <v>0</v>
      </c>
      <c r="Q628" s="47" t="s">
        <v>149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149</v>
      </c>
      <c r="P629" s="47">
        <f>HEX2DEC(RIGHT(Table1323214[[#This Row],[h1]],8))</f>
        <v>0</v>
      </c>
      <c r="Q629" s="47" t="s">
        <v>149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149</v>
      </c>
      <c r="P630" s="47">
        <f>HEX2DEC(RIGHT(Table1323214[[#This Row],[h1]],8))</f>
        <v>0</v>
      </c>
      <c r="Q630" s="47" t="s">
        <v>149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149</v>
      </c>
      <c r="P631" s="47">
        <f>HEX2DEC(RIGHT(Table1323214[[#This Row],[h1]],8))</f>
        <v>0</v>
      </c>
      <c r="Q631" s="47" t="s">
        <v>149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149</v>
      </c>
      <c r="P632" s="47">
        <f>HEX2DEC(RIGHT(Table1323214[[#This Row],[h1]],8))</f>
        <v>0</v>
      </c>
      <c r="Q632" s="47" t="s">
        <v>149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149</v>
      </c>
      <c r="P633" s="47">
        <f>HEX2DEC(RIGHT(Table1323214[[#This Row],[h1]],8))</f>
        <v>0</v>
      </c>
      <c r="Q633" s="47" t="s">
        <v>149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149</v>
      </c>
      <c r="P634" s="47">
        <f>HEX2DEC(RIGHT(Table1323214[[#This Row],[h1]],8))</f>
        <v>0</v>
      </c>
      <c r="Q634" s="47" t="s">
        <v>149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149</v>
      </c>
      <c r="P635" s="47">
        <f>HEX2DEC(RIGHT(Table1323214[[#This Row],[h1]],8))</f>
        <v>0</v>
      </c>
      <c r="Q635" s="47" t="s">
        <v>149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149</v>
      </c>
      <c r="P636" s="47">
        <f>HEX2DEC(RIGHT(Table1323214[[#This Row],[h1]],8))</f>
        <v>0</v>
      </c>
      <c r="Q636" s="47" t="s">
        <v>149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149</v>
      </c>
      <c r="P637" s="47">
        <f>HEX2DEC(RIGHT(Table1323214[[#This Row],[h1]],8))</f>
        <v>0</v>
      </c>
      <c r="Q637" s="47" t="s">
        <v>149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149</v>
      </c>
      <c r="P638" s="47">
        <f>HEX2DEC(RIGHT(Table1323214[[#This Row],[h1]],8))</f>
        <v>0</v>
      </c>
      <c r="Q638" s="47" t="s">
        <v>149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149</v>
      </c>
      <c r="P639" s="47">
        <f>HEX2DEC(RIGHT(Table1323214[[#This Row],[h1]],8))</f>
        <v>0</v>
      </c>
      <c r="Q639" s="47" t="s">
        <v>149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149</v>
      </c>
      <c r="P640" s="47">
        <f>HEX2DEC(RIGHT(Table1323214[[#This Row],[h1]],8))</f>
        <v>0</v>
      </c>
      <c r="Q640" s="47" t="s">
        <v>149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149</v>
      </c>
      <c r="P641" s="47">
        <f>HEX2DEC(RIGHT(Table1323214[[#This Row],[h1]],8))</f>
        <v>0</v>
      </c>
      <c r="Q641" s="47" t="s">
        <v>149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149</v>
      </c>
      <c r="P642" s="47">
        <f>HEX2DEC(RIGHT(Table1323214[[#This Row],[h1]],8))</f>
        <v>0</v>
      </c>
      <c r="Q642" s="47" t="s">
        <v>149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149</v>
      </c>
      <c r="P643" s="47">
        <f>HEX2DEC(RIGHT(Table1323214[[#This Row],[h1]],8))</f>
        <v>0</v>
      </c>
      <c r="Q643" s="47" t="s">
        <v>149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149</v>
      </c>
      <c r="P644" s="47">
        <f>HEX2DEC(RIGHT(Table1323214[[#This Row],[h1]],8))</f>
        <v>0</v>
      </c>
      <c r="Q644" s="47" t="s">
        <v>149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149</v>
      </c>
      <c r="P645" s="47">
        <f>HEX2DEC(RIGHT(Table1323214[[#This Row],[h1]],8))</f>
        <v>0</v>
      </c>
      <c r="Q645" s="47" t="s">
        <v>149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149</v>
      </c>
      <c r="P646" s="47">
        <f>HEX2DEC(RIGHT(Table1323214[[#This Row],[h1]],8))</f>
        <v>0</v>
      </c>
      <c r="Q646" s="47" t="s">
        <v>149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149</v>
      </c>
      <c r="P647" s="47">
        <f>HEX2DEC(RIGHT(Table1323214[[#This Row],[h1]],8))</f>
        <v>0</v>
      </c>
      <c r="Q647" s="47" t="s">
        <v>149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149</v>
      </c>
      <c r="P648" s="47">
        <f>HEX2DEC(RIGHT(Table1323214[[#This Row],[h1]],8))</f>
        <v>0</v>
      </c>
      <c r="Q648" s="47" t="s">
        <v>149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149</v>
      </c>
      <c r="P649" s="47">
        <f>HEX2DEC(RIGHT(Table1323214[[#This Row],[h1]],8))</f>
        <v>0</v>
      </c>
      <c r="Q649" s="47" t="s">
        <v>149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149</v>
      </c>
      <c r="P650" s="47">
        <f>HEX2DEC(RIGHT(Table1323214[[#This Row],[h1]],8))</f>
        <v>0</v>
      </c>
      <c r="Q650" s="47" t="s">
        <v>149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149</v>
      </c>
      <c r="P651" s="47">
        <f>HEX2DEC(RIGHT(Table1323214[[#This Row],[h1]],8))</f>
        <v>0</v>
      </c>
      <c r="Q651" s="47" t="s">
        <v>149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149</v>
      </c>
      <c r="P652" s="47">
        <f>HEX2DEC(RIGHT(Table1323214[[#This Row],[h1]],8))</f>
        <v>0</v>
      </c>
      <c r="Q652" s="47" t="s">
        <v>149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149</v>
      </c>
      <c r="P653" s="47">
        <f>HEX2DEC(RIGHT(Table1323214[[#This Row],[h1]],8))</f>
        <v>0</v>
      </c>
      <c r="Q653" s="47" t="s">
        <v>149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149</v>
      </c>
      <c r="P654" s="47">
        <f>HEX2DEC(RIGHT(Table1323214[[#This Row],[h1]],8))</f>
        <v>0</v>
      </c>
      <c r="Q654" s="47" t="s">
        <v>149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149</v>
      </c>
      <c r="P655" s="47">
        <f>HEX2DEC(RIGHT(Table1323214[[#This Row],[h1]],8))</f>
        <v>0</v>
      </c>
      <c r="Q655" s="47" t="s">
        <v>149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149</v>
      </c>
      <c r="P656" s="47">
        <f>HEX2DEC(RIGHT(Table1323214[[#This Row],[h1]],8))</f>
        <v>0</v>
      </c>
      <c r="Q656" s="47" t="s">
        <v>149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149</v>
      </c>
      <c r="P657" s="47">
        <f>HEX2DEC(RIGHT(Table1323214[[#This Row],[h1]],8))</f>
        <v>0</v>
      </c>
      <c r="Q657" s="47" t="s">
        <v>149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149</v>
      </c>
      <c r="P658" s="47">
        <f>HEX2DEC(RIGHT(Table1323214[[#This Row],[h1]],8))</f>
        <v>0</v>
      </c>
      <c r="Q658" s="47" t="s">
        <v>149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149</v>
      </c>
      <c r="P659" s="47">
        <f>HEX2DEC(RIGHT(Table1323214[[#This Row],[h1]],8))</f>
        <v>0</v>
      </c>
      <c r="Q659" s="47" t="s">
        <v>149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149</v>
      </c>
      <c r="P660" s="47">
        <f>HEX2DEC(RIGHT(Table1323214[[#This Row],[h1]],8))</f>
        <v>0</v>
      </c>
      <c r="Q660" s="47" t="s">
        <v>149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149</v>
      </c>
      <c r="P661" s="47">
        <f>HEX2DEC(RIGHT(Table1323214[[#This Row],[h1]],8))</f>
        <v>0</v>
      </c>
      <c r="Q661" s="47" t="s">
        <v>149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149</v>
      </c>
      <c r="P662" s="47">
        <f>HEX2DEC(RIGHT(Table1323214[[#This Row],[h1]],8))</f>
        <v>0</v>
      </c>
      <c r="Q662" s="47" t="s">
        <v>149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149</v>
      </c>
      <c r="P663" s="47">
        <f>HEX2DEC(RIGHT(Table1323214[[#This Row],[h1]],8))</f>
        <v>0</v>
      </c>
      <c r="Q663" s="47" t="s">
        <v>149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149</v>
      </c>
      <c r="P664" s="47">
        <f>HEX2DEC(RIGHT(Table1323214[[#This Row],[h1]],8))</f>
        <v>0</v>
      </c>
      <c r="Q664" s="47" t="s">
        <v>149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149</v>
      </c>
      <c r="P665" s="47">
        <f>HEX2DEC(RIGHT(Table1323214[[#This Row],[h1]],8))</f>
        <v>0</v>
      </c>
      <c r="Q665" s="47" t="s">
        <v>149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149</v>
      </c>
      <c r="P666" s="47">
        <f>HEX2DEC(RIGHT(Table1323214[[#This Row],[h1]],8))</f>
        <v>0</v>
      </c>
      <c r="Q666" s="47" t="s">
        <v>149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149</v>
      </c>
      <c r="P667" s="47">
        <f>HEX2DEC(RIGHT(Table1323214[[#This Row],[h1]],8))</f>
        <v>0</v>
      </c>
      <c r="Q667" s="47" t="s">
        <v>149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149</v>
      </c>
      <c r="P668" s="47">
        <f>HEX2DEC(RIGHT(Table1323214[[#This Row],[h1]],8))</f>
        <v>0</v>
      </c>
      <c r="Q668" s="47" t="s">
        <v>149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149</v>
      </c>
      <c r="P669" s="47">
        <f>HEX2DEC(RIGHT(Table1323214[[#This Row],[h1]],8))</f>
        <v>0</v>
      </c>
      <c r="Q669" s="47" t="s">
        <v>149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149</v>
      </c>
      <c r="P670" s="47">
        <f>HEX2DEC(RIGHT(Table1323214[[#This Row],[h1]],8))</f>
        <v>0</v>
      </c>
      <c r="Q670" s="47" t="s">
        <v>149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149</v>
      </c>
      <c r="P671" s="47">
        <f>HEX2DEC(RIGHT(Table1323214[[#This Row],[h1]],8))</f>
        <v>0</v>
      </c>
      <c r="Q671" s="47" t="s">
        <v>149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149</v>
      </c>
      <c r="P672" s="47">
        <f>HEX2DEC(RIGHT(Table1323214[[#This Row],[h1]],8))</f>
        <v>0</v>
      </c>
      <c r="Q672" s="47" t="s">
        <v>149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149</v>
      </c>
      <c r="P673" s="47">
        <f>HEX2DEC(RIGHT(Table1323214[[#This Row],[h1]],8))</f>
        <v>0</v>
      </c>
      <c r="Q673" s="47" t="s">
        <v>149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149</v>
      </c>
      <c r="P674" s="47">
        <f>HEX2DEC(RIGHT(Table1323214[[#This Row],[h1]],8))</f>
        <v>0</v>
      </c>
      <c r="Q674" s="47" t="s">
        <v>149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149</v>
      </c>
      <c r="P675" s="47">
        <f>HEX2DEC(RIGHT(Table1323214[[#This Row],[h1]],8))</f>
        <v>0</v>
      </c>
      <c r="Q675" s="47" t="s">
        <v>149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149</v>
      </c>
      <c r="P676" s="47">
        <f>HEX2DEC(RIGHT(Table1323214[[#This Row],[h1]],8))</f>
        <v>0</v>
      </c>
      <c r="Q676" s="47" t="s">
        <v>149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149</v>
      </c>
      <c r="P677" s="47">
        <f>HEX2DEC(RIGHT(Table1323214[[#This Row],[h1]],8))</f>
        <v>0</v>
      </c>
      <c r="Q677" s="47" t="s">
        <v>149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149</v>
      </c>
      <c r="P678" s="47">
        <f>HEX2DEC(RIGHT(Table1323214[[#This Row],[h1]],8))</f>
        <v>0</v>
      </c>
      <c r="Q678" s="47" t="s">
        <v>149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149</v>
      </c>
      <c r="P679" s="47">
        <f>HEX2DEC(RIGHT(Table1323214[[#This Row],[h1]],8))</f>
        <v>0</v>
      </c>
      <c r="Q679" s="47" t="s">
        <v>149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149</v>
      </c>
      <c r="P680" s="47">
        <f>HEX2DEC(RIGHT(Table1323214[[#This Row],[h1]],8))</f>
        <v>0</v>
      </c>
      <c r="Q680" s="47" t="s">
        <v>149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149</v>
      </c>
      <c r="P681" s="47">
        <f>HEX2DEC(RIGHT(Table1323214[[#This Row],[h1]],8))</f>
        <v>0</v>
      </c>
      <c r="Q681" s="47" t="s">
        <v>149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149</v>
      </c>
      <c r="P682" s="47">
        <f>HEX2DEC(RIGHT(Table1323214[[#This Row],[h1]],8))</f>
        <v>0</v>
      </c>
      <c r="Q682" s="47" t="s">
        <v>149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149</v>
      </c>
      <c r="P683" s="47">
        <f>HEX2DEC(RIGHT(Table1323214[[#This Row],[h1]],8))</f>
        <v>0</v>
      </c>
      <c r="Q683" s="47" t="s">
        <v>149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149</v>
      </c>
      <c r="P684" s="47">
        <f>HEX2DEC(RIGHT(Table1323214[[#This Row],[h1]],8))</f>
        <v>0</v>
      </c>
      <c r="Q684" s="47" t="s">
        <v>149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149</v>
      </c>
      <c r="P685" s="47">
        <f>HEX2DEC(RIGHT(Table1323214[[#This Row],[h1]],8))</f>
        <v>0</v>
      </c>
      <c r="Q685" s="47" t="s">
        <v>149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149</v>
      </c>
      <c r="P686" s="47">
        <f>HEX2DEC(RIGHT(Table1323214[[#This Row],[h1]],8))</f>
        <v>0</v>
      </c>
      <c r="Q686" s="47" t="s">
        <v>149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149</v>
      </c>
      <c r="P687" s="47">
        <f>HEX2DEC(RIGHT(Table1323214[[#This Row],[h1]],8))</f>
        <v>0</v>
      </c>
      <c r="Q687" s="47" t="s">
        <v>149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149</v>
      </c>
      <c r="P688" s="47">
        <f>HEX2DEC(RIGHT(Table1323214[[#This Row],[h1]],8))</f>
        <v>0</v>
      </c>
      <c r="Q688" s="47" t="s">
        <v>149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149</v>
      </c>
      <c r="P689" s="47">
        <f>HEX2DEC(RIGHT(Table1323214[[#This Row],[h1]],8))</f>
        <v>0</v>
      </c>
      <c r="Q689" s="47" t="s">
        <v>149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149</v>
      </c>
      <c r="P690" s="47">
        <f>HEX2DEC(RIGHT(Table1323214[[#This Row],[h1]],8))</f>
        <v>0</v>
      </c>
      <c r="Q690" s="47" t="s">
        <v>149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149</v>
      </c>
      <c r="P691" s="47">
        <f>HEX2DEC(RIGHT(Table1323214[[#This Row],[h1]],8))</f>
        <v>0</v>
      </c>
      <c r="Q691" s="47" t="s">
        <v>149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149</v>
      </c>
      <c r="P692" s="47">
        <f>HEX2DEC(RIGHT(Table1323214[[#This Row],[h1]],8))</f>
        <v>0</v>
      </c>
      <c r="Q692" s="47" t="s">
        <v>149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149</v>
      </c>
      <c r="P693" s="47">
        <f>HEX2DEC(RIGHT(Table1323214[[#This Row],[h1]],8))</f>
        <v>0</v>
      </c>
      <c r="Q693" s="47" t="s">
        <v>149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149</v>
      </c>
      <c r="P694" s="47">
        <f>HEX2DEC(RIGHT(Table1323214[[#This Row],[h1]],8))</f>
        <v>0</v>
      </c>
      <c r="Q694" s="47" t="s">
        <v>149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149</v>
      </c>
      <c r="P695" s="47">
        <f>HEX2DEC(RIGHT(Table1323214[[#This Row],[h1]],8))</f>
        <v>0</v>
      </c>
      <c r="Q695" s="47" t="s">
        <v>149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149</v>
      </c>
      <c r="P696" s="47">
        <f>HEX2DEC(RIGHT(Table1323214[[#This Row],[h1]],8))</f>
        <v>0</v>
      </c>
      <c r="Q696" s="47" t="s">
        <v>149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149</v>
      </c>
      <c r="P697" s="47">
        <f>HEX2DEC(RIGHT(Table1323214[[#This Row],[h1]],8))</f>
        <v>0</v>
      </c>
      <c r="Q697" s="47" t="s">
        <v>149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149</v>
      </c>
      <c r="P698" s="47">
        <f>HEX2DEC(RIGHT(Table1323214[[#This Row],[h1]],8))</f>
        <v>0</v>
      </c>
      <c r="Q698" s="47" t="s">
        <v>149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149</v>
      </c>
      <c r="P699" s="47">
        <f>HEX2DEC(RIGHT(Table1323214[[#This Row],[h1]],8))</f>
        <v>0</v>
      </c>
      <c r="Q699" s="47" t="s">
        <v>149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149</v>
      </c>
      <c r="P700" s="47">
        <f>HEX2DEC(RIGHT(Table1323214[[#This Row],[h1]],8))</f>
        <v>0</v>
      </c>
      <c r="Q700" s="47" t="s">
        <v>149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149</v>
      </c>
      <c r="P701" s="47">
        <f>HEX2DEC(RIGHT(Table1323214[[#This Row],[h1]],8))</f>
        <v>0</v>
      </c>
      <c r="Q701" s="47" t="s">
        <v>149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149</v>
      </c>
      <c r="P702" s="47">
        <f>HEX2DEC(RIGHT(Table1323214[[#This Row],[h1]],8))</f>
        <v>0</v>
      </c>
      <c r="Q702" s="47" t="s">
        <v>149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149</v>
      </c>
      <c r="P703" s="47">
        <f>HEX2DEC(RIGHT(Table1323214[[#This Row],[h1]],8))</f>
        <v>0</v>
      </c>
      <c r="Q703" s="47" t="s">
        <v>149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149</v>
      </c>
      <c r="P704" s="47">
        <f>HEX2DEC(RIGHT(Table1323214[[#This Row],[h1]],8))</f>
        <v>0</v>
      </c>
      <c r="Q704" s="47" t="s">
        <v>149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149</v>
      </c>
      <c r="P705" s="47">
        <f>HEX2DEC(RIGHT(Table1323214[[#This Row],[h1]],8))</f>
        <v>0</v>
      </c>
      <c r="Q705" s="47" t="s">
        <v>149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149</v>
      </c>
      <c r="P706" s="47">
        <f>HEX2DEC(RIGHT(Table1323214[[#This Row],[h1]],8))</f>
        <v>0</v>
      </c>
      <c r="Q706" s="47" t="s">
        <v>149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149</v>
      </c>
      <c r="P707" s="47">
        <f>HEX2DEC(RIGHT(Table1323214[[#This Row],[h1]],8))</f>
        <v>0</v>
      </c>
      <c r="Q707" s="47" t="s">
        <v>149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149</v>
      </c>
      <c r="P708" s="47">
        <f>HEX2DEC(RIGHT(Table1323214[[#This Row],[h1]],8))</f>
        <v>0</v>
      </c>
      <c r="Q708" s="47" t="s">
        <v>149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149</v>
      </c>
      <c r="P709" s="47">
        <f>HEX2DEC(RIGHT(Table1323214[[#This Row],[h1]],8))</f>
        <v>0</v>
      </c>
      <c r="Q709" s="47" t="s">
        <v>149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149</v>
      </c>
      <c r="P710" s="47">
        <f>HEX2DEC(RIGHT(Table1323214[[#This Row],[h1]],8))</f>
        <v>0</v>
      </c>
      <c r="Q710" s="47" t="s">
        <v>149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149</v>
      </c>
      <c r="P711" s="47">
        <f>HEX2DEC(RIGHT(Table1323214[[#This Row],[h1]],8))</f>
        <v>0</v>
      </c>
      <c r="Q711" s="47" t="s">
        <v>149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149</v>
      </c>
      <c r="P712" s="47">
        <f>HEX2DEC(RIGHT(Table1323214[[#This Row],[h1]],8))</f>
        <v>0</v>
      </c>
      <c r="Q712" s="47" t="s">
        <v>149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149</v>
      </c>
      <c r="P713" s="47">
        <f>HEX2DEC(RIGHT(Table1323214[[#This Row],[h1]],8))</f>
        <v>0</v>
      </c>
      <c r="Q713" s="47" t="s">
        <v>149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149</v>
      </c>
      <c r="P714" s="47">
        <f>HEX2DEC(RIGHT(Table1323214[[#This Row],[h1]],8))</f>
        <v>0</v>
      </c>
      <c r="Q714" s="47" t="s">
        <v>149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149</v>
      </c>
      <c r="P715" s="47">
        <f>HEX2DEC(RIGHT(Table1323214[[#This Row],[h1]],8))</f>
        <v>0</v>
      </c>
      <c r="Q715" s="47" t="s">
        <v>149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149</v>
      </c>
      <c r="P716" s="47">
        <f>HEX2DEC(RIGHT(Table1323214[[#This Row],[h1]],8))</f>
        <v>0</v>
      </c>
      <c r="Q716" s="47" t="s">
        <v>149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149</v>
      </c>
      <c r="P717" s="47">
        <f>HEX2DEC(RIGHT(Table1323214[[#This Row],[h1]],8))</f>
        <v>0</v>
      </c>
      <c r="Q717" s="47" t="s">
        <v>149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149</v>
      </c>
      <c r="P718" s="47">
        <f>HEX2DEC(RIGHT(Table1323214[[#This Row],[h1]],8))</f>
        <v>0</v>
      </c>
      <c r="Q718" s="47" t="s">
        <v>149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149</v>
      </c>
      <c r="P719" s="47">
        <f>HEX2DEC(RIGHT(Table1323214[[#This Row],[h1]],8))</f>
        <v>0</v>
      </c>
      <c r="Q719" s="47" t="s">
        <v>149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149</v>
      </c>
      <c r="P720" s="47">
        <f>HEX2DEC(RIGHT(Table1323214[[#This Row],[h1]],8))</f>
        <v>0</v>
      </c>
      <c r="Q720" s="47" t="s">
        <v>149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149</v>
      </c>
      <c r="P721" s="47">
        <f>HEX2DEC(RIGHT(Table1323214[[#This Row],[h1]],8))</f>
        <v>0</v>
      </c>
      <c r="Q721" s="47" t="s">
        <v>149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149</v>
      </c>
      <c r="P722" s="47">
        <f>HEX2DEC(RIGHT(Table1323214[[#This Row],[h1]],8))</f>
        <v>0</v>
      </c>
      <c r="Q722" s="47" t="s">
        <v>149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149</v>
      </c>
      <c r="P723" s="47">
        <f>HEX2DEC(RIGHT(Table1323214[[#This Row],[h1]],8))</f>
        <v>0</v>
      </c>
      <c r="Q723" s="47" t="s">
        <v>149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149</v>
      </c>
      <c r="P724" s="47">
        <f>HEX2DEC(RIGHT(Table1323214[[#This Row],[h1]],8))</f>
        <v>0</v>
      </c>
      <c r="Q724" s="47" t="s">
        <v>149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149</v>
      </c>
      <c r="P725" s="47">
        <f>HEX2DEC(RIGHT(Table1323214[[#This Row],[h1]],8))</f>
        <v>0</v>
      </c>
      <c r="Q725" s="47" t="s">
        <v>149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149</v>
      </c>
      <c r="P726" s="47">
        <f>HEX2DEC(RIGHT(Table1323214[[#This Row],[h1]],8))</f>
        <v>0</v>
      </c>
      <c r="Q726" s="47" t="s">
        <v>149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149</v>
      </c>
      <c r="P727" s="47">
        <f>HEX2DEC(RIGHT(Table1323214[[#This Row],[h1]],8))</f>
        <v>0</v>
      </c>
      <c r="Q727" s="47" t="s">
        <v>149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149</v>
      </c>
      <c r="P728" s="47">
        <f>HEX2DEC(RIGHT(Table1323214[[#This Row],[h1]],8))</f>
        <v>0</v>
      </c>
      <c r="Q728" s="47" t="s">
        <v>149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149</v>
      </c>
      <c r="P729" s="47">
        <f>HEX2DEC(RIGHT(Table1323214[[#This Row],[h1]],8))</f>
        <v>0</v>
      </c>
      <c r="Q729" s="47" t="s">
        <v>149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149</v>
      </c>
      <c r="P730" s="47">
        <f>HEX2DEC(RIGHT(Table1323214[[#This Row],[h1]],8))</f>
        <v>0</v>
      </c>
      <c r="Q730" s="47" t="s">
        <v>149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149</v>
      </c>
      <c r="P731" s="47">
        <f>HEX2DEC(RIGHT(Table1323214[[#This Row],[h1]],8))</f>
        <v>0</v>
      </c>
      <c r="Q731" s="47" t="s">
        <v>149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149</v>
      </c>
      <c r="P732" s="47">
        <f>HEX2DEC(RIGHT(Table1323214[[#This Row],[h1]],8))</f>
        <v>0</v>
      </c>
      <c r="Q732" s="47" t="s">
        <v>149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149</v>
      </c>
      <c r="P733" s="47">
        <f>HEX2DEC(RIGHT(Table1323214[[#This Row],[h1]],8))</f>
        <v>0</v>
      </c>
      <c r="Q733" s="47" t="s">
        <v>149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149</v>
      </c>
      <c r="P734" s="47">
        <f>HEX2DEC(RIGHT(Table1323214[[#This Row],[h1]],8))</f>
        <v>0</v>
      </c>
      <c r="Q734" s="47" t="s">
        <v>149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149</v>
      </c>
      <c r="P735" s="47">
        <f>HEX2DEC(RIGHT(Table1323214[[#This Row],[h1]],8))</f>
        <v>0</v>
      </c>
      <c r="Q735" s="47" t="s">
        <v>149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149</v>
      </c>
      <c r="P736" s="47">
        <f>HEX2DEC(RIGHT(Table1323214[[#This Row],[h1]],8))</f>
        <v>0</v>
      </c>
      <c r="Q736" s="47" t="s">
        <v>149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149</v>
      </c>
      <c r="P737" s="47">
        <f>HEX2DEC(RIGHT(Table1323214[[#This Row],[h1]],8))</f>
        <v>0</v>
      </c>
      <c r="Q737" s="47" t="s">
        <v>149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149</v>
      </c>
      <c r="P738" s="47">
        <f>HEX2DEC(RIGHT(Table1323214[[#This Row],[h1]],8))</f>
        <v>0</v>
      </c>
      <c r="Q738" s="47" t="s">
        <v>149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149</v>
      </c>
      <c r="P739" s="47">
        <f>HEX2DEC(RIGHT(Table1323214[[#This Row],[h1]],8))</f>
        <v>0</v>
      </c>
      <c r="Q739" s="47" t="s">
        <v>149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149</v>
      </c>
      <c r="P740" s="47">
        <f>HEX2DEC(RIGHT(Table1323214[[#This Row],[h1]],8))</f>
        <v>0</v>
      </c>
      <c r="Q740" s="47" t="s">
        <v>149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149</v>
      </c>
      <c r="P741" s="47">
        <f>HEX2DEC(RIGHT(Table1323214[[#This Row],[h1]],8))</f>
        <v>0</v>
      </c>
      <c r="Q741" s="47" t="s">
        <v>149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149</v>
      </c>
      <c r="P742" s="47">
        <f>HEX2DEC(RIGHT(Table1323214[[#This Row],[h1]],8))</f>
        <v>0</v>
      </c>
      <c r="Q742" s="47" t="s">
        <v>149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149</v>
      </c>
      <c r="P743" s="47">
        <f>HEX2DEC(RIGHT(Table1323214[[#This Row],[h1]],8))</f>
        <v>0</v>
      </c>
      <c r="Q743" s="47" t="s">
        <v>149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149</v>
      </c>
      <c r="P744" s="47">
        <f>HEX2DEC(RIGHT(Table1323214[[#This Row],[h1]],8))</f>
        <v>0</v>
      </c>
      <c r="Q744" s="47" t="s">
        <v>149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149</v>
      </c>
      <c r="P745" s="47">
        <f>HEX2DEC(RIGHT(Table1323214[[#This Row],[h1]],8))</f>
        <v>0</v>
      </c>
      <c r="Q745" s="47" t="s">
        <v>149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149</v>
      </c>
      <c r="P746" s="47">
        <f>HEX2DEC(RIGHT(Table1323214[[#This Row],[h1]],8))</f>
        <v>0</v>
      </c>
      <c r="Q746" s="47" t="s">
        <v>149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149</v>
      </c>
      <c r="P747" s="47">
        <f>HEX2DEC(RIGHT(Table1323214[[#This Row],[h1]],8))</f>
        <v>0</v>
      </c>
      <c r="Q747" s="47" t="s">
        <v>149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149</v>
      </c>
      <c r="P748" s="47">
        <f>HEX2DEC(RIGHT(Table1323214[[#This Row],[h1]],8))</f>
        <v>0</v>
      </c>
      <c r="Q748" s="47" t="s">
        <v>149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149</v>
      </c>
      <c r="P749" s="47">
        <f>HEX2DEC(RIGHT(Table1323214[[#This Row],[h1]],8))</f>
        <v>0</v>
      </c>
      <c r="Q749" s="47" t="s">
        <v>149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149</v>
      </c>
      <c r="P750" s="47">
        <f>HEX2DEC(RIGHT(Table1323214[[#This Row],[h1]],8))</f>
        <v>0</v>
      </c>
      <c r="Q750" s="47" t="s">
        <v>149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149</v>
      </c>
      <c r="P751" s="47">
        <f>HEX2DEC(RIGHT(Table1323214[[#This Row],[h1]],8))</f>
        <v>0</v>
      </c>
      <c r="Q751" s="47" t="s">
        <v>149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149</v>
      </c>
      <c r="P752" s="47">
        <f>HEX2DEC(RIGHT(Table1323214[[#This Row],[h1]],8))</f>
        <v>0</v>
      </c>
      <c r="Q752" s="47" t="s">
        <v>149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149</v>
      </c>
      <c r="P753" s="47">
        <f>HEX2DEC(RIGHT(Table1323214[[#This Row],[h1]],8))</f>
        <v>0</v>
      </c>
      <c r="Q753" s="47" t="s">
        <v>149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149</v>
      </c>
      <c r="P754" s="47">
        <f>HEX2DEC(RIGHT(Table1323214[[#This Row],[h1]],8))</f>
        <v>0</v>
      </c>
      <c r="Q754" s="47" t="s">
        <v>149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149</v>
      </c>
      <c r="P755" s="47">
        <f>HEX2DEC(RIGHT(Table1323214[[#This Row],[h1]],8))</f>
        <v>0</v>
      </c>
      <c r="Q755" s="47" t="s">
        <v>149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149</v>
      </c>
      <c r="P756" s="47">
        <f>HEX2DEC(RIGHT(Table1323214[[#This Row],[h1]],8))</f>
        <v>0</v>
      </c>
      <c r="Q756" s="47" t="s">
        <v>149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149</v>
      </c>
      <c r="P757" s="47">
        <f>HEX2DEC(RIGHT(Table1323214[[#This Row],[h1]],8))</f>
        <v>0</v>
      </c>
      <c r="Q757" s="47" t="s">
        <v>149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149</v>
      </c>
      <c r="P758" s="47">
        <f>HEX2DEC(RIGHT(Table1323214[[#This Row],[h1]],8))</f>
        <v>0</v>
      </c>
      <c r="Q758" s="47" t="s">
        <v>149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149</v>
      </c>
      <c r="P759" s="47">
        <f>HEX2DEC(RIGHT(Table1323214[[#This Row],[h1]],8))</f>
        <v>0</v>
      </c>
      <c r="Q759" s="47" t="s">
        <v>149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149</v>
      </c>
      <c r="P760" s="47">
        <f>HEX2DEC(RIGHT(Table1323214[[#This Row],[h1]],8))</f>
        <v>0</v>
      </c>
      <c r="Q760" s="47" t="s">
        <v>149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149</v>
      </c>
      <c r="P761" s="47">
        <f>HEX2DEC(RIGHT(Table1323214[[#This Row],[h1]],8))</f>
        <v>0</v>
      </c>
      <c r="Q761" s="47" t="s">
        <v>149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149</v>
      </c>
      <c r="P762" s="47">
        <f>HEX2DEC(RIGHT(Table1323214[[#This Row],[h1]],8))</f>
        <v>0</v>
      </c>
      <c r="Q762" s="47" t="s">
        <v>149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149</v>
      </c>
      <c r="P763" s="47">
        <f>HEX2DEC(RIGHT(Table1323214[[#This Row],[h1]],8))</f>
        <v>0</v>
      </c>
      <c r="Q763" s="47" t="s">
        <v>149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149</v>
      </c>
      <c r="P764" s="47">
        <f>HEX2DEC(RIGHT(Table1323214[[#This Row],[h1]],8))</f>
        <v>0</v>
      </c>
      <c r="Q764" s="47" t="s">
        <v>149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149</v>
      </c>
      <c r="P765" s="47">
        <f>HEX2DEC(RIGHT(Table1323214[[#This Row],[h1]],8))</f>
        <v>0</v>
      </c>
      <c r="Q765" s="47" t="s">
        <v>149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149</v>
      </c>
      <c r="P766" s="47">
        <f>HEX2DEC(RIGHT(Table1323214[[#This Row],[h1]],8))</f>
        <v>0</v>
      </c>
      <c r="Q766" s="47" t="s">
        <v>149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149</v>
      </c>
      <c r="P767" s="47">
        <f>HEX2DEC(RIGHT(Table1323214[[#This Row],[h1]],8))</f>
        <v>0</v>
      </c>
      <c r="Q767" s="47" t="s">
        <v>149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149</v>
      </c>
      <c r="P768" s="47">
        <f>HEX2DEC(RIGHT(Table1323214[[#This Row],[h1]],8))</f>
        <v>0</v>
      </c>
      <c r="Q768" s="47" t="s">
        <v>149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149</v>
      </c>
      <c r="P769" s="47">
        <f>HEX2DEC(RIGHT(Table1323214[[#This Row],[h1]],8))</f>
        <v>0</v>
      </c>
      <c r="Q769" s="47" t="s">
        <v>149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149</v>
      </c>
      <c r="P770" s="47">
        <f>HEX2DEC(RIGHT(Table1323214[[#This Row],[h1]],8))</f>
        <v>0</v>
      </c>
      <c r="Q770" s="47" t="s">
        <v>149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149</v>
      </c>
      <c r="P771" s="47">
        <f>HEX2DEC(RIGHT(Table1323214[[#This Row],[h1]],8))</f>
        <v>0</v>
      </c>
      <c r="Q771" s="47" t="s">
        <v>149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149</v>
      </c>
      <c r="P772" s="47">
        <f>HEX2DEC(RIGHT(Table1323214[[#This Row],[h1]],8))</f>
        <v>0</v>
      </c>
      <c r="Q772" s="47" t="s">
        <v>149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149</v>
      </c>
      <c r="P773" s="47">
        <f>HEX2DEC(RIGHT(Table1323214[[#This Row],[h1]],8))</f>
        <v>0</v>
      </c>
      <c r="Q773" s="47" t="s">
        <v>149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149</v>
      </c>
      <c r="P774" s="47">
        <f>HEX2DEC(RIGHT(Table1323214[[#This Row],[h1]],8))</f>
        <v>0</v>
      </c>
      <c r="Q774" s="47" t="s">
        <v>149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149</v>
      </c>
      <c r="P775" s="47">
        <f>HEX2DEC(RIGHT(Table1323214[[#This Row],[h1]],8))</f>
        <v>0</v>
      </c>
      <c r="Q775" s="47" t="s">
        <v>149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149</v>
      </c>
      <c r="P776" s="47">
        <f>HEX2DEC(RIGHT(Table1323214[[#This Row],[h1]],8))</f>
        <v>0</v>
      </c>
      <c r="Q776" s="47" t="s">
        <v>149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149</v>
      </c>
      <c r="P777" s="47">
        <f>HEX2DEC(RIGHT(Table1323214[[#This Row],[h1]],8))</f>
        <v>0</v>
      </c>
      <c r="Q777" s="47" t="s">
        <v>149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149</v>
      </c>
      <c r="P778" s="47">
        <f>HEX2DEC(RIGHT(Table1323214[[#This Row],[h1]],8))</f>
        <v>0</v>
      </c>
      <c r="Q778" s="47" t="s">
        <v>149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149</v>
      </c>
      <c r="P779" s="47">
        <f>HEX2DEC(RIGHT(Table1323214[[#This Row],[h1]],8))</f>
        <v>0</v>
      </c>
      <c r="Q779" s="47" t="s">
        <v>149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149</v>
      </c>
      <c r="P780" s="47">
        <f>HEX2DEC(RIGHT(Table1323214[[#This Row],[h1]],8))</f>
        <v>0</v>
      </c>
      <c r="Q780" s="47" t="s">
        <v>149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149</v>
      </c>
      <c r="P781" s="47">
        <f>HEX2DEC(RIGHT(Table1323214[[#This Row],[h1]],8))</f>
        <v>0</v>
      </c>
      <c r="Q781" s="47" t="s">
        <v>149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149</v>
      </c>
      <c r="P782" s="47">
        <f>HEX2DEC(RIGHT(Table1323214[[#This Row],[h1]],8))</f>
        <v>0</v>
      </c>
      <c r="Q782" s="47" t="s">
        <v>149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149</v>
      </c>
      <c r="P783" s="47">
        <f>HEX2DEC(RIGHT(Table1323214[[#This Row],[h1]],8))</f>
        <v>0</v>
      </c>
      <c r="Q783" s="47" t="s">
        <v>149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149</v>
      </c>
      <c r="P784" s="47">
        <f>HEX2DEC(RIGHT(Table1323214[[#This Row],[h1]],8))</f>
        <v>0</v>
      </c>
      <c r="Q784" s="47" t="s">
        <v>149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149</v>
      </c>
      <c r="P785" s="47">
        <f>HEX2DEC(RIGHT(Table1323214[[#This Row],[h1]],8))</f>
        <v>0</v>
      </c>
      <c r="Q785" s="47" t="s">
        <v>149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149</v>
      </c>
      <c r="P786" s="47">
        <f>HEX2DEC(RIGHT(Table1323214[[#This Row],[h1]],8))</f>
        <v>0</v>
      </c>
      <c r="Q786" s="47" t="s">
        <v>149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149</v>
      </c>
      <c r="P787" s="47">
        <f>HEX2DEC(RIGHT(Table1323214[[#This Row],[h1]],8))</f>
        <v>0</v>
      </c>
      <c r="Q787" s="47" t="s">
        <v>149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149</v>
      </c>
      <c r="P788" s="47">
        <f>HEX2DEC(RIGHT(Table1323214[[#This Row],[h1]],8))</f>
        <v>0</v>
      </c>
      <c r="Q788" s="47" t="s">
        <v>149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149</v>
      </c>
      <c r="P789" s="47">
        <f>HEX2DEC(RIGHT(Table1323214[[#This Row],[h1]],8))</f>
        <v>0</v>
      </c>
      <c r="Q789" s="47" t="s">
        <v>149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149</v>
      </c>
      <c r="P790" s="47">
        <f>HEX2DEC(RIGHT(Table1323214[[#This Row],[h1]],8))</f>
        <v>0</v>
      </c>
      <c r="Q790" s="47" t="s">
        <v>149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149</v>
      </c>
      <c r="P791" s="47">
        <f>HEX2DEC(RIGHT(Table1323214[[#This Row],[h1]],8))</f>
        <v>0</v>
      </c>
      <c r="Q791" s="47" t="s">
        <v>149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149</v>
      </c>
      <c r="P792" s="47">
        <f>HEX2DEC(RIGHT(Table1323214[[#This Row],[h1]],8))</f>
        <v>0</v>
      </c>
      <c r="Q792" s="47" t="s">
        <v>149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149</v>
      </c>
      <c r="P793" s="47">
        <f>HEX2DEC(RIGHT(Table1323214[[#This Row],[h1]],8))</f>
        <v>0</v>
      </c>
      <c r="Q793" s="47" t="s">
        <v>149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149</v>
      </c>
      <c r="P794" s="47">
        <f>HEX2DEC(RIGHT(Table1323214[[#This Row],[h1]],8))</f>
        <v>0</v>
      </c>
      <c r="Q794" s="47" t="s">
        <v>149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149</v>
      </c>
      <c r="P795" s="47">
        <f>HEX2DEC(RIGHT(Table1323214[[#This Row],[h1]],8))</f>
        <v>0</v>
      </c>
      <c r="Q795" s="47" t="s">
        <v>149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149</v>
      </c>
      <c r="P796" s="47">
        <f>HEX2DEC(RIGHT(Table1323214[[#This Row],[h1]],8))</f>
        <v>0</v>
      </c>
      <c r="Q796" s="47" t="s">
        <v>149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149</v>
      </c>
      <c r="P797" s="47">
        <f>HEX2DEC(RIGHT(Table1323214[[#This Row],[h1]],8))</f>
        <v>0</v>
      </c>
      <c r="Q797" s="47" t="s">
        <v>149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149</v>
      </c>
      <c r="P798" s="47">
        <f>HEX2DEC(RIGHT(Table1323214[[#This Row],[h1]],8))</f>
        <v>0</v>
      </c>
      <c r="Q798" s="47" t="s">
        <v>149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149</v>
      </c>
      <c r="P799" s="47">
        <f>HEX2DEC(RIGHT(Table1323214[[#This Row],[h1]],8))</f>
        <v>0</v>
      </c>
      <c r="Q799" s="47" t="s">
        <v>149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149</v>
      </c>
      <c r="P800" s="47">
        <f>HEX2DEC(RIGHT(Table1323214[[#This Row],[h1]],8))</f>
        <v>0</v>
      </c>
      <c r="Q800" s="47" t="s">
        <v>149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149</v>
      </c>
      <c r="P801" s="47">
        <f>HEX2DEC(RIGHT(Table1323214[[#This Row],[h1]],8))</f>
        <v>0</v>
      </c>
      <c r="Q801" s="47" t="s">
        <v>149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149</v>
      </c>
      <c r="P802" s="47">
        <f>HEX2DEC(RIGHT(Table1323214[[#This Row],[h1]],8))</f>
        <v>0</v>
      </c>
      <c r="Q802" s="47" t="s">
        <v>149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149</v>
      </c>
      <c r="P803" s="47">
        <f>HEX2DEC(RIGHT(Table1323214[[#This Row],[h1]],8))</f>
        <v>0</v>
      </c>
      <c r="Q803" s="47" t="s">
        <v>149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149</v>
      </c>
      <c r="P804" s="47">
        <f>HEX2DEC(RIGHT(Table1323214[[#This Row],[h1]],8))</f>
        <v>0</v>
      </c>
      <c r="Q804" s="47" t="s">
        <v>149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149</v>
      </c>
      <c r="P805" s="47">
        <f>HEX2DEC(RIGHT(Table1323214[[#This Row],[h1]],8))</f>
        <v>0</v>
      </c>
      <c r="Q805" s="47" t="s">
        <v>149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149</v>
      </c>
      <c r="P806" s="47">
        <f>HEX2DEC(RIGHT(Table1323214[[#This Row],[h1]],8))</f>
        <v>0</v>
      </c>
      <c r="Q806" s="47" t="s">
        <v>149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149</v>
      </c>
      <c r="P807" s="47">
        <f>HEX2DEC(RIGHT(Table1323214[[#This Row],[h1]],8))</f>
        <v>0</v>
      </c>
      <c r="Q807" s="47" t="s">
        <v>149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149</v>
      </c>
      <c r="P808" s="47">
        <f>HEX2DEC(RIGHT(Table1323214[[#This Row],[h1]],8))</f>
        <v>0</v>
      </c>
      <c r="Q808" s="47" t="s">
        <v>149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149</v>
      </c>
      <c r="P809" s="47">
        <f>HEX2DEC(RIGHT(Table1323214[[#This Row],[h1]],8))</f>
        <v>0</v>
      </c>
      <c r="Q809" s="47" t="s">
        <v>149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149</v>
      </c>
      <c r="P810" s="47">
        <f>HEX2DEC(RIGHT(Table1323214[[#This Row],[h1]],8))</f>
        <v>0</v>
      </c>
      <c r="Q810" s="47" t="s">
        <v>149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149</v>
      </c>
      <c r="P811" s="47">
        <f>HEX2DEC(RIGHT(Table1323214[[#This Row],[h1]],8))</f>
        <v>0</v>
      </c>
      <c r="Q811" s="47" t="s">
        <v>149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149</v>
      </c>
      <c r="P812" s="47">
        <f>HEX2DEC(RIGHT(Table1323214[[#This Row],[h1]],8))</f>
        <v>0</v>
      </c>
      <c r="Q812" s="47" t="s">
        <v>149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149</v>
      </c>
      <c r="P813" s="47">
        <f>HEX2DEC(RIGHT(Table1323214[[#This Row],[h1]],8))</f>
        <v>0</v>
      </c>
      <c r="Q813" s="47" t="s">
        <v>149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149</v>
      </c>
      <c r="P814" s="47">
        <f>HEX2DEC(RIGHT(Table1323214[[#This Row],[h1]],8))</f>
        <v>0</v>
      </c>
      <c r="Q814" s="47" t="s">
        <v>149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149</v>
      </c>
      <c r="P815" s="47">
        <f>HEX2DEC(RIGHT(Table1323214[[#This Row],[h1]],8))</f>
        <v>0</v>
      </c>
      <c r="Q815" s="47" t="s">
        <v>149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149</v>
      </c>
      <c r="P816" s="47">
        <f>HEX2DEC(RIGHT(Table1323214[[#This Row],[h1]],8))</f>
        <v>0</v>
      </c>
      <c r="Q816" s="47" t="s">
        <v>149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149</v>
      </c>
      <c r="P817" s="47">
        <f>HEX2DEC(RIGHT(Table1323214[[#This Row],[h1]],8))</f>
        <v>0</v>
      </c>
      <c r="Q817" s="47" t="s">
        <v>149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149</v>
      </c>
      <c r="P818" s="47">
        <f>HEX2DEC(RIGHT(Table1323214[[#This Row],[h1]],8))</f>
        <v>0</v>
      </c>
      <c r="Q818" s="47" t="s">
        <v>149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149</v>
      </c>
      <c r="P819" s="47">
        <f>HEX2DEC(RIGHT(Table1323214[[#This Row],[h1]],8))</f>
        <v>0</v>
      </c>
      <c r="Q819" s="47" t="s">
        <v>149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149</v>
      </c>
      <c r="P820" s="47">
        <f>HEX2DEC(RIGHT(Table1323214[[#This Row],[h1]],8))</f>
        <v>0</v>
      </c>
      <c r="Q820" s="47" t="s">
        <v>149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149</v>
      </c>
      <c r="P821" s="47">
        <f>HEX2DEC(RIGHT(Table1323214[[#This Row],[h1]],8))</f>
        <v>0</v>
      </c>
      <c r="Q821" s="47" t="s">
        <v>149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149</v>
      </c>
      <c r="P822" s="47">
        <f>HEX2DEC(RIGHT(Table1323214[[#This Row],[h1]],8))</f>
        <v>0</v>
      </c>
      <c r="Q822" s="47" t="s">
        <v>149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149</v>
      </c>
      <c r="P823" s="47">
        <f>HEX2DEC(RIGHT(Table1323214[[#This Row],[h1]],8))</f>
        <v>0</v>
      </c>
      <c r="Q823" s="47" t="s">
        <v>149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149</v>
      </c>
      <c r="P824" s="47">
        <f>HEX2DEC(RIGHT(Table1323214[[#This Row],[h1]],8))</f>
        <v>0</v>
      </c>
      <c r="Q824" s="47" t="s">
        <v>149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149</v>
      </c>
      <c r="P825" s="47">
        <f>HEX2DEC(RIGHT(Table1323214[[#This Row],[h1]],8))</f>
        <v>0</v>
      </c>
      <c r="Q825" s="47" t="s">
        <v>149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149</v>
      </c>
      <c r="P826" s="47">
        <f>HEX2DEC(RIGHT(Table1323214[[#This Row],[h1]],8))</f>
        <v>0</v>
      </c>
      <c r="Q826" s="47" t="s">
        <v>149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149</v>
      </c>
      <c r="P827" s="47">
        <f>HEX2DEC(RIGHT(Table1323214[[#This Row],[h1]],8))</f>
        <v>0</v>
      </c>
      <c r="Q827" s="47" t="s">
        <v>149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149</v>
      </c>
      <c r="P828" s="47">
        <f>HEX2DEC(RIGHT(Table1323214[[#This Row],[h1]],8))</f>
        <v>0</v>
      </c>
      <c r="Q828" s="47" t="s">
        <v>149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149</v>
      </c>
      <c r="P829" s="47">
        <f>HEX2DEC(RIGHT(Table1323214[[#This Row],[h1]],8))</f>
        <v>0</v>
      </c>
      <c r="Q829" s="47" t="s">
        <v>149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149</v>
      </c>
      <c r="P830" s="47">
        <f>HEX2DEC(RIGHT(Table1323214[[#This Row],[h1]],8))</f>
        <v>0</v>
      </c>
      <c r="Q830" s="47" t="s">
        <v>149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149</v>
      </c>
      <c r="P831" s="47">
        <f>HEX2DEC(RIGHT(Table1323214[[#This Row],[h1]],8))</f>
        <v>0</v>
      </c>
      <c r="Q831" s="47" t="s">
        <v>149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149</v>
      </c>
      <c r="P832" s="47">
        <f>HEX2DEC(RIGHT(Table1323214[[#This Row],[h1]],8))</f>
        <v>0</v>
      </c>
      <c r="Q832" s="47" t="s">
        <v>149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149</v>
      </c>
      <c r="P833" s="47">
        <f>HEX2DEC(RIGHT(Table1323214[[#This Row],[h1]],8))</f>
        <v>0</v>
      </c>
      <c r="Q833" s="47" t="s">
        <v>149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149</v>
      </c>
      <c r="P834" s="47">
        <f>HEX2DEC(RIGHT(Table1323214[[#This Row],[h1]],8))</f>
        <v>0</v>
      </c>
      <c r="Q834" s="47" t="s">
        <v>149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149</v>
      </c>
      <c r="P835" s="47">
        <f>HEX2DEC(RIGHT(Table1323214[[#This Row],[h1]],8))</f>
        <v>0</v>
      </c>
      <c r="Q835" s="47" t="s">
        <v>149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149</v>
      </c>
      <c r="P836" s="47">
        <f>HEX2DEC(RIGHT(Table1323214[[#This Row],[h1]],8))</f>
        <v>0</v>
      </c>
      <c r="Q836" s="47" t="s">
        <v>149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149</v>
      </c>
      <c r="P837" s="47">
        <f>HEX2DEC(RIGHT(Table1323214[[#This Row],[h1]],8))</f>
        <v>0</v>
      </c>
      <c r="Q837" s="47" t="s">
        <v>149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149</v>
      </c>
      <c r="P838" s="47">
        <f>HEX2DEC(RIGHT(Table1323214[[#This Row],[h1]],8))</f>
        <v>0</v>
      </c>
      <c r="Q838" s="47" t="s">
        <v>149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149</v>
      </c>
      <c r="P839" s="47">
        <f>HEX2DEC(RIGHT(Table1323214[[#This Row],[h1]],8))</f>
        <v>0</v>
      </c>
      <c r="Q839" s="47" t="s">
        <v>149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149</v>
      </c>
      <c r="P840" s="47">
        <f>HEX2DEC(RIGHT(Table1323214[[#This Row],[h1]],8))</f>
        <v>0</v>
      </c>
      <c r="Q840" s="47" t="s">
        <v>149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149</v>
      </c>
      <c r="P841" s="47">
        <f>HEX2DEC(RIGHT(Table1323214[[#This Row],[h1]],8))</f>
        <v>0</v>
      </c>
      <c r="Q841" s="47" t="s">
        <v>149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149</v>
      </c>
      <c r="P842" s="47">
        <f>HEX2DEC(RIGHT(Table1323214[[#This Row],[h1]],8))</f>
        <v>0</v>
      </c>
      <c r="Q842" s="47" t="s">
        <v>149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149</v>
      </c>
      <c r="P843" s="47">
        <f>HEX2DEC(RIGHT(Table1323214[[#This Row],[h1]],8))</f>
        <v>0</v>
      </c>
      <c r="Q843" s="47" t="s">
        <v>149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149</v>
      </c>
      <c r="P844" s="47">
        <f>HEX2DEC(RIGHT(Table1323214[[#This Row],[h1]],8))</f>
        <v>0</v>
      </c>
      <c r="Q844" s="47" t="s">
        <v>149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149</v>
      </c>
      <c r="P845" s="47">
        <f>HEX2DEC(RIGHT(Table1323214[[#This Row],[h1]],8))</f>
        <v>0</v>
      </c>
      <c r="Q845" s="47" t="s">
        <v>149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149</v>
      </c>
      <c r="P846" s="47">
        <f>HEX2DEC(RIGHT(Table1323214[[#This Row],[h1]],8))</f>
        <v>0</v>
      </c>
      <c r="Q846" s="47" t="s">
        <v>149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149</v>
      </c>
      <c r="P847" s="47">
        <f>HEX2DEC(RIGHT(Table1323214[[#This Row],[h1]],8))</f>
        <v>0</v>
      </c>
      <c r="Q847" s="47" t="s">
        <v>149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149</v>
      </c>
      <c r="P848" s="47">
        <f>HEX2DEC(RIGHT(Table1323214[[#This Row],[h1]],8))</f>
        <v>0</v>
      </c>
      <c r="Q848" s="47" t="s">
        <v>149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149</v>
      </c>
      <c r="P849" s="47">
        <f>HEX2DEC(RIGHT(Table1323214[[#This Row],[h1]],8))</f>
        <v>0</v>
      </c>
      <c r="Q849" s="47" t="s">
        <v>149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149</v>
      </c>
      <c r="P850" s="47">
        <f>HEX2DEC(RIGHT(Table1323214[[#This Row],[h1]],8))</f>
        <v>0</v>
      </c>
      <c r="Q850" s="47" t="s">
        <v>149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149</v>
      </c>
      <c r="P851" s="47">
        <f>HEX2DEC(RIGHT(Table1323214[[#This Row],[h1]],8))</f>
        <v>0</v>
      </c>
      <c r="Q851" s="47" t="s">
        <v>149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149</v>
      </c>
      <c r="P852" s="47">
        <f>HEX2DEC(RIGHT(Table1323214[[#This Row],[h1]],8))</f>
        <v>0</v>
      </c>
      <c r="Q852" s="47" t="s">
        <v>149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149</v>
      </c>
      <c r="P853" s="47">
        <f>HEX2DEC(RIGHT(Table1323214[[#This Row],[h1]],8))</f>
        <v>0</v>
      </c>
      <c r="Q853" s="47" t="s">
        <v>149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149</v>
      </c>
      <c r="P854" s="47">
        <f>HEX2DEC(RIGHT(Table1323214[[#This Row],[h1]],8))</f>
        <v>0</v>
      </c>
      <c r="Q854" s="47" t="s">
        <v>149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149</v>
      </c>
      <c r="P855" s="47">
        <f>HEX2DEC(RIGHT(Table1323214[[#This Row],[h1]],8))</f>
        <v>0</v>
      </c>
      <c r="Q855" s="47" t="s">
        <v>149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149</v>
      </c>
      <c r="P856" s="47">
        <f>HEX2DEC(RIGHT(Table1323214[[#This Row],[h1]],8))</f>
        <v>0</v>
      </c>
      <c r="Q856" s="47" t="s">
        <v>149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149</v>
      </c>
      <c r="P857" s="47">
        <f>HEX2DEC(RIGHT(Table1323214[[#This Row],[h1]],8))</f>
        <v>0</v>
      </c>
      <c r="Q857" s="47" t="s">
        <v>149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149</v>
      </c>
      <c r="P858" s="47">
        <f>HEX2DEC(RIGHT(Table1323214[[#This Row],[h1]],8))</f>
        <v>0</v>
      </c>
      <c r="Q858" s="47" t="s">
        <v>149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149</v>
      </c>
      <c r="P859" s="47">
        <f>HEX2DEC(RIGHT(Table1323214[[#This Row],[h1]],8))</f>
        <v>0</v>
      </c>
      <c r="Q859" s="47" t="s">
        <v>149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149</v>
      </c>
      <c r="P860" s="47">
        <f>HEX2DEC(RIGHT(Table1323214[[#This Row],[h1]],8))</f>
        <v>0</v>
      </c>
      <c r="Q860" s="47" t="s">
        <v>149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149</v>
      </c>
      <c r="P861" s="47">
        <f>HEX2DEC(RIGHT(Table1323214[[#This Row],[h1]],8))</f>
        <v>0</v>
      </c>
      <c r="Q861" s="47" t="s">
        <v>149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149</v>
      </c>
      <c r="P862" s="47">
        <f>HEX2DEC(RIGHT(Table1323214[[#This Row],[h1]],8))</f>
        <v>0</v>
      </c>
      <c r="Q862" s="47" t="s">
        <v>149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149</v>
      </c>
      <c r="P863" s="47">
        <f>HEX2DEC(RIGHT(Table1323214[[#This Row],[h1]],8))</f>
        <v>0</v>
      </c>
      <c r="Q863" s="47" t="s">
        <v>149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149</v>
      </c>
      <c r="P864" s="47">
        <f>HEX2DEC(RIGHT(Table1323214[[#This Row],[h1]],8))</f>
        <v>0</v>
      </c>
      <c r="Q864" s="47" t="s">
        <v>149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149</v>
      </c>
      <c r="P865" s="47">
        <f>HEX2DEC(RIGHT(Table1323214[[#This Row],[h1]],8))</f>
        <v>0</v>
      </c>
      <c r="Q865" s="47" t="s">
        <v>149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149</v>
      </c>
      <c r="P866" s="47">
        <f>HEX2DEC(RIGHT(Table1323214[[#This Row],[h1]],8))</f>
        <v>0</v>
      </c>
      <c r="Q866" s="47" t="s">
        <v>149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149</v>
      </c>
      <c r="P867" s="47">
        <f>HEX2DEC(RIGHT(Table1323214[[#This Row],[h1]],8))</f>
        <v>0</v>
      </c>
      <c r="Q867" s="47" t="s">
        <v>149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149</v>
      </c>
      <c r="P868" s="47">
        <f>HEX2DEC(RIGHT(Table1323214[[#This Row],[h1]],8))</f>
        <v>0</v>
      </c>
      <c r="Q868" s="47" t="s">
        <v>149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149</v>
      </c>
      <c r="P869" s="47">
        <f>HEX2DEC(RIGHT(Table1323214[[#This Row],[h1]],8))</f>
        <v>0</v>
      </c>
      <c r="Q869" s="47" t="s">
        <v>149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149</v>
      </c>
      <c r="P870" s="47">
        <f>HEX2DEC(RIGHT(Table1323214[[#This Row],[h1]],8))</f>
        <v>0</v>
      </c>
      <c r="Q870" s="47" t="s">
        <v>149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149</v>
      </c>
      <c r="P871" s="47">
        <f>HEX2DEC(RIGHT(Table1323214[[#This Row],[h1]],8))</f>
        <v>0</v>
      </c>
      <c r="Q871" s="47" t="s">
        <v>149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149</v>
      </c>
      <c r="P872" s="47">
        <f>HEX2DEC(RIGHT(Table1323214[[#This Row],[h1]],8))</f>
        <v>0</v>
      </c>
      <c r="Q872" s="47" t="s">
        <v>149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149</v>
      </c>
      <c r="P873" s="47">
        <f>HEX2DEC(RIGHT(Table1323214[[#This Row],[h1]],8))</f>
        <v>0</v>
      </c>
      <c r="Q873" s="47" t="s">
        <v>149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149</v>
      </c>
      <c r="P874" s="47">
        <f>HEX2DEC(RIGHT(Table1323214[[#This Row],[h1]],8))</f>
        <v>0</v>
      </c>
      <c r="Q874" s="47" t="s">
        <v>149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149</v>
      </c>
      <c r="P875" s="47">
        <f>HEX2DEC(RIGHT(Table1323214[[#This Row],[h1]],8))</f>
        <v>0</v>
      </c>
      <c r="Q875" s="47" t="s">
        <v>149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149</v>
      </c>
      <c r="P876" s="47">
        <f>HEX2DEC(RIGHT(Table1323214[[#This Row],[h1]],8))</f>
        <v>0</v>
      </c>
      <c r="Q876" s="47" t="s">
        <v>149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149</v>
      </c>
      <c r="P877" s="47">
        <f>HEX2DEC(RIGHT(Table1323214[[#This Row],[h1]],8))</f>
        <v>0</v>
      </c>
      <c r="Q877" s="47" t="s">
        <v>149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149</v>
      </c>
      <c r="P878" s="47">
        <f>HEX2DEC(RIGHT(Table1323214[[#This Row],[h1]],8))</f>
        <v>0</v>
      </c>
      <c r="Q878" s="47" t="s">
        <v>149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149</v>
      </c>
      <c r="P879" s="47">
        <f>HEX2DEC(RIGHT(Table1323214[[#This Row],[h1]],8))</f>
        <v>0</v>
      </c>
      <c r="Q879" s="47" t="s">
        <v>149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149</v>
      </c>
      <c r="P880" s="47">
        <f>HEX2DEC(RIGHT(Table1323214[[#This Row],[h1]],8))</f>
        <v>0</v>
      </c>
      <c r="Q880" s="47" t="s">
        <v>149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149</v>
      </c>
      <c r="P881" s="47">
        <f>HEX2DEC(RIGHT(Table1323214[[#This Row],[h1]],8))</f>
        <v>0</v>
      </c>
      <c r="Q881" s="47" t="s">
        <v>149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149</v>
      </c>
      <c r="P882" s="47">
        <f>HEX2DEC(RIGHT(Table1323214[[#This Row],[h1]],8))</f>
        <v>0</v>
      </c>
      <c r="Q882" s="47" t="s">
        <v>149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149</v>
      </c>
      <c r="P883" s="47">
        <f>HEX2DEC(RIGHT(Table1323214[[#This Row],[h1]],8))</f>
        <v>0</v>
      </c>
      <c r="Q883" s="47" t="s">
        <v>149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149</v>
      </c>
      <c r="P884" s="47">
        <f>HEX2DEC(RIGHT(Table1323214[[#This Row],[h1]],8))</f>
        <v>0</v>
      </c>
      <c r="Q884" s="47" t="s">
        <v>149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149</v>
      </c>
      <c r="P885" s="47">
        <f>HEX2DEC(RIGHT(Table1323214[[#This Row],[h1]],8))</f>
        <v>0</v>
      </c>
      <c r="Q885" s="47" t="s">
        <v>149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149</v>
      </c>
      <c r="P886" s="47">
        <f>HEX2DEC(RIGHT(Table1323214[[#This Row],[h1]],8))</f>
        <v>0</v>
      </c>
      <c r="Q886" s="47" t="s">
        <v>149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149</v>
      </c>
      <c r="P887" s="47">
        <f>HEX2DEC(RIGHT(Table1323214[[#This Row],[h1]],8))</f>
        <v>0</v>
      </c>
      <c r="Q887" s="47" t="s">
        <v>149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149</v>
      </c>
      <c r="P888" s="47">
        <f>HEX2DEC(RIGHT(Table1323214[[#This Row],[h1]],8))</f>
        <v>0</v>
      </c>
      <c r="Q888" s="47" t="s">
        <v>149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149</v>
      </c>
      <c r="P889" s="47">
        <f>HEX2DEC(RIGHT(Table1323214[[#This Row],[h1]],8))</f>
        <v>0</v>
      </c>
      <c r="Q889" s="47" t="s">
        <v>149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149</v>
      </c>
      <c r="P890" s="47">
        <f>HEX2DEC(RIGHT(Table1323214[[#This Row],[h1]],8))</f>
        <v>0</v>
      </c>
      <c r="Q890" s="47" t="s">
        <v>149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149</v>
      </c>
      <c r="P891" s="47">
        <f>HEX2DEC(RIGHT(Table1323214[[#This Row],[h1]],8))</f>
        <v>0</v>
      </c>
      <c r="Q891" s="47" t="s">
        <v>149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149</v>
      </c>
      <c r="P892" s="47">
        <f>HEX2DEC(RIGHT(Table1323214[[#This Row],[h1]],8))</f>
        <v>0</v>
      </c>
      <c r="Q892" s="47" t="s">
        <v>149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149</v>
      </c>
      <c r="P893" s="47">
        <f>HEX2DEC(RIGHT(Table1323214[[#This Row],[h1]],8))</f>
        <v>0</v>
      </c>
      <c r="Q893" s="47" t="s">
        <v>149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149</v>
      </c>
      <c r="P894" s="47">
        <f>HEX2DEC(RIGHT(Table1323214[[#This Row],[h1]],8))</f>
        <v>0</v>
      </c>
      <c r="Q894" s="47" t="s">
        <v>149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149</v>
      </c>
      <c r="P895" s="47">
        <f>HEX2DEC(RIGHT(Table1323214[[#This Row],[h1]],8))</f>
        <v>0</v>
      </c>
      <c r="Q895" s="47" t="s">
        <v>149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149</v>
      </c>
      <c r="P896" s="47">
        <f>HEX2DEC(RIGHT(Table1323214[[#This Row],[h1]],8))</f>
        <v>0</v>
      </c>
      <c r="Q896" s="47" t="s">
        <v>149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149</v>
      </c>
      <c r="P897" s="47">
        <f>HEX2DEC(RIGHT(Table1323214[[#This Row],[h1]],8))</f>
        <v>0</v>
      </c>
      <c r="Q897" s="47" t="s">
        <v>149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149</v>
      </c>
      <c r="P898" s="47">
        <f>HEX2DEC(RIGHT(Table1323214[[#This Row],[h1]],8))</f>
        <v>0</v>
      </c>
      <c r="Q898" s="47" t="s">
        <v>149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149</v>
      </c>
      <c r="P899" s="47">
        <f>HEX2DEC(RIGHT(Table1323214[[#This Row],[h1]],8))</f>
        <v>0</v>
      </c>
      <c r="Q899" s="47" t="s">
        <v>149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149</v>
      </c>
      <c r="P900" s="47">
        <f>HEX2DEC(RIGHT(Table1323214[[#This Row],[h1]],8))</f>
        <v>0</v>
      </c>
      <c r="Q900" s="47" t="s">
        <v>149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149</v>
      </c>
      <c r="P901" s="47">
        <f>HEX2DEC(RIGHT(Table1323214[[#This Row],[h1]],8))</f>
        <v>0</v>
      </c>
      <c r="Q901" s="47" t="s">
        <v>149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149</v>
      </c>
      <c r="P902" s="47">
        <f>HEX2DEC(RIGHT(Table1323214[[#This Row],[h1]],8))</f>
        <v>0</v>
      </c>
      <c r="Q902" s="47" t="s">
        <v>149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149</v>
      </c>
      <c r="P903" s="47">
        <f>HEX2DEC(RIGHT(Table1323214[[#This Row],[h1]],8))</f>
        <v>0</v>
      </c>
      <c r="Q903" s="47" t="s">
        <v>149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149</v>
      </c>
      <c r="P904" s="47">
        <f>HEX2DEC(RIGHT(Table1323214[[#This Row],[h1]],8))</f>
        <v>0</v>
      </c>
      <c r="Q904" s="47" t="s">
        <v>149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149</v>
      </c>
      <c r="P905" s="47">
        <f>HEX2DEC(RIGHT(Table1323214[[#This Row],[h1]],8))</f>
        <v>0</v>
      </c>
      <c r="Q905" s="47" t="s">
        <v>149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149</v>
      </c>
      <c r="P906" s="47">
        <f>HEX2DEC(RIGHT(Table1323214[[#This Row],[h1]],8))</f>
        <v>0</v>
      </c>
      <c r="Q906" s="47" t="s">
        <v>149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149</v>
      </c>
      <c r="P907" s="47">
        <f>HEX2DEC(RIGHT(Table1323214[[#This Row],[h1]],8))</f>
        <v>0</v>
      </c>
      <c r="Q907" s="47" t="s">
        <v>149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149</v>
      </c>
      <c r="P908" s="47">
        <f>HEX2DEC(RIGHT(Table1323214[[#This Row],[h1]],8))</f>
        <v>0</v>
      </c>
      <c r="Q908" s="47" t="s">
        <v>149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149</v>
      </c>
      <c r="P909" s="47">
        <f>HEX2DEC(RIGHT(Table1323214[[#This Row],[h1]],8))</f>
        <v>0</v>
      </c>
      <c r="Q909" s="47" t="s">
        <v>149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149</v>
      </c>
      <c r="P910" s="47">
        <f>HEX2DEC(RIGHT(Table1323214[[#This Row],[h1]],8))</f>
        <v>0</v>
      </c>
      <c r="Q910" s="47" t="s">
        <v>149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149</v>
      </c>
      <c r="P911" s="47">
        <f>HEX2DEC(RIGHT(Table1323214[[#This Row],[h1]],8))</f>
        <v>0</v>
      </c>
      <c r="Q911" s="47" t="s">
        <v>149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149</v>
      </c>
      <c r="P912" s="47">
        <f>HEX2DEC(RIGHT(Table1323214[[#This Row],[h1]],8))</f>
        <v>0</v>
      </c>
      <c r="Q912" s="47" t="s">
        <v>149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149</v>
      </c>
      <c r="P913" s="47">
        <f>HEX2DEC(RIGHT(Table1323214[[#This Row],[h1]],8))</f>
        <v>0</v>
      </c>
      <c r="Q913" s="47" t="s">
        <v>149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149</v>
      </c>
      <c r="P914" s="47">
        <f>HEX2DEC(RIGHT(Table1323214[[#This Row],[h1]],8))</f>
        <v>0</v>
      </c>
      <c r="Q914" s="47" t="s">
        <v>149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149</v>
      </c>
      <c r="P915" s="47">
        <f>HEX2DEC(RIGHT(Table1323214[[#This Row],[h1]],8))</f>
        <v>0</v>
      </c>
      <c r="Q915" s="47" t="s">
        <v>149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149</v>
      </c>
      <c r="P916" s="47">
        <f>HEX2DEC(RIGHT(Table1323214[[#This Row],[h1]],8))</f>
        <v>0</v>
      </c>
      <c r="Q916" s="47" t="s">
        <v>149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149</v>
      </c>
      <c r="P917" s="47">
        <f>HEX2DEC(RIGHT(Table1323214[[#This Row],[h1]],8))</f>
        <v>0</v>
      </c>
      <c r="Q917" s="47" t="s">
        <v>149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149</v>
      </c>
      <c r="P918" s="47">
        <f>HEX2DEC(RIGHT(Table1323214[[#This Row],[h1]],8))</f>
        <v>0</v>
      </c>
      <c r="Q918" s="47" t="s">
        <v>149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149</v>
      </c>
      <c r="P919" s="47">
        <f>HEX2DEC(RIGHT(Table1323214[[#This Row],[h1]],8))</f>
        <v>0</v>
      </c>
      <c r="Q919" s="47" t="s">
        <v>149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149</v>
      </c>
      <c r="P920" s="47">
        <f>HEX2DEC(RIGHT(Table1323214[[#This Row],[h1]],8))</f>
        <v>0</v>
      </c>
      <c r="Q920" s="47" t="s">
        <v>149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149</v>
      </c>
      <c r="P921" s="47">
        <f>HEX2DEC(RIGHT(Table1323214[[#This Row],[h1]],8))</f>
        <v>0</v>
      </c>
      <c r="Q921" s="47" t="s">
        <v>149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149</v>
      </c>
      <c r="P922" s="47">
        <f>HEX2DEC(RIGHT(Table1323214[[#This Row],[h1]],8))</f>
        <v>0</v>
      </c>
      <c r="Q922" s="47" t="s">
        <v>149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149</v>
      </c>
      <c r="P923" s="47">
        <f>HEX2DEC(RIGHT(Table1323214[[#This Row],[h1]],8))</f>
        <v>0</v>
      </c>
      <c r="Q923" s="47" t="s">
        <v>149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149</v>
      </c>
      <c r="P924" s="47">
        <f>HEX2DEC(RIGHT(Table1323214[[#This Row],[h1]],8))</f>
        <v>0</v>
      </c>
      <c r="Q924" s="47" t="s">
        <v>149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149</v>
      </c>
      <c r="P925" s="47">
        <f>HEX2DEC(RIGHT(Table1323214[[#This Row],[h1]],8))</f>
        <v>0</v>
      </c>
      <c r="Q925" s="47" t="s">
        <v>149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149</v>
      </c>
      <c r="P926" s="47">
        <f>HEX2DEC(RIGHT(Table1323214[[#This Row],[h1]],8))</f>
        <v>0</v>
      </c>
      <c r="Q926" s="47" t="s">
        <v>149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149</v>
      </c>
      <c r="P927" s="47">
        <f>HEX2DEC(RIGHT(Table1323214[[#This Row],[h1]],8))</f>
        <v>0</v>
      </c>
      <c r="Q927" s="47" t="s">
        <v>149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149</v>
      </c>
      <c r="P928" s="47">
        <f>HEX2DEC(RIGHT(Table1323214[[#This Row],[h1]],8))</f>
        <v>0</v>
      </c>
      <c r="Q928" s="47" t="s">
        <v>149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149</v>
      </c>
      <c r="P929" s="47">
        <f>HEX2DEC(RIGHT(Table1323214[[#This Row],[h1]],8))</f>
        <v>0</v>
      </c>
      <c r="Q929" s="47" t="s">
        <v>149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149</v>
      </c>
      <c r="P930" s="47">
        <f>HEX2DEC(RIGHT(Table1323214[[#This Row],[h1]],8))</f>
        <v>0</v>
      </c>
      <c r="Q930" s="47" t="s">
        <v>149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149</v>
      </c>
      <c r="P931" s="47">
        <f>HEX2DEC(RIGHT(Table1323214[[#This Row],[h1]],8))</f>
        <v>0</v>
      </c>
      <c r="Q931" s="47" t="s">
        <v>149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149</v>
      </c>
      <c r="P932" s="47">
        <f>HEX2DEC(RIGHT(Table1323214[[#This Row],[h1]],8))</f>
        <v>0</v>
      </c>
      <c r="Q932" s="47" t="s">
        <v>149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149</v>
      </c>
      <c r="P933" s="47">
        <f>HEX2DEC(RIGHT(Table1323214[[#This Row],[h1]],8))</f>
        <v>0</v>
      </c>
      <c r="Q933" s="47" t="s">
        <v>149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149</v>
      </c>
      <c r="P934" s="47">
        <f>HEX2DEC(RIGHT(Table1323214[[#This Row],[h1]],8))</f>
        <v>0</v>
      </c>
      <c r="Q934" s="47" t="s">
        <v>149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149</v>
      </c>
      <c r="P935" s="47">
        <f>HEX2DEC(RIGHT(Table1323214[[#This Row],[h1]],8))</f>
        <v>0</v>
      </c>
      <c r="Q935" s="47" t="s">
        <v>149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149</v>
      </c>
      <c r="P936" s="47">
        <f>HEX2DEC(RIGHT(Table1323214[[#This Row],[h1]],8))</f>
        <v>0</v>
      </c>
      <c r="Q936" s="47" t="s">
        <v>149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149</v>
      </c>
      <c r="P937" s="47">
        <f>HEX2DEC(RIGHT(Table1323214[[#This Row],[h1]],8))</f>
        <v>0</v>
      </c>
      <c r="Q937" s="47" t="s">
        <v>149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149</v>
      </c>
      <c r="P938" s="47">
        <f>HEX2DEC(RIGHT(Table1323214[[#This Row],[h1]],8))</f>
        <v>0</v>
      </c>
      <c r="Q938" s="47" t="s">
        <v>149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149</v>
      </c>
      <c r="P939" s="47">
        <f>HEX2DEC(RIGHT(Table1323214[[#This Row],[h1]],8))</f>
        <v>0</v>
      </c>
      <c r="Q939" s="47" t="s">
        <v>149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149</v>
      </c>
      <c r="P940" s="47">
        <f>HEX2DEC(RIGHT(Table1323214[[#This Row],[h1]],8))</f>
        <v>0</v>
      </c>
      <c r="Q940" s="47" t="s">
        <v>149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149</v>
      </c>
      <c r="P941" s="47">
        <f>HEX2DEC(RIGHT(Table1323214[[#This Row],[h1]],8))</f>
        <v>0</v>
      </c>
      <c r="Q941" s="47" t="s">
        <v>149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149</v>
      </c>
      <c r="P942" s="47">
        <f>HEX2DEC(RIGHT(Table1323214[[#This Row],[h1]],8))</f>
        <v>0</v>
      </c>
      <c r="Q942" s="47" t="s">
        <v>149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149</v>
      </c>
      <c r="P943" s="47">
        <f>HEX2DEC(RIGHT(Table1323214[[#This Row],[h1]],8))</f>
        <v>0</v>
      </c>
      <c r="Q943" s="47" t="s">
        <v>149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149</v>
      </c>
      <c r="P944" s="47">
        <f>HEX2DEC(RIGHT(Table1323214[[#This Row],[h1]],8))</f>
        <v>0</v>
      </c>
      <c r="Q944" s="47" t="s">
        <v>149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149</v>
      </c>
      <c r="P945" s="47">
        <f>HEX2DEC(RIGHT(Table1323214[[#This Row],[h1]],8))</f>
        <v>0</v>
      </c>
      <c r="Q945" s="47" t="s">
        <v>149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149</v>
      </c>
      <c r="P946" s="47">
        <f>HEX2DEC(RIGHT(Table1323214[[#This Row],[h1]],8))</f>
        <v>0</v>
      </c>
      <c r="Q946" s="47" t="s">
        <v>149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149</v>
      </c>
      <c r="P947" s="47">
        <f>HEX2DEC(RIGHT(Table1323214[[#This Row],[h1]],8))</f>
        <v>0</v>
      </c>
      <c r="Q947" s="47" t="s">
        <v>149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149</v>
      </c>
      <c r="P948" s="47">
        <f>HEX2DEC(RIGHT(Table1323214[[#This Row],[h1]],8))</f>
        <v>0</v>
      </c>
      <c r="Q948" s="47" t="s">
        <v>149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149</v>
      </c>
      <c r="P949" s="47">
        <f>HEX2DEC(RIGHT(Table1323214[[#This Row],[h1]],8))</f>
        <v>0</v>
      </c>
      <c r="Q949" s="47" t="s">
        <v>149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149</v>
      </c>
      <c r="P950" s="47">
        <f>HEX2DEC(RIGHT(Table1323214[[#This Row],[h1]],8))</f>
        <v>0</v>
      </c>
      <c r="Q950" s="47" t="s">
        <v>149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149</v>
      </c>
      <c r="P951" s="47">
        <f>HEX2DEC(RIGHT(Table1323214[[#This Row],[h1]],8))</f>
        <v>0</v>
      </c>
      <c r="Q951" s="47" t="s">
        <v>149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149</v>
      </c>
      <c r="P952" s="47">
        <f>HEX2DEC(RIGHT(Table1323214[[#This Row],[h1]],8))</f>
        <v>0</v>
      </c>
      <c r="Q952" s="47" t="s">
        <v>149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149</v>
      </c>
      <c r="P953" s="47">
        <f>HEX2DEC(RIGHT(Table1323214[[#This Row],[h1]],8))</f>
        <v>0</v>
      </c>
      <c r="Q953" s="47" t="s">
        <v>149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149</v>
      </c>
      <c r="P954" s="47">
        <f>HEX2DEC(RIGHT(Table1323214[[#This Row],[h1]],8))</f>
        <v>0</v>
      </c>
      <c r="Q954" s="47" t="s">
        <v>149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149</v>
      </c>
      <c r="P955" s="47">
        <f>HEX2DEC(RIGHT(Table1323214[[#This Row],[h1]],8))</f>
        <v>0</v>
      </c>
      <c r="Q955" s="47" t="s">
        <v>149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149</v>
      </c>
      <c r="P956" s="47">
        <f>HEX2DEC(RIGHT(Table1323214[[#This Row],[h1]],8))</f>
        <v>0</v>
      </c>
      <c r="Q956" s="47" t="s">
        <v>149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149</v>
      </c>
      <c r="P957" s="47">
        <f>HEX2DEC(RIGHT(Table1323214[[#This Row],[h1]],8))</f>
        <v>0</v>
      </c>
      <c r="Q957" s="47" t="s">
        <v>149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149</v>
      </c>
      <c r="P958" s="47">
        <f>HEX2DEC(RIGHT(Table1323214[[#This Row],[h1]],8))</f>
        <v>0</v>
      </c>
      <c r="Q958" s="47" t="s">
        <v>149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149</v>
      </c>
      <c r="P959" s="47">
        <f>HEX2DEC(RIGHT(Table1323214[[#This Row],[h1]],8))</f>
        <v>0</v>
      </c>
      <c r="Q959" s="47" t="s">
        <v>149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149</v>
      </c>
      <c r="P960" s="47">
        <f>HEX2DEC(RIGHT(Table1323214[[#This Row],[h1]],8))</f>
        <v>0</v>
      </c>
      <c r="Q960" s="47" t="s">
        <v>149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149</v>
      </c>
      <c r="P961" s="47">
        <f>HEX2DEC(RIGHT(Table1323214[[#This Row],[h1]],8))</f>
        <v>0</v>
      </c>
      <c r="Q961" s="47" t="s">
        <v>149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149</v>
      </c>
      <c r="P962" s="47">
        <f>HEX2DEC(RIGHT(Table1323214[[#This Row],[h1]],8))</f>
        <v>0</v>
      </c>
      <c r="Q962" s="47" t="s">
        <v>149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149</v>
      </c>
      <c r="P963" s="47">
        <f>HEX2DEC(RIGHT(Table1323214[[#This Row],[h1]],8))</f>
        <v>0</v>
      </c>
      <c r="Q963" s="47" t="s">
        <v>149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149</v>
      </c>
      <c r="P964" s="47">
        <f>HEX2DEC(RIGHT(Table1323214[[#This Row],[h1]],8))</f>
        <v>0</v>
      </c>
      <c r="Q964" s="47" t="s">
        <v>149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149</v>
      </c>
      <c r="P965" s="47">
        <f>HEX2DEC(RIGHT(Table1323214[[#This Row],[h1]],8))</f>
        <v>0</v>
      </c>
      <c r="Q965" s="47" t="s">
        <v>149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149</v>
      </c>
      <c r="P966" s="47">
        <f>HEX2DEC(RIGHT(Table1323214[[#This Row],[h1]],8))</f>
        <v>0</v>
      </c>
      <c r="Q966" s="47" t="s">
        <v>149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149</v>
      </c>
      <c r="P967" s="47">
        <f>HEX2DEC(RIGHT(Table1323214[[#This Row],[h1]],8))</f>
        <v>0</v>
      </c>
      <c r="Q967" s="47" t="s">
        <v>149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149</v>
      </c>
      <c r="P968" s="47">
        <f>HEX2DEC(RIGHT(Table1323214[[#This Row],[h1]],8))</f>
        <v>0</v>
      </c>
      <c r="Q968" s="47" t="s">
        <v>149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149</v>
      </c>
      <c r="P969" s="47">
        <f>HEX2DEC(RIGHT(Table1323214[[#This Row],[h1]],8))</f>
        <v>0</v>
      </c>
      <c r="Q969" s="47" t="s">
        <v>149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149</v>
      </c>
      <c r="P970" s="47">
        <f>HEX2DEC(RIGHT(Table1323214[[#This Row],[h1]],8))</f>
        <v>0</v>
      </c>
      <c r="Q970" s="47" t="s">
        <v>149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149</v>
      </c>
      <c r="P971" s="47">
        <f>HEX2DEC(RIGHT(Table1323214[[#This Row],[h1]],8))</f>
        <v>0</v>
      </c>
      <c r="Q971" s="47" t="s">
        <v>149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149</v>
      </c>
      <c r="P972" s="47">
        <f>HEX2DEC(RIGHT(Table1323214[[#This Row],[h1]],8))</f>
        <v>0</v>
      </c>
      <c r="Q972" s="47" t="s">
        <v>149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149</v>
      </c>
      <c r="P973" s="47">
        <f>HEX2DEC(RIGHT(Table1323214[[#This Row],[h1]],8))</f>
        <v>0</v>
      </c>
      <c r="Q973" s="47" t="s">
        <v>149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149</v>
      </c>
      <c r="P974" s="47">
        <f>HEX2DEC(RIGHT(Table1323214[[#This Row],[h1]],8))</f>
        <v>0</v>
      </c>
      <c r="Q974" s="47" t="s">
        <v>149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149</v>
      </c>
      <c r="P975" s="47">
        <f>HEX2DEC(RIGHT(Table1323214[[#This Row],[h1]],8))</f>
        <v>0</v>
      </c>
      <c r="Q975" s="47" t="s">
        <v>149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149</v>
      </c>
      <c r="P976" s="47">
        <f>HEX2DEC(RIGHT(Table1323214[[#This Row],[h1]],8))</f>
        <v>0</v>
      </c>
      <c r="Q976" s="47" t="s">
        <v>149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149</v>
      </c>
      <c r="P977" s="47">
        <f>HEX2DEC(RIGHT(Table1323214[[#This Row],[h1]],8))</f>
        <v>0</v>
      </c>
      <c r="Q977" s="47" t="s">
        <v>149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149</v>
      </c>
      <c r="P978" s="47">
        <f>HEX2DEC(RIGHT(Table1323214[[#This Row],[h1]],8))</f>
        <v>0</v>
      </c>
      <c r="Q978" s="47" t="s">
        <v>149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149</v>
      </c>
      <c r="P979" s="47">
        <f>HEX2DEC(RIGHT(Table1323214[[#This Row],[h1]],8))</f>
        <v>0</v>
      </c>
      <c r="Q979" s="47" t="s">
        <v>149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149</v>
      </c>
      <c r="P980" s="47">
        <f>HEX2DEC(RIGHT(Table1323214[[#This Row],[h1]],8))</f>
        <v>0</v>
      </c>
      <c r="Q980" s="47" t="s">
        <v>149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149</v>
      </c>
      <c r="P981" s="47">
        <f>HEX2DEC(RIGHT(Table1323214[[#This Row],[h1]],8))</f>
        <v>0</v>
      </c>
      <c r="Q981" s="47" t="s">
        <v>149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149</v>
      </c>
      <c r="P982" s="47">
        <f>HEX2DEC(RIGHT(Table1323214[[#This Row],[h1]],8))</f>
        <v>0</v>
      </c>
      <c r="Q982" s="47" t="s">
        <v>149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149</v>
      </c>
      <c r="P983" s="47">
        <f>HEX2DEC(RIGHT(Table1323214[[#This Row],[h1]],8))</f>
        <v>0</v>
      </c>
      <c r="Q983" s="47" t="s">
        <v>149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149</v>
      </c>
      <c r="P984" s="47">
        <f>HEX2DEC(RIGHT(Table1323214[[#This Row],[h1]],8))</f>
        <v>0</v>
      </c>
      <c r="Q984" s="47" t="s">
        <v>149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149</v>
      </c>
      <c r="P985" s="47">
        <f>HEX2DEC(RIGHT(Table1323214[[#This Row],[h1]],8))</f>
        <v>0</v>
      </c>
      <c r="Q985" s="47" t="s">
        <v>149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149</v>
      </c>
      <c r="P986" s="47">
        <f>HEX2DEC(RIGHT(Table1323214[[#This Row],[h1]],8))</f>
        <v>0</v>
      </c>
      <c r="Q986" s="47" t="s">
        <v>149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149</v>
      </c>
      <c r="P987" s="47">
        <f>HEX2DEC(RIGHT(Table1323214[[#This Row],[h1]],8))</f>
        <v>0</v>
      </c>
      <c r="Q987" s="47" t="s">
        <v>149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149</v>
      </c>
      <c r="P988" s="47">
        <f>HEX2DEC(RIGHT(Table1323214[[#This Row],[h1]],8))</f>
        <v>0</v>
      </c>
      <c r="Q988" s="47" t="s">
        <v>149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149</v>
      </c>
      <c r="P989" s="47">
        <f>HEX2DEC(RIGHT(Table1323214[[#This Row],[h1]],8))</f>
        <v>0</v>
      </c>
      <c r="Q989" s="47" t="s">
        <v>149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149</v>
      </c>
      <c r="P990" s="47">
        <f>HEX2DEC(RIGHT(Table1323214[[#This Row],[h1]],8))</f>
        <v>0</v>
      </c>
      <c r="Q990" s="47" t="s">
        <v>149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149</v>
      </c>
      <c r="P991" s="47">
        <f>HEX2DEC(RIGHT(Table1323214[[#This Row],[h1]],8))</f>
        <v>0</v>
      </c>
      <c r="Q991" s="47" t="s">
        <v>149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149</v>
      </c>
      <c r="P992" s="47">
        <f>HEX2DEC(RIGHT(Table1323214[[#This Row],[h1]],8))</f>
        <v>0</v>
      </c>
      <c r="Q992" s="47" t="s">
        <v>149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149</v>
      </c>
      <c r="P993" s="47">
        <f>HEX2DEC(RIGHT(Table1323214[[#This Row],[h1]],8))</f>
        <v>0</v>
      </c>
      <c r="Q993" s="47" t="s">
        <v>149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149</v>
      </c>
      <c r="P994" s="47">
        <f>HEX2DEC(RIGHT(Table1323214[[#This Row],[h1]],8))</f>
        <v>0</v>
      </c>
      <c r="Q994" s="47" t="s">
        <v>149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149</v>
      </c>
      <c r="P995" s="47">
        <f>HEX2DEC(RIGHT(Table1323214[[#This Row],[h1]],8))</f>
        <v>0</v>
      </c>
      <c r="Q995" s="47" t="s">
        <v>149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149</v>
      </c>
      <c r="P996" s="47">
        <f>HEX2DEC(RIGHT(Table1323214[[#This Row],[h1]],8))</f>
        <v>0</v>
      </c>
      <c r="Q996" s="47" t="s">
        <v>149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149</v>
      </c>
      <c r="P997" s="47">
        <f>HEX2DEC(RIGHT(Table1323214[[#This Row],[h1]],8))</f>
        <v>0</v>
      </c>
      <c r="Q997" s="47" t="s">
        <v>149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149</v>
      </c>
      <c r="P998" s="47">
        <f>HEX2DEC(RIGHT(Table1323214[[#This Row],[h1]],8))</f>
        <v>0</v>
      </c>
      <c r="Q998" s="47" t="s">
        <v>149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149</v>
      </c>
      <c r="P999" s="47">
        <f>HEX2DEC(RIGHT(Table1323214[[#This Row],[h1]],8))</f>
        <v>0</v>
      </c>
      <c r="Q999" s="47" t="s">
        <v>149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149</v>
      </c>
      <c r="P1000" s="47">
        <f>HEX2DEC(RIGHT(Table1323214[[#This Row],[h1]],8))</f>
        <v>0</v>
      </c>
      <c r="Q1000" s="47" t="s">
        <v>149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149</v>
      </c>
      <c r="P1001" s="47">
        <f>HEX2DEC(RIGHT(Table1323214[[#This Row],[h1]],8))</f>
        <v>0</v>
      </c>
      <c r="Q1001" s="47" t="s">
        <v>149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149</v>
      </c>
      <c r="P1002" s="47">
        <f>HEX2DEC(RIGHT(Table1323214[[#This Row],[h1]],8))</f>
        <v>0</v>
      </c>
      <c r="Q1002" s="47" t="s">
        <v>149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149</v>
      </c>
      <c r="P1003" s="47">
        <f>HEX2DEC(RIGHT(Table1323214[[#This Row],[h1]],8))</f>
        <v>0</v>
      </c>
      <c r="Q1003" s="47" t="s">
        <v>149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149</v>
      </c>
      <c r="P1004" s="47">
        <f>HEX2DEC(RIGHT(Table1323214[[#This Row],[h1]],8))</f>
        <v>0</v>
      </c>
      <c r="Q1004" s="47" t="s">
        <v>149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149</v>
      </c>
      <c r="P1005" s="47">
        <f>HEX2DEC(RIGHT(Table1323214[[#This Row],[h1]],8))</f>
        <v>0</v>
      </c>
      <c r="Q1005" s="47" t="s">
        <v>149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149</v>
      </c>
      <c r="P1006" s="47">
        <f>HEX2DEC(RIGHT(Table1323214[[#This Row],[h1]],8))</f>
        <v>0</v>
      </c>
      <c r="Q1006" s="47" t="s">
        <v>149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149</v>
      </c>
      <c r="P1007" s="47">
        <f>HEX2DEC(RIGHT(Table1323214[[#This Row],[h1]],8))</f>
        <v>0</v>
      </c>
      <c r="Q1007" s="47" t="s">
        <v>149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149</v>
      </c>
      <c r="P1008" s="47">
        <f>HEX2DEC(RIGHT(Table1323214[[#This Row],[h1]],8))</f>
        <v>0</v>
      </c>
      <c r="Q1008" s="47" t="s">
        <v>149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149</v>
      </c>
      <c r="P1009" s="47">
        <f>HEX2DEC(RIGHT(Table1323214[[#This Row],[h1]],8))</f>
        <v>0</v>
      </c>
      <c r="Q1009" s="47" t="s">
        <v>149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149</v>
      </c>
      <c r="P1010" s="47">
        <f>HEX2DEC(RIGHT(Table1323214[[#This Row],[h1]],8))</f>
        <v>0</v>
      </c>
      <c r="Q1010" s="47" t="s">
        <v>149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149</v>
      </c>
      <c r="P1011" s="47">
        <f>HEX2DEC(RIGHT(Table1323214[[#This Row],[h1]],8))</f>
        <v>0</v>
      </c>
      <c r="Q1011" s="47" t="s">
        <v>149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149</v>
      </c>
      <c r="P1012" s="47">
        <f>HEX2DEC(RIGHT(Table1323214[[#This Row],[h1]],8))</f>
        <v>0</v>
      </c>
      <c r="Q1012" s="47" t="s">
        <v>149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149</v>
      </c>
      <c r="P1013" s="47">
        <f>HEX2DEC(RIGHT(Table1323214[[#This Row],[h1]],8))</f>
        <v>0</v>
      </c>
      <c r="Q1013" s="47" t="s">
        <v>149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149</v>
      </c>
      <c r="P1014" s="47">
        <f>HEX2DEC(RIGHT(Table1323214[[#This Row],[h1]],8))</f>
        <v>0</v>
      </c>
      <c r="Q1014" s="47" t="s">
        <v>149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149</v>
      </c>
      <c r="P1015" s="47">
        <f>HEX2DEC(RIGHT(Table1323214[[#This Row],[h1]],8))</f>
        <v>0</v>
      </c>
      <c r="Q1015" s="47" t="s">
        <v>149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149</v>
      </c>
      <c r="P1016" s="47">
        <f>HEX2DEC(RIGHT(Table1323214[[#This Row],[h1]],8))</f>
        <v>0</v>
      </c>
      <c r="Q1016" s="47" t="s">
        <v>149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149</v>
      </c>
      <c r="P1017" s="47">
        <f>HEX2DEC(RIGHT(Table1323214[[#This Row],[h1]],8))</f>
        <v>0</v>
      </c>
      <c r="Q1017" s="47" t="s">
        <v>149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149</v>
      </c>
      <c r="P1018" s="47">
        <f>HEX2DEC(RIGHT(Table1323214[[#This Row],[h1]],8))</f>
        <v>0</v>
      </c>
      <c r="Q1018" s="47" t="s">
        <v>149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149</v>
      </c>
      <c r="P1019" s="47">
        <f>HEX2DEC(RIGHT(Table1323214[[#This Row],[h1]],8))</f>
        <v>0</v>
      </c>
      <c r="Q1019" s="47" t="s">
        <v>149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149</v>
      </c>
      <c r="P1020" s="47">
        <f>HEX2DEC(RIGHT(Table1323214[[#This Row],[h1]],8))</f>
        <v>0</v>
      </c>
      <c r="Q1020" s="47" t="s">
        <v>149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149</v>
      </c>
      <c r="P1021" s="47">
        <f>HEX2DEC(RIGHT(Table1323214[[#This Row],[h1]],8))</f>
        <v>0</v>
      </c>
      <c r="Q1021" s="47" t="s">
        <v>149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149</v>
      </c>
      <c r="P1022" s="47">
        <f>HEX2DEC(RIGHT(Table1323214[[#This Row],[h1]],8))</f>
        <v>0</v>
      </c>
      <c r="Q1022" s="47" t="s">
        <v>149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149</v>
      </c>
      <c r="P1023" s="47">
        <f>HEX2DEC(RIGHT(Table1323214[[#This Row],[h1]],8))</f>
        <v>0</v>
      </c>
      <c r="Q1023" s="47" t="s">
        <v>149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149</v>
      </c>
      <c r="P1024" s="47">
        <f>HEX2DEC(RIGHT(Table1323214[[#This Row],[h1]],8))</f>
        <v>0</v>
      </c>
      <c r="Q1024" s="47" t="s">
        <v>149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149</v>
      </c>
      <c r="P1025" s="47">
        <f>HEX2DEC(RIGHT(Table1323214[[#This Row],[h1]],8))</f>
        <v>0</v>
      </c>
      <c r="Q1025" s="47" t="s">
        <v>149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149</v>
      </c>
      <c r="P1026" s="47">
        <f>HEX2DEC(RIGHT(Table1323214[[#This Row],[h1]],8))</f>
        <v>0</v>
      </c>
      <c r="Q1026" s="47" t="s">
        <v>149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149</v>
      </c>
      <c r="P1027" s="47">
        <f>HEX2DEC(RIGHT(Table1323214[[#This Row],[h1]],8))</f>
        <v>0</v>
      </c>
      <c r="Q1027" s="47" t="s">
        <v>149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149</v>
      </c>
      <c r="P1028" s="47">
        <f>HEX2DEC(RIGHT(Table1323214[[#This Row],[h1]],8))</f>
        <v>0</v>
      </c>
      <c r="Q1028" s="47" t="s">
        <v>149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149</v>
      </c>
      <c r="P1029" s="47">
        <f>HEX2DEC(RIGHT(Table1323214[[#This Row],[h1]],8))</f>
        <v>0</v>
      </c>
      <c r="Q1029" s="47" t="s">
        <v>149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149</v>
      </c>
      <c r="P1030" s="47">
        <f>HEX2DEC(RIGHT(Table1323214[[#This Row],[h1]],8))</f>
        <v>0</v>
      </c>
      <c r="Q1030" s="47" t="s">
        <v>149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149</v>
      </c>
      <c r="P1031" s="47">
        <f>HEX2DEC(RIGHT(Table1323214[[#This Row],[h1]],8))</f>
        <v>0</v>
      </c>
      <c r="Q1031" s="47" t="s">
        <v>149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149</v>
      </c>
      <c r="P1032" s="47">
        <f>HEX2DEC(RIGHT(Table1323214[[#This Row],[h1]],8))</f>
        <v>0</v>
      </c>
      <c r="Q1032" s="47" t="s">
        <v>149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149</v>
      </c>
      <c r="P1033" s="47">
        <f>HEX2DEC(RIGHT(Table1323214[[#This Row],[h1]],8))</f>
        <v>0</v>
      </c>
      <c r="Q1033" s="47" t="s">
        <v>149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149</v>
      </c>
      <c r="P1034" s="47">
        <f>HEX2DEC(RIGHT(Table1323214[[#This Row],[h1]],8))</f>
        <v>0</v>
      </c>
      <c r="Q1034" s="47" t="s">
        <v>149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149</v>
      </c>
      <c r="P1035" s="47">
        <f>HEX2DEC(RIGHT(Table1323214[[#This Row],[h1]],8))</f>
        <v>0</v>
      </c>
      <c r="Q1035" s="47" t="s">
        <v>149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149</v>
      </c>
      <c r="P1036" s="47">
        <f>HEX2DEC(RIGHT(Table1323214[[#This Row],[h1]],8))</f>
        <v>0</v>
      </c>
      <c r="Q1036" s="47" t="s">
        <v>149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149</v>
      </c>
      <c r="P1037" s="47">
        <f>HEX2DEC(RIGHT(Table1323214[[#This Row],[h1]],8))</f>
        <v>0</v>
      </c>
      <c r="Q1037" s="47" t="s">
        <v>149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149</v>
      </c>
      <c r="P1038" s="47">
        <f>HEX2DEC(RIGHT(Table1323214[[#This Row],[h1]],8))</f>
        <v>0</v>
      </c>
      <c r="Q1038" s="47" t="s">
        <v>149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149</v>
      </c>
      <c r="P1039" s="47">
        <f>HEX2DEC(RIGHT(Table1323214[[#This Row],[h1]],8))</f>
        <v>0</v>
      </c>
      <c r="Q1039" s="47" t="s">
        <v>149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149</v>
      </c>
      <c r="P1040" s="47">
        <f>HEX2DEC(RIGHT(Table1323214[[#This Row],[h1]],8))</f>
        <v>0</v>
      </c>
      <c r="Q1040" s="47" t="s">
        <v>149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149</v>
      </c>
      <c r="P1041" s="47">
        <f>HEX2DEC(RIGHT(Table1323214[[#This Row],[h1]],8))</f>
        <v>0</v>
      </c>
      <c r="Q1041" s="47" t="s">
        <v>149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149</v>
      </c>
      <c r="P1042" s="47">
        <f>HEX2DEC(RIGHT(Table1323214[[#This Row],[h1]],8))</f>
        <v>0</v>
      </c>
      <c r="Q1042" s="47" t="s">
        <v>149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149</v>
      </c>
      <c r="P1043" s="47">
        <f>HEX2DEC(RIGHT(Table1323214[[#This Row],[h1]],8))</f>
        <v>0</v>
      </c>
      <c r="Q1043" s="47" t="s">
        <v>149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149</v>
      </c>
      <c r="P1044" s="47">
        <f>HEX2DEC(RIGHT(Table1323214[[#This Row],[h1]],8))</f>
        <v>0</v>
      </c>
      <c r="Q1044" s="47" t="s">
        <v>149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149</v>
      </c>
      <c r="P1045" s="47">
        <f>HEX2DEC(RIGHT(Table1323214[[#This Row],[h1]],8))</f>
        <v>0</v>
      </c>
      <c r="Q1045" s="47" t="s">
        <v>149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149</v>
      </c>
      <c r="P1046" s="47">
        <f>HEX2DEC(RIGHT(Table1323214[[#This Row],[h1]],8))</f>
        <v>0</v>
      </c>
      <c r="Q1046" s="47" t="s">
        <v>149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149</v>
      </c>
      <c r="P1047" s="47">
        <f>HEX2DEC(RIGHT(Table1323214[[#This Row],[h1]],8))</f>
        <v>0</v>
      </c>
      <c r="Q1047" s="47" t="s">
        <v>149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149</v>
      </c>
      <c r="P1048" s="47">
        <f>HEX2DEC(RIGHT(Table1323214[[#This Row],[h1]],8))</f>
        <v>0</v>
      </c>
      <c r="Q1048" s="47" t="s">
        <v>149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149</v>
      </c>
      <c r="P1049" s="47">
        <f>HEX2DEC(RIGHT(Table1323214[[#This Row],[h1]],8))</f>
        <v>0</v>
      </c>
      <c r="Q1049" s="47" t="s">
        <v>149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149</v>
      </c>
      <c r="P1050" s="47">
        <f>HEX2DEC(RIGHT(Table1323214[[#This Row],[h1]],8))</f>
        <v>0</v>
      </c>
      <c r="Q1050" s="47" t="s">
        <v>149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149</v>
      </c>
      <c r="P1051" s="47">
        <f>HEX2DEC(RIGHT(Table1323214[[#This Row],[h1]],8))</f>
        <v>0</v>
      </c>
      <c r="Q1051" s="47" t="s">
        <v>149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149</v>
      </c>
      <c r="P1052" s="47">
        <f>HEX2DEC(RIGHT(Table1323214[[#This Row],[h1]],8))</f>
        <v>0</v>
      </c>
      <c r="Q1052" s="47" t="s">
        <v>149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149</v>
      </c>
      <c r="P1053" s="47">
        <f>HEX2DEC(RIGHT(Table1323214[[#This Row],[h1]],8))</f>
        <v>0</v>
      </c>
      <c r="Q1053" s="47" t="s">
        <v>149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149</v>
      </c>
      <c r="P1054" s="47">
        <f>HEX2DEC(RIGHT(Table1323214[[#This Row],[h1]],8))</f>
        <v>0</v>
      </c>
      <c r="Q1054" s="47" t="s">
        <v>149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149</v>
      </c>
      <c r="P1055" s="47">
        <f>HEX2DEC(RIGHT(Table1323214[[#This Row],[h1]],8))</f>
        <v>0</v>
      </c>
      <c r="Q1055" s="47" t="s">
        <v>149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149</v>
      </c>
      <c r="P1056" s="47">
        <f>HEX2DEC(RIGHT(Table1323214[[#This Row],[h1]],8))</f>
        <v>0</v>
      </c>
      <c r="Q1056" s="47" t="s">
        <v>149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149</v>
      </c>
      <c r="P1057" s="47">
        <f>HEX2DEC(RIGHT(Table1323214[[#This Row],[h1]],8))</f>
        <v>0</v>
      </c>
      <c r="Q1057" s="47" t="s">
        <v>149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149</v>
      </c>
      <c r="P1058" s="47">
        <f>HEX2DEC(RIGHT(Table1323214[[#This Row],[h1]],8))</f>
        <v>0</v>
      </c>
      <c r="Q1058" s="47" t="s">
        <v>149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149</v>
      </c>
      <c r="P1059" s="47">
        <f>HEX2DEC(RIGHT(Table1323214[[#This Row],[h1]],8))</f>
        <v>0</v>
      </c>
      <c r="Q1059" s="47" t="s">
        <v>149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149</v>
      </c>
      <c r="P1060" s="47">
        <f>HEX2DEC(RIGHT(Table1323214[[#This Row],[h1]],8))</f>
        <v>0</v>
      </c>
      <c r="Q1060" s="47" t="s">
        <v>149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149</v>
      </c>
      <c r="P1061" s="47">
        <f>HEX2DEC(RIGHT(Table1323214[[#This Row],[h1]],8))</f>
        <v>0</v>
      </c>
      <c r="Q1061" s="47" t="s">
        <v>149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149</v>
      </c>
      <c r="P1062" s="47">
        <f>HEX2DEC(RIGHT(Table1323214[[#This Row],[h1]],8))</f>
        <v>0</v>
      </c>
      <c r="Q1062" s="47" t="s">
        <v>149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149</v>
      </c>
      <c r="P1063" s="47">
        <f>HEX2DEC(RIGHT(Table1323214[[#This Row],[h1]],8))</f>
        <v>0</v>
      </c>
      <c r="Q1063" s="47" t="s">
        <v>149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149</v>
      </c>
      <c r="P1064" s="47">
        <f>HEX2DEC(RIGHT(Table1323214[[#This Row],[h1]],8))</f>
        <v>0</v>
      </c>
      <c r="Q1064" s="47" t="s">
        <v>149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149</v>
      </c>
      <c r="P1065" s="47">
        <f>HEX2DEC(RIGHT(Table1323214[[#This Row],[h1]],8))</f>
        <v>0</v>
      </c>
      <c r="Q1065" s="47" t="s">
        <v>149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149</v>
      </c>
      <c r="P1066" s="47">
        <f>HEX2DEC(RIGHT(Table1323214[[#This Row],[h1]],8))</f>
        <v>0</v>
      </c>
      <c r="Q1066" s="47" t="s">
        <v>149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149</v>
      </c>
      <c r="P1067" s="47">
        <f>HEX2DEC(RIGHT(Table1323214[[#This Row],[h1]],8))</f>
        <v>0</v>
      </c>
      <c r="Q1067" s="47" t="s">
        <v>149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149</v>
      </c>
      <c r="P1068" s="47">
        <f>HEX2DEC(RIGHT(Table1323214[[#This Row],[h1]],8))</f>
        <v>0</v>
      </c>
      <c r="Q1068" s="47" t="s">
        <v>149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149</v>
      </c>
      <c r="P1069" s="47">
        <f>HEX2DEC(RIGHT(Table1323214[[#This Row],[h1]],8))</f>
        <v>0</v>
      </c>
      <c r="Q1069" s="47" t="s">
        <v>149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149</v>
      </c>
      <c r="P1070" s="47">
        <f>HEX2DEC(RIGHT(Table1323214[[#This Row],[h1]],8))</f>
        <v>0</v>
      </c>
      <c r="Q1070" s="47" t="s">
        <v>149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149</v>
      </c>
      <c r="P1071" s="47">
        <f>HEX2DEC(RIGHT(Table1323214[[#This Row],[h1]],8))</f>
        <v>0</v>
      </c>
      <c r="Q1071" s="47" t="s">
        <v>149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149</v>
      </c>
      <c r="P1072" s="47">
        <f>HEX2DEC(RIGHT(Table1323214[[#This Row],[h1]],8))</f>
        <v>0</v>
      </c>
      <c r="Q1072" s="47" t="s">
        <v>149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149</v>
      </c>
      <c r="P1073" s="47">
        <f>HEX2DEC(RIGHT(Table1323214[[#This Row],[h1]],8))</f>
        <v>0</v>
      </c>
      <c r="Q1073" s="47" t="s">
        <v>149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149</v>
      </c>
      <c r="P1074" s="47">
        <f>HEX2DEC(RIGHT(Table1323214[[#This Row],[h1]],8))</f>
        <v>0</v>
      </c>
      <c r="Q1074" s="47" t="s">
        <v>149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149</v>
      </c>
      <c r="P1075" s="47">
        <f>HEX2DEC(RIGHT(Table1323214[[#This Row],[h1]],8))</f>
        <v>0</v>
      </c>
      <c r="Q1075" s="47" t="s">
        <v>149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149</v>
      </c>
      <c r="P1076" s="47">
        <f>HEX2DEC(RIGHT(Table1323214[[#This Row],[h1]],8))</f>
        <v>0</v>
      </c>
      <c r="Q1076" s="47" t="s">
        <v>149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149</v>
      </c>
      <c r="P1077" s="47">
        <f>HEX2DEC(RIGHT(Table1323214[[#This Row],[h1]],8))</f>
        <v>0</v>
      </c>
      <c r="Q1077" s="47" t="s">
        <v>149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149</v>
      </c>
      <c r="P1078" s="47">
        <f>HEX2DEC(RIGHT(Table1323214[[#This Row],[h1]],8))</f>
        <v>0</v>
      </c>
      <c r="Q1078" s="47" t="s">
        <v>149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149</v>
      </c>
      <c r="P1079" s="47">
        <f>HEX2DEC(RIGHT(Table1323214[[#This Row],[h1]],8))</f>
        <v>0</v>
      </c>
      <c r="Q1079" s="47" t="s">
        <v>149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149</v>
      </c>
      <c r="P1080" s="47">
        <f>HEX2DEC(RIGHT(Table1323214[[#This Row],[h1]],8))</f>
        <v>0</v>
      </c>
      <c r="Q1080" s="47" t="s">
        <v>149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149</v>
      </c>
      <c r="P1081" s="47">
        <f>HEX2DEC(RIGHT(Table1323214[[#This Row],[h1]],8))</f>
        <v>0</v>
      </c>
      <c r="Q1081" s="47" t="s">
        <v>149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149</v>
      </c>
      <c r="P1082" s="47">
        <f>HEX2DEC(RIGHT(Table1323214[[#This Row],[h1]],8))</f>
        <v>0</v>
      </c>
      <c r="Q1082" s="47" t="s">
        <v>149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149</v>
      </c>
      <c r="P1083" s="47">
        <f>HEX2DEC(RIGHT(Table1323214[[#This Row],[h1]],8))</f>
        <v>0</v>
      </c>
      <c r="Q1083" s="47" t="s">
        <v>149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149</v>
      </c>
      <c r="P1084" s="47">
        <f>HEX2DEC(RIGHT(Table1323214[[#This Row],[h1]],8))</f>
        <v>0</v>
      </c>
      <c r="Q1084" s="47" t="s">
        <v>149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149</v>
      </c>
      <c r="P1085" s="47">
        <f>HEX2DEC(RIGHT(Table1323214[[#This Row],[h1]],8))</f>
        <v>0</v>
      </c>
      <c r="Q1085" s="47" t="s">
        <v>149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149</v>
      </c>
      <c r="P1086" s="47">
        <f>HEX2DEC(RIGHT(Table1323214[[#This Row],[h1]],8))</f>
        <v>0</v>
      </c>
      <c r="Q1086" s="47" t="s">
        <v>149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149</v>
      </c>
      <c r="P1087" s="47">
        <f>HEX2DEC(RIGHT(Table1323214[[#This Row],[h1]],8))</f>
        <v>0</v>
      </c>
      <c r="Q1087" s="47" t="s">
        <v>149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149</v>
      </c>
      <c r="P1088" s="47">
        <f>HEX2DEC(RIGHT(Table1323214[[#This Row],[h1]],8))</f>
        <v>0</v>
      </c>
      <c r="Q1088" s="47" t="s">
        <v>149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149</v>
      </c>
      <c r="P1089" s="47">
        <f>HEX2DEC(RIGHT(Table1323214[[#This Row],[h1]],8))</f>
        <v>0</v>
      </c>
      <c r="Q1089" s="47" t="s">
        <v>149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149</v>
      </c>
      <c r="P1090" s="47">
        <f>HEX2DEC(RIGHT(Table1323214[[#This Row],[h1]],8))</f>
        <v>0</v>
      </c>
      <c r="Q1090" s="47" t="s">
        <v>149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149</v>
      </c>
      <c r="P1091" s="47">
        <f>HEX2DEC(RIGHT(Table1323214[[#This Row],[h1]],8))</f>
        <v>0</v>
      </c>
      <c r="Q1091" s="47" t="s">
        <v>149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149</v>
      </c>
      <c r="P1092" s="47">
        <f>HEX2DEC(RIGHT(Table1323214[[#This Row],[h1]],8))</f>
        <v>0</v>
      </c>
      <c r="Q1092" s="47" t="s">
        <v>149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149</v>
      </c>
      <c r="P1093" s="47">
        <f>HEX2DEC(RIGHT(Table1323214[[#This Row],[h1]],8))</f>
        <v>0</v>
      </c>
      <c r="Q1093" s="47" t="s">
        <v>149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149</v>
      </c>
      <c r="P1094" s="47">
        <f>HEX2DEC(RIGHT(Table1323214[[#This Row],[h1]],8))</f>
        <v>0</v>
      </c>
      <c r="Q1094" s="47" t="s">
        <v>149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149</v>
      </c>
      <c r="P1095" s="47">
        <f>HEX2DEC(RIGHT(Table1323214[[#This Row],[h1]],8))</f>
        <v>0</v>
      </c>
      <c r="Q1095" s="47" t="s">
        <v>149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149</v>
      </c>
      <c r="P1096" s="47">
        <f>HEX2DEC(RIGHT(Table1323214[[#This Row],[h1]],8))</f>
        <v>0</v>
      </c>
      <c r="Q1096" s="47" t="s">
        <v>149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149</v>
      </c>
      <c r="P1097" s="47">
        <f>HEX2DEC(RIGHT(Table1323214[[#This Row],[h1]],8))</f>
        <v>0</v>
      </c>
      <c r="Q1097" s="47" t="s">
        <v>149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149</v>
      </c>
      <c r="P1098" s="47">
        <f>HEX2DEC(RIGHT(Table1323214[[#This Row],[h1]],8))</f>
        <v>0</v>
      </c>
      <c r="Q1098" s="47" t="s">
        <v>149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149</v>
      </c>
      <c r="P1099" s="47">
        <f>HEX2DEC(RIGHT(Table1323214[[#This Row],[h1]],8))</f>
        <v>0</v>
      </c>
      <c r="Q1099" s="47" t="s">
        <v>149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149</v>
      </c>
      <c r="P1100" s="47">
        <f>HEX2DEC(RIGHT(Table1323214[[#This Row],[h1]],8))</f>
        <v>0</v>
      </c>
      <c r="Q1100" s="47" t="s">
        <v>149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149</v>
      </c>
      <c r="P1101" s="47">
        <f>HEX2DEC(RIGHT(Table1323214[[#This Row],[h1]],8))</f>
        <v>0</v>
      </c>
      <c r="Q1101" s="47" t="s">
        <v>149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149</v>
      </c>
      <c r="P1102" s="47">
        <f>HEX2DEC(RIGHT(Table1323214[[#This Row],[h1]],8))</f>
        <v>0</v>
      </c>
      <c r="Q1102" s="47" t="s">
        <v>149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149</v>
      </c>
      <c r="P1103" s="47">
        <f>HEX2DEC(RIGHT(Table1323214[[#This Row],[h1]],8))</f>
        <v>0</v>
      </c>
      <c r="Q1103" s="47" t="s">
        <v>149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149</v>
      </c>
      <c r="P1104" s="47">
        <f>HEX2DEC(RIGHT(Table1323214[[#This Row],[h1]],8))</f>
        <v>0</v>
      </c>
      <c r="Q1104" s="47" t="s">
        <v>149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149</v>
      </c>
      <c r="P1105" s="47">
        <f>HEX2DEC(RIGHT(Table1323214[[#This Row],[h1]],8))</f>
        <v>0</v>
      </c>
      <c r="Q1105" s="47" t="s">
        <v>149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149</v>
      </c>
      <c r="P1106" s="47">
        <f>HEX2DEC(RIGHT(Table1323214[[#This Row],[h1]],8))</f>
        <v>0</v>
      </c>
      <c r="Q1106" s="47" t="s">
        <v>149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149</v>
      </c>
      <c r="P1107" s="47">
        <f>HEX2DEC(RIGHT(Table1323214[[#This Row],[h1]],8))</f>
        <v>0</v>
      </c>
      <c r="Q1107" s="47" t="s">
        <v>149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149</v>
      </c>
      <c r="P1108" s="47">
        <f>HEX2DEC(RIGHT(Table1323214[[#This Row],[h1]],8))</f>
        <v>0</v>
      </c>
      <c r="Q1108" s="47" t="s">
        <v>149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149</v>
      </c>
      <c r="P1109" s="47">
        <f>HEX2DEC(RIGHT(Table1323214[[#This Row],[h1]],8))</f>
        <v>0</v>
      </c>
      <c r="Q1109" s="47" t="s">
        <v>149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149</v>
      </c>
      <c r="P1110" s="47">
        <f>HEX2DEC(RIGHT(Table1323214[[#This Row],[h1]],8))</f>
        <v>0</v>
      </c>
      <c r="Q1110" s="47" t="s">
        <v>149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149</v>
      </c>
      <c r="P1111" s="47">
        <f>HEX2DEC(RIGHT(Table1323214[[#This Row],[h1]],8))</f>
        <v>0</v>
      </c>
      <c r="Q1111" s="47" t="s">
        <v>149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149</v>
      </c>
      <c r="P1112" s="47">
        <f>HEX2DEC(RIGHT(Table1323214[[#This Row],[h1]],8))</f>
        <v>0</v>
      </c>
      <c r="Q1112" s="47" t="s">
        <v>149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149</v>
      </c>
      <c r="P1113" s="47">
        <f>HEX2DEC(RIGHT(Table1323214[[#This Row],[h1]],8))</f>
        <v>0</v>
      </c>
      <c r="Q1113" s="47" t="s">
        <v>149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149</v>
      </c>
      <c r="P1114" s="47">
        <f>HEX2DEC(RIGHT(Table1323214[[#This Row],[h1]],8))</f>
        <v>0</v>
      </c>
      <c r="Q1114" s="47" t="s">
        <v>149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149</v>
      </c>
      <c r="P1115" s="47">
        <f>HEX2DEC(RIGHT(Table1323214[[#This Row],[h1]],8))</f>
        <v>0</v>
      </c>
      <c r="Q1115" s="47" t="s">
        <v>149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149</v>
      </c>
      <c r="P1116" s="47">
        <f>HEX2DEC(RIGHT(Table1323214[[#This Row],[h1]],8))</f>
        <v>0</v>
      </c>
      <c r="Q1116" s="47" t="s">
        <v>149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149</v>
      </c>
      <c r="P1117" s="47">
        <f>HEX2DEC(RIGHT(Table1323214[[#This Row],[h1]],8))</f>
        <v>0</v>
      </c>
      <c r="Q1117" s="47" t="s">
        <v>149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149</v>
      </c>
      <c r="P1118" s="47">
        <f>HEX2DEC(RIGHT(Table1323214[[#This Row],[h1]],8))</f>
        <v>0</v>
      </c>
      <c r="Q1118" s="47" t="s">
        <v>149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149</v>
      </c>
      <c r="P1119" s="47">
        <f>HEX2DEC(RIGHT(Table1323214[[#This Row],[h1]],8))</f>
        <v>0</v>
      </c>
      <c r="Q1119" s="47" t="s">
        <v>149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149</v>
      </c>
      <c r="P1120" s="47">
        <f>HEX2DEC(RIGHT(Table1323214[[#This Row],[h1]],8))</f>
        <v>0</v>
      </c>
      <c r="Q1120" s="47" t="s">
        <v>149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149</v>
      </c>
      <c r="P1121" s="47">
        <f>HEX2DEC(RIGHT(Table1323214[[#This Row],[h1]],8))</f>
        <v>0</v>
      </c>
      <c r="Q1121" s="47" t="s">
        <v>149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149</v>
      </c>
      <c r="P1122" s="47">
        <f>HEX2DEC(RIGHT(Table1323214[[#This Row],[h1]],8))</f>
        <v>0</v>
      </c>
      <c r="Q1122" s="47" t="s">
        <v>149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149</v>
      </c>
      <c r="P1123" s="47">
        <f>HEX2DEC(RIGHT(Table1323214[[#This Row],[h1]],8))</f>
        <v>0</v>
      </c>
      <c r="Q1123" s="47" t="s">
        <v>149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149</v>
      </c>
      <c r="P1124" s="47">
        <f>HEX2DEC(RIGHT(Table1323214[[#This Row],[h1]],8))</f>
        <v>0</v>
      </c>
      <c r="Q1124" s="47" t="s">
        <v>149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149</v>
      </c>
      <c r="P1125" s="47">
        <f>HEX2DEC(RIGHT(Table1323214[[#This Row],[h1]],8))</f>
        <v>0</v>
      </c>
      <c r="Q1125" s="47" t="s">
        <v>149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149</v>
      </c>
      <c r="P1126" s="47">
        <f>HEX2DEC(RIGHT(Table1323214[[#This Row],[h1]],8))</f>
        <v>0</v>
      </c>
      <c r="Q1126" s="47" t="s">
        <v>149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149</v>
      </c>
      <c r="P1127" s="47">
        <f>HEX2DEC(RIGHT(Table1323214[[#This Row],[h1]],8))</f>
        <v>0</v>
      </c>
      <c r="Q1127" s="47" t="s">
        <v>149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149</v>
      </c>
      <c r="P1128" s="47">
        <f>HEX2DEC(RIGHT(Table1323214[[#This Row],[h1]],8))</f>
        <v>0</v>
      </c>
      <c r="Q1128" s="47" t="s">
        <v>149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149</v>
      </c>
      <c r="P1129" s="47">
        <f>HEX2DEC(RIGHT(Table1323214[[#This Row],[h1]],8))</f>
        <v>0</v>
      </c>
      <c r="Q1129" s="47" t="s">
        <v>149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149</v>
      </c>
      <c r="P1130" s="47">
        <f>HEX2DEC(RIGHT(Table1323214[[#This Row],[h1]],8))</f>
        <v>0</v>
      </c>
      <c r="Q1130" s="47" t="s">
        <v>149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149</v>
      </c>
      <c r="P1131" s="47">
        <f>HEX2DEC(RIGHT(Table1323214[[#This Row],[h1]],8))</f>
        <v>0</v>
      </c>
      <c r="Q1131" s="47" t="s">
        <v>149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149</v>
      </c>
      <c r="P1132" s="47">
        <f>HEX2DEC(RIGHT(Table1323214[[#This Row],[h1]],8))</f>
        <v>0</v>
      </c>
      <c r="Q1132" s="47" t="s">
        <v>149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149</v>
      </c>
      <c r="P1133" s="47">
        <f>HEX2DEC(RIGHT(Table1323214[[#This Row],[h1]],8))</f>
        <v>0</v>
      </c>
      <c r="Q1133" s="47" t="s">
        <v>149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149</v>
      </c>
      <c r="P1134" s="47">
        <f>HEX2DEC(RIGHT(Table1323214[[#This Row],[h1]],8))</f>
        <v>0</v>
      </c>
      <c r="Q1134" s="47" t="s">
        <v>149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149</v>
      </c>
      <c r="P1135" s="47">
        <f>HEX2DEC(RIGHT(Table1323214[[#This Row],[h1]],8))</f>
        <v>0</v>
      </c>
      <c r="Q1135" s="47" t="s">
        <v>149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149</v>
      </c>
      <c r="P1136" s="47">
        <f>HEX2DEC(RIGHT(Table1323214[[#This Row],[h1]],8))</f>
        <v>0</v>
      </c>
      <c r="Q1136" s="47" t="s">
        <v>149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149</v>
      </c>
      <c r="P1137" s="47">
        <f>HEX2DEC(RIGHT(Table1323214[[#This Row],[h1]],8))</f>
        <v>0</v>
      </c>
      <c r="Q1137" s="47" t="s">
        <v>149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149</v>
      </c>
      <c r="P1138" s="47">
        <f>HEX2DEC(RIGHT(Table1323214[[#This Row],[h1]],8))</f>
        <v>0</v>
      </c>
      <c r="Q1138" s="47" t="s">
        <v>149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149</v>
      </c>
      <c r="P1139" s="47">
        <f>HEX2DEC(RIGHT(Table1323214[[#This Row],[h1]],8))</f>
        <v>0</v>
      </c>
      <c r="Q1139" s="47" t="s">
        <v>149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149</v>
      </c>
      <c r="P1140" s="47">
        <f>HEX2DEC(RIGHT(Table1323214[[#This Row],[h1]],8))</f>
        <v>0</v>
      </c>
      <c r="Q1140" s="47" t="s">
        <v>149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149</v>
      </c>
      <c r="P1141" s="47">
        <f>HEX2DEC(RIGHT(Table1323214[[#This Row],[h1]],8))</f>
        <v>0</v>
      </c>
      <c r="Q1141" s="47" t="s">
        <v>149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149</v>
      </c>
      <c r="P1142" s="47">
        <f>HEX2DEC(RIGHT(Table1323214[[#This Row],[h1]],8))</f>
        <v>0</v>
      </c>
      <c r="Q1142" s="47" t="s">
        <v>149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149</v>
      </c>
      <c r="P1143" s="47">
        <f>HEX2DEC(RIGHT(Table1323214[[#This Row],[h1]],8))</f>
        <v>0</v>
      </c>
      <c r="Q1143" s="47" t="s">
        <v>149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149</v>
      </c>
      <c r="P1144" s="47">
        <f>HEX2DEC(RIGHT(Table1323214[[#This Row],[h1]],8))</f>
        <v>0</v>
      </c>
      <c r="Q1144" s="47" t="s">
        <v>149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149</v>
      </c>
      <c r="P1145" s="47">
        <f>HEX2DEC(RIGHT(Table1323214[[#This Row],[h1]],8))</f>
        <v>0</v>
      </c>
      <c r="Q1145" s="47" t="s">
        <v>149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149</v>
      </c>
      <c r="P1146" s="47">
        <f>HEX2DEC(RIGHT(Table1323214[[#This Row],[h1]],8))</f>
        <v>0</v>
      </c>
      <c r="Q1146" s="47" t="s">
        <v>149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149</v>
      </c>
      <c r="P1147" s="47">
        <f>HEX2DEC(RIGHT(Table1323214[[#This Row],[h1]],8))</f>
        <v>0</v>
      </c>
      <c r="Q1147" s="47" t="s">
        <v>149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149</v>
      </c>
      <c r="P1148" s="47">
        <f>HEX2DEC(RIGHT(Table1323214[[#This Row],[h1]],8))</f>
        <v>0</v>
      </c>
      <c r="Q1148" s="47" t="s">
        <v>149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149</v>
      </c>
      <c r="P1149" s="47">
        <f>HEX2DEC(RIGHT(Table1323214[[#This Row],[h1]],8))</f>
        <v>0</v>
      </c>
      <c r="Q1149" s="47" t="s">
        <v>149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149</v>
      </c>
      <c r="P1150" s="47">
        <f>HEX2DEC(RIGHT(Table1323214[[#This Row],[h1]],8))</f>
        <v>0</v>
      </c>
      <c r="Q1150" s="47" t="s">
        <v>149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149</v>
      </c>
      <c r="P1151" s="47">
        <f>HEX2DEC(RIGHT(Table1323214[[#This Row],[h1]],8))</f>
        <v>0</v>
      </c>
      <c r="Q1151" s="47" t="s">
        <v>149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149</v>
      </c>
      <c r="P1152" s="47">
        <f>HEX2DEC(RIGHT(Table1323214[[#This Row],[h1]],8))</f>
        <v>0</v>
      </c>
      <c r="Q1152" s="47" t="s">
        <v>149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149</v>
      </c>
      <c r="P1153" s="47">
        <f>HEX2DEC(RIGHT(Table1323214[[#This Row],[h1]],8))</f>
        <v>0</v>
      </c>
      <c r="Q1153" s="47" t="s">
        <v>149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149</v>
      </c>
      <c r="P1154" s="47">
        <f>HEX2DEC(RIGHT(Table1323214[[#This Row],[h1]],8))</f>
        <v>0</v>
      </c>
      <c r="Q1154" s="47" t="s">
        <v>149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149</v>
      </c>
      <c r="P1155" s="47">
        <f>HEX2DEC(RIGHT(Table1323214[[#This Row],[h1]],8))</f>
        <v>0</v>
      </c>
      <c r="Q1155" s="47" t="s">
        <v>149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149</v>
      </c>
      <c r="P1156" s="47">
        <f>HEX2DEC(RIGHT(Table1323214[[#This Row],[h1]],8))</f>
        <v>0</v>
      </c>
      <c r="Q1156" s="47" t="s">
        <v>149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149</v>
      </c>
      <c r="P1157" s="47">
        <f>HEX2DEC(RIGHT(Table1323214[[#This Row],[h1]],8))</f>
        <v>0</v>
      </c>
      <c r="Q1157" s="47" t="s">
        <v>149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149</v>
      </c>
      <c r="P1158" s="47">
        <f>HEX2DEC(RIGHT(Table1323214[[#This Row],[h1]],8))</f>
        <v>0</v>
      </c>
      <c r="Q1158" s="47" t="s">
        <v>149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149</v>
      </c>
      <c r="P1159" s="47">
        <f>HEX2DEC(RIGHT(Table1323214[[#This Row],[h1]],8))</f>
        <v>0</v>
      </c>
      <c r="Q1159" s="47" t="s">
        <v>149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149</v>
      </c>
      <c r="P1160" s="47">
        <f>HEX2DEC(RIGHT(Table1323214[[#This Row],[h1]],8))</f>
        <v>0</v>
      </c>
      <c r="Q1160" s="47" t="s">
        <v>149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149</v>
      </c>
      <c r="P1161" s="47">
        <f>HEX2DEC(RIGHT(Table1323214[[#This Row],[h1]],8))</f>
        <v>0</v>
      </c>
      <c r="Q1161" s="47" t="s">
        <v>149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149</v>
      </c>
      <c r="P1162" s="47">
        <f>HEX2DEC(RIGHT(Table1323214[[#This Row],[h1]],8))</f>
        <v>0</v>
      </c>
      <c r="Q1162" s="47" t="s">
        <v>149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149</v>
      </c>
      <c r="P1163" s="47">
        <f>HEX2DEC(RIGHT(Table1323214[[#This Row],[h1]],8))</f>
        <v>0</v>
      </c>
      <c r="Q1163" s="47" t="s">
        <v>149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149</v>
      </c>
      <c r="P1164" s="47">
        <f>HEX2DEC(RIGHT(Table1323214[[#This Row],[h1]],8))</f>
        <v>0</v>
      </c>
      <c r="Q1164" s="47" t="s">
        <v>149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149</v>
      </c>
      <c r="P1165" s="47">
        <f>HEX2DEC(RIGHT(Table1323214[[#This Row],[h1]],8))</f>
        <v>0</v>
      </c>
      <c r="Q1165" s="47" t="s">
        <v>149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149</v>
      </c>
      <c r="P1166" s="47">
        <f>HEX2DEC(RIGHT(Table1323214[[#This Row],[h1]],8))</f>
        <v>0</v>
      </c>
      <c r="Q1166" s="47" t="s">
        <v>149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149</v>
      </c>
      <c r="P1167" s="47">
        <f>HEX2DEC(RIGHT(Table1323214[[#This Row],[h1]],8))</f>
        <v>0</v>
      </c>
      <c r="Q1167" s="47" t="s">
        <v>149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149</v>
      </c>
      <c r="P1168" s="47">
        <f>HEX2DEC(RIGHT(Table1323214[[#This Row],[h1]],8))</f>
        <v>0</v>
      </c>
      <c r="Q1168" s="47" t="s">
        <v>149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149</v>
      </c>
      <c r="P1169" s="47">
        <f>HEX2DEC(RIGHT(Table1323214[[#This Row],[h1]],8))</f>
        <v>0</v>
      </c>
      <c r="Q1169" s="47" t="s">
        <v>149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149</v>
      </c>
      <c r="P1170" s="47">
        <f>HEX2DEC(RIGHT(Table1323214[[#This Row],[h1]],8))</f>
        <v>0</v>
      </c>
      <c r="Q1170" s="47" t="s">
        <v>149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149</v>
      </c>
      <c r="P1171" s="47">
        <f>HEX2DEC(RIGHT(Table1323214[[#This Row],[h1]],8))</f>
        <v>0</v>
      </c>
      <c r="Q1171" s="47" t="s">
        <v>149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149</v>
      </c>
      <c r="P1172" s="47">
        <f>HEX2DEC(RIGHT(Table1323214[[#This Row],[h1]],8))</f>
        <v>0</v>
      </c>
      <c r="Q1172" s="47" t="s">
        <v>149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149</v>
      </c>
      <c r="P1173" s="47">
        <f>HEX2DEC(RIGHT(Table1323214[[#This Row],[h1]],8))</f>
        <v>0</v>
      </c>
      <c r="Q1173" s="47" t="s">
        <v>149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149</v>
      </c>
      <c r="P1174" s="47">
        <f>HEX2DEC(RIGHT(Table1323214[[#This Row],[h1]],8))</f>
        <v>0</v>
      </c>
      <c r="Q1174" s="47" t="s">
        <v>149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149</v>
      </c>
      <c r="P1175" s="47">
        <f>HEX2DEC(RIGHT(Table1323214[[#This Row],[h1]],8))</f>
        <v>0</v>
      </c>
      <c r="Q1175" s="47" t="s">
        <v>149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149</v>
      </c>
      <c r="P1176" s="47">
        <f>HEX2DEC(RIGHT(Table1323214[[#This Row],[h1]],8))</f>
        <v>0</v>
      </c>
      <c r="Q1176" s="47" t="s">
        <v>149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149</v>
      </c>
      <c r="P1177" s="47">
        <f>HEX2DEC(RIGHT(Table1323214[[#This Row],[h1]],8))</f>
        <v>0</v>
      </c>
      <c r="Q1177" s="47" t="s">
        <v>149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149</v>
      </c>
      <c r="P1178" s="47">
        <f>HEX2DEC(RIGHT(Table1323214[[#This Row],[h1]],8))</f>
        <v>0</v>
      </c>
      <c r="Q1178" s="47" t="s">
        <v>149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149</v>
      </c>
      <c r="P1179" s="47">
        <f>HEX2DEC(RIGHT(Table1323214[[#This Row],[h1]],8))</f>
        <v>0</v>
      </c>
      <c r="Q1179" s="47" t="s">
        <v>149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149</v>
      </c>
      <c r="P1180" s="47">
        <f>HEX2DEC(RIGHT(Table1323214[[#This Row],[h1]],8))</f>
        <v>0</v>
      </c>
      <c r="Q1180" s="47" t="s">
        <v>149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149</v>
      </c>
      <c r="P1181" s="47">
        <f>HEX2DEC(RIGHT(Table1323214[[#This Row],[h1]],8))</f>
        <v>0</v>
      </c>
      <c r="Q1181" s="47" t="s">
        <v>149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149</v>
      </c>
      <c r="P1182" s="47">
        <f>HEX2DEC(RIGHT(Table1323214[[#This Row],[h1]],8))</f>
        <v>0</v>
      </c>
      <c r="Q1182" s="47" t="s">
        <v>149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149</v>
      </c>
      <c r="P1183" s="47">
        <f>HEX2DEC(RIGHT(Table1323214[[#This Row],[h1]],8))</f>
        <v>0</v>
      </c>
      <c r="Q1183" s="47" t="s">
        <v>149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149</v>
      </c>
      <c r="P1184" s="47">
        <f>HEX2DEC(RIGHT(Table1323214[[#This Row],[h1]],8))</f>
        <v>0</v>
      </c>
      <c r="Q1184" s="47" t="s">
        <v>149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149</v>
      </c>
      <c r="P1185" s="47">
        <f>HEX2DEC(RIGHT(Table1323214[[#This Row],[h1]],8))</f>
        <v>0</v>
      </c>
      <c r="Q1185" s="47" t="s">
        <v>149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149</v>
      </c>
      <c r="P1186" s="47">
        <f>HEX2DEC(RIGHT(Table1323214[[#This Row],[h1]],8))</f>
        <v>0</v>
      </c>
      <c r="Q1186" s="47" t="s">
        <v>149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149</v>
      </c>
      <c r="P1187" s="47">
        <f>HEX2DEC(RIGHT(Table1323214[[#This Row],[h1]],8))</f>
        <v>0</v>
      </c>
      <c r="Q1187" s="47" t="s">
        <v>149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149</v>
      </c>
      <c r="P1188" s="47">
        <f>HEX2DEC(RIGHT(Table1323214[[#This Row],[h1]],8))</f>
        <v>0</v>
      </c>
      <c r="Q1188" s="47" t="s">
        <v>149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149</v>
      </c>
      <c r="P1189" s="47">
        <f>HEX2DEC(RIGHT(Table1323214[[#This Row],[h1]],8))</f>
        <v>0</v>
      </c>
      <c r="Q1189" s="47" t="s">
        <v>149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149</v>
      </c>
      <c r="P1190" s="47">
        <f>HEX2DEC(RIGHT(Table1323214[[#This Row],[h1]],8))</f>
        <v>0</v>
      </c>
      <c r="Q1190" s="47" t="s">
        <v>149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149</v>
      </c>
      <c r="P1191" s="47">
        <f>HEX2DEC(RIGHT(Table1323214[[#This Row],[h1]],8))</f>
        <v>0</v>
      </c>
      <c r="Q1191" s="47" t="s">
        <v>149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149</v>
      </c>
      <c r="P1192" s="47">
        <f>HEX2DEC(RIGHT(Table1323214[[#This Row],[h1]],8))</f>
        <v>0</v>
      </c>
      <c r="Q1192" s="47" t="s">
        <v>149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149</v>
      </c>
      <c r="P1193" s="47">
        <f>HEX2DEC(RIGHT(Table1323214[[#This Row],[h1]],8))</f>
        <v>0</v>
      </c>
      <c r="Q1193" s="47" t="s">
        <v>149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149</v>
      </c>
      <c r="P1194" s="47">
        <f>HEX2DEC(RIGHT(Table1323214[[#This Row],[h1]],8))</f>
        <v>0</v>
      </c>
      <c r="Q1194" s="47" t="s">
        <v>149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149</v>
      </c>
      <c r="P1195" s="47">
        <f>HEX2DEC(RIGHT(Table1323214[[#This Row],[h1]],8))</f>
        <v>0</v>
      </c>
      <c r="Q1195" s="47" t="s">
        <v>149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149</v>
      </c>
      <c r="P1196" s="47">
        <f>HEX2DEC(RIGHT(Table1323214[[#This Row],[h1]],8))</f>
        <v>0</v>
      </c>
      <c r="Q1196" s="47" t="s">
        <v>149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149</v>
      </c>
      <c r="P1197" s="47">
        <f>HEX2DEC(RIGHT(Table1323214[[#This Row],[h1]],8))</f>
        <v>0</v>
      </c>
      <c r="Q1197" s="47" t="s">
        <v>149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149</v>
      </c>
      <c r="P1198" s="47">
        <f>HEX2DEC(RIGHT(Table1323214[[#This Row],[h1]],8))</f>
        <v>0</v>
      </c>
      <c r="Q1198" s="47" t="s">
        <v>149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149</v>
      </c>
      <c r="P1199" s="47">
        <f>HEX2DEC(RIGHT(Table1323214[[#This Row],[h1]],8))</f>
        <v>0</v>
      </c>
      <c r="Q1199" s="47" t="s">
        <v>149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149</v>
      </c>
      <c r="P1200" s="47">
        <f>HEX2DEC(RIGHT(Table1323214[[#This Row],[h1]],8))</f>
        <v>0</v>
      </c>
      <c r="Q1200" s="47" t="s">
        <v>149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149</v>
      </c>
      <c r="P1201" s="47">
        <f>HEX2DEC(RIGHT(Table1323214[[#This Row],[h1]],8))</f>
        <v>0</v>
      </c>
      <c r="Q1201" s="47" t="s">
        <v>149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149</v>
      </c>
      <c r="P1202" s="47">
        <f>HEX2DEC(RIGHT(Table1323214[[#This Row],[h1]],8))</f>
        <v>0</v>
      </c>
      <c r="Q1202" s="47" t="s">
        <v>149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149</v>
      </c>
      <c r="P1203" s="47">
        <f>HEX2DEC(RIGHT(Table1323214[[#This Row],[h1]],8))</f>
        <v>0</v>
      </c>
      <c r="Q1203" s="47" t="s">
        <v>149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149</v>
      </c>
      <c r="P1204" s="47">
        <f>HEX2DEC(RIGHT(Table1323214[[#This Row],[h1]],8))</f>
        <v>0</v>
      </c>
      <c r="Q1204" s="47" t="s">
        <v>149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149</v>
      </c>
      <c r="P1205" s="47">
        <f>HEX2DEC(RIGHT(Table1323214[[#This Row],[h1]],8))</f>
        <v>0</v>
      </c>
      <c r="Q1205" s="47" t="s">
        <v>149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149</v>
      </c>
      <c r="P1206" s="47">
        <f>HEX2DEC(RIGHT(Table1323214[[#This Row],[h1]],8))</f>
        <v>0</v>
      </c>
      <c r="Q1206" s="47" t="s">
        <v>149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149</v>
      </c>
      <c r="P1207" s="47">
        <f>HEX2DEC(RIGHT(Table1323214[[#This Row],[h1]],8))</f>
        <v>0</v>
      </c>
      <c r="Q1207" s="47" t="s">
        <v>149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149</v>
      </c>
      <c r="P1208" s="47">
        <f>HEX2DEC(RIGHT(Table1323214[[#This Row],[h1]],8))</f>
        <v>0</v>
      </c>
      <c r="Q1208" s="47" t="s">
        <v>149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149</v>
      </c>
      <c r="P1209" s="47">
        <f>HEX2DEC(RIGHT(Table1323214[[#This Row],[h1]],8))</f>
        <v>0</v>
      </c>
      <c r="Q1209" s="47" t="s">
        <v>149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149</v>
      </c>
      <c r="P1210" s="47">
        <f>HEX2DEC(RIGHT(Table1323214[[#This Row],[h1]],8))</f>
        <v>0</v>
      </c>
      <c r="Q1210" s="47" t="s">
        <v>149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149</v>
      </c>
      <c r="P1211" s="47">
        <f>HEX2DEC(RIGHT(Table1323214[[#This Row],[h1]],8))</f>
        <v>0</v>
      </c>
      <c r="Q1211" s="47" t="s">
        <v>149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149</v>
      </c>
      <c r="P1212" s="47">
        <f>HEX2DEC(RIGHT(Table1323214[[#This Row],[h1]],8))</f>
        <v>0</v>
      </c>
      <c r="Q1212" s="47" t="s">
        <v>149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149</v>
      </c>
      <c r="P1213" s="47">
        <f>HEX2DEC(RIGHT(Table1323214[[#This Row],[h1]],8))</f>
        <v>0</v>
      </c>
      <c r="Q1213" s="47" t="s">
        <v>149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149</v>
      </c>
      <c r="P1214" s="47">
        <f>HEX2DEC(RIGHT(Table1323214[[#This Row],[h1]],8))</f>
        <v>0</v>
      </c>
      <c r="Q1214" s="47" t="s">
        <v>149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149</v>
      </c>
      <c r="P1215" s="47">
        <f>HEX2DEC(RIGHT(Table1323214[[#This Row],[h1]],8))</f>
        <v>0</v>
      </c>
      <c r="Q1215" s="47" t="s">
        <v>149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149</v>
      </c>
      <c r="P1216" s="47">
        <f>HEX2DEC(RIGHT(Table1323214[[#This Row],[h1]],8))</f>
        <v>0</v>
      </c>
      <c r="Q1216" s="47" t="s">
        <v>149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149</v>
      </c>
      <c r="P1217" s="47">
        <f>HEX2DEC(RIGHT(Table1323214[[#This Row],[h1]],8))</f>
        <v>0</v>
      </c>
      <c r="Q1217" s="47" t="s">
        <v>149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149</v>
      </c>
      <c r="P1218" s="47">
        <f>HEX2DEC(RIGHT(Table1323214[[#This Row],[h1]],8))</f>
        <v>0</v>
      </c>
      <c r="Q1218" s="47" t="s">
        <v>149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149</v>
      </c>
      <c r="P1219" s="47">
        <f>HEX2DEC(RIGHT(Table1323214[[#This Row],[h1]],8))</f>
        <v>0</v>
      </c>
      <c r="Q1219" s="47" t="s">
        <v>149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149</v>
      </c>
      <c r="P1220" s="47">
        <f>HEX2DEC(RIGHT(Table1323214[[#This Row],[h1]],8))</f>
        <v>0</v>
      </c>
      <c r="Q1220" s="47" t="s">
        <v>149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149</v>
      </c>
      <c r="P1221" s="47">
        <f>HEX2DEC(RIGHT(Table1323214[[#This Row],[h1]],8))</f>
        <v>0</v>
      </c>
      <c r="Q1221" s="47" t="s">
        <v>149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149</v>
      </c>
      <c r="P1222" s="47">
        <f>HEX2DEC(RIGHT(Table1323214[[#This Row],[h1]],8))</f>
        <v>0</v>
      </c>
      <c r="Q1222" s="47" t="s">
        <v>149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149</v>
      </c>
      <c r="P1223" s="47">
        <f>HEX2DEC(RIGHT(Table1323214[[#This Row],[h1]],8))</f>
        <v>0</v>
      </c>
      <c r="Q1223" s="47" t="s">
        <v>149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149</v>
      </c>
      <c r="P1224" s="47">
        <f>HEX2DEC(RIGHT(Table1323214[[#This Row],[h1]],8))</f>
        <v>0</v>
      </c>
      <c r="Q1224" s="47" t="s">
        <v>149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149</v>
      </c>
      <c r="P1225" s="47">
        <f>HEX2DEC(RIGHT(Table1323214[[#This Row],[h1]],8))</f>
        <v>0</v>
      </c>
      <c r="Q1225" s="47" t="s">
        <v>149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149</v>
      </c>
      <c r="P1226" s="47">
        <f>HEX2DEC(RIGHT(Table1323214[[#This Row],[h1]],8))</f>
        <v>0</v>
      </c>
      <c r="Q1226" s="47" t="s">
        <v>149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149</v>
      </c>
      <c r="P1227" s="47">
        <f>HEX2DEC(RIGHT(Table1323214[[#This Row],[h1]],8))</f>
        <v>0</v>
      </c>
      <c r="Q1227" s="47" t="s">
        <v>149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149</v>
      </c>
      <c r="P1228" s="47">
        <f>HEX2DEC(RIGHT(Table1323214[[#This Row],[h1]],8))</f>
        <v>0</v>
      </c>
      <c r="Q1228" s="47" t="s">
        <v>149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149</v>
      </c>
      <c r="P1229" s="47">
        <f>HEX2DEC(RIGHT(Table1323214[[#This Row],[h1]],8))</f>
        <v>0</v>
      </c>
      <c r="Q1229" s="47" t="s">
        <v>149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149</v>
      </c>
      <c r="P1230" s="47">
        <f>HEX2DEC(RIGHT(Table1323214[[#This Row],[h1]],8))</f>
        <v>0</v>
      </c>
      <c r="Q1230" s="47" t="s">
        <v>149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149</v>
      </c>
      <c r="P1231" s="47">
        <f>HEX2DEC(RIGHT(Table1323214[[#This Row],[h1]],8))</f>
        <v>0</v>
      </c>
      <c r="Q1231" s="47" t="s">
        <v>149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149</v>
      </c>
      <c r="P1232" s="47">
        <f>HEX2DEC(RIGHT(Table1323214[[#This Row],[h1]],8))</f>
        <v>0</v>
      </c>
      <c r="Q1232" s="47" t="s">
        <v>149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149</v>
      </c>
      <c r="P1233" s="47">
        <f>HEX2DEC(RIGHT(Table1323214[[#This Row],[h1]],8))</f>
        <v>0</v>
      </c>
      <c r="Q1233" s="47" t="s">
        <v>149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149</v>
      </c>
      <c r="P1234" s="47">
        <f>HEX2DEC(RIGHT(Table1323214[[#This Row],[h1]],8))</f>
        <v>0</v>
      </c>
      <c r="Q1234" s="47" t="s">
        <v>149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149</v>
      </c>
      <c r="P1235" s="47">
        <f>HEX2DEC(RIGHT(Table1323214[[#This Row],[h1]],8))</f>
        <v>0</v>
      </c>
      <c r="Q1235" s="47" t="s">
        <v>149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149</v>
      </c>
      <c r="P1236" s="47">
        <f>HEX2DEC(RIGHT(Table1323214[[#This Row],[h1]],8))</f>
        <v>0</v>
      </c>
      <c r="Q1236" s="47" t="s">
        <v>149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149</v>
      </c>
      <c r="P1237" s="47">
        <f>HEX2DEC(RIGHT(Table1323214[[#This Row],[h1]],8))</f>
        <v>0</v>
      </c>
      <c r="Q1237" s="47" t="s">
        <v>149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149</v>
      </c>
      <c r="P1238" s="47">
        <f>HEX2DEC(RIGHT(Table1323214[[#This Row],[h1]],8))</f>
        <v>0</v>
      </c>
      <c r="Q1238" s="47" t="s">
        <v>149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149</v>
      </c>
      <c r="P1239" s="47">
        <f>HEX2DEC(RIGHT(Table1323214[[#This Row],[h1]],8))</f>
        <v>0</v>
      </c>
      <c r="Q1239" s="47" t="s">
        <v>149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149</v>
      </c>
      <c r="P1240" s="47">
        <f>HEX2DEC(RIGHT(Table1323214[[#This Row],[h1]],8))</f>
        <v>0</v>
      </c>
      <c r="Q1240" s="47" t="s">
        <v>149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149</v>
      </c>
      <c r="P1241" s="47">
        <f>HEX2DEC(RIGHT(Table1323214[[#This Row],[h1]],8))</f>
        <v>0</v>
      </c>
      <c r="Q1241" s="47" t="s">
        <v>149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149</v>
      </c>
      <c r="P1242" s="47">
        <f>HEX2DEC(RIGHT(Table1323214[[#This Row],[h1]],8))</f>
        <v>0</v>
      </c>
      <c r="Q1242" s="47" t="s">
        <v>149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149</v>
      </c>
      <c r="P1243" s="47">
        <f>HEX2DEC(RIGHT(Table1323214[[#This Row],[h1]],8))</f>
        <v>0</v>
      </c>
      <c r="Q1243" s="47" t="s">
        <v>149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149</v>
      </c>
      <c r="P1244" s="47">
        <f>HEX2DEC(RIGHT(Table1323214[[#This Row],[h1]],8))</f>
        <v>0</v>
      </c>
      <c r="Q1244" s="47" t="s">
        <v>149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149</v>
      </c>
      <c r="P1245" s="47">
        <f>HEX2DEC(RIGHT(Table1323214[[#This Row],[h1]],8))</f>
        <v>0</v>
      </c>
      <c r="Q1245" s="47" t="s">
        <v>149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149</v>
      </c>
      <c r="P1246" s="47">
        <f>HEX2DEC(RIGHT(Table1323214[[#This Row],[h1]],8))</f>
        <v>0</v>
      </c>
      <c r="Q1246" s="47" t="s">
        <v>149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149</v>
      </c>
      <c r="P1247" s="47">
        <f>HEX2DEC(RIGHT(Table1323214[[#This Row],[h1]],8))</f>
        <v>0</v>
      </c>
      <c r="Q1247" s="47" t="s">
        <v>149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149</v>
      </c>
      <c r="P1248" s="47">
        <f>HEX2DEC(RIGHT(Table1323214[[#This Row],[h1]],8))</f>
        <v>0</v>
      </c>
      <c r="Q1248" s="47" t="s">
        <v>149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149</v>
      </c>
      <c r="P1249" s="47">
        <f>HEX2DEC(RIGHT(Table1323214[[#This Row],[h1]],8))</f>
        <v>0</v>
      </c>
      <c r="Q1249" s="47" t="s">
        <v>149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149</v>
      </c>
      <c r="P1250" s="47">
        <f>HEX2DEC(RIGHT(Table1323214[[#This Row],[h1]],8))</f>
        <v>0</v>
      </c>
      <c r="Q1250" s="47" t="s">
        <v>149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149</v>
      </c>
      <c r="P1251" s="47">
        <f>HEX2DEC(RIGHT(Table1323214[[#This Row],[h1]],8))</f>
        <v>0</v>
      </c>
      <c r="Q1251" s="47" t="s">
        <v>149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149</v>
      </c>
      <c r="P1252" s="47">
        <f>HEX2DEC(RIGHT(Table1323214[[#This Row],[h1]],8))</f>
        <v>0</v>
      </c>
      <c r="Q1252" s="47" t="s">
        <v>149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149</v>
      </c>
      <c r="P1253" s="47">
        <f>HEX2DEC(RIGHT(Table1323214[[#This Row],[h1]],8))</f>
        <v>0</v>
      </c>
      <c r="Q1253" s="47" t="s">
        <v>149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149</v>
      </c>
      <c r="P1254" s="47">
        <f>HEX2DEC(RIGHT(Table1323214[[#This Row],[h1]],8))</f>
        <v>0</v>
      </c>
      <c r="Q1254" s="47" t="s">
        <v>149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149</v>
      </c>
      <c r="P1255" s="47">
        <f>HEX2DEC(RIGHT(Table1323214[[#This Row],[h1]],8))</f>
        <v>0</v>
      </c>
      <c r="Q1255" s="47" t="s">
        <v>149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149</v>
      </c>
      <c r="P1256" s="47">
        <f>HEX2DEC(RIGHT(Table1323214[[#This Row],[h1]],8))</f>
        <v>0</v>
      </c>
      <c r="Q1256" s="47" t="s">
        <v>149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149</v>
      </c>
      <c r="P1257" s="47">
        <f>HEX2DEC(RIGHT(Table1323214[[#This Row],[h1]],8))</f>
        <v>0</v>
      </c>
      <c r="Q1257" s="47" t="s">
        <v>149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149</v>
      </c>
      <c r="P1258" s="47">
        <f>HEX2DEC(RIGHT(Table1323214[[#This Row],[h1]],8))</f>
        <v>0</v>
      </c>
      <c r="Q1258" s="47" t="s">
        <v>149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149</v>
      </c>
      <c r="P1259" s="47">
        <f>HEX2DEC(RIGHT(Table1323214[[#This Row],[h1]],8))</f>
        <v>0</v>
      </c>
      <c r="Q1259" s="47" t="s">
        <v>149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149</v>
      </c>
      <c r="P1260" s="47">
        <f>HEX2DEC(RIGHT(Table1323214[[#This Row],[h1]],8))</f>
        <v>0</v>
      </c>
      <c r="Q1260" s="47" t="s">
        <v>149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149</v>
      </c>
      <c r="P1261" s="47">
        <f>HEX2DEC(RIGHT(Table1323214[[#This Row],[h1]],8))</f>
        <v>0</v>
      </c>
      <c r="Q1261" s="47" t="s">
        <v>149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149</v>
      </c>
      <c r="P1262" s="47">
        <f>HEX2DEC(RIGHT(Table1323214[[#This Row],[h1]],8))</f>
        <v>0</v>
      </c>
      <c r="Q1262" s="47" t="s">
        <v>149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149</v>
      </c>
      <c r="P1263" s="47">
        <f>HEX2DEC(RIGHT(Table1323214[[#This Row],[h1]],8))</f>
        <v>0</v>
      </c>
      <c r="Q1263" s="47" t="s">
        <v>149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149</v>
      </c>
      <c r="P1264" s="47">
        <f>HEX2DEC(RIGHT(Table1323214[[#This Row],[h1]],8))</f>
        <v>0</v>
      </c>
      <c r="Q1264" s="47" t="s">
        <v>149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149</v>
      </c>
      <c r="P1265" s="47">
        <f>HEX2DEC(RIGHT(Table1323214[[#This Row],[h1]],8))</f>
        <v>0</v>
      </c>
      <c r="Q1265" s="47" t="s">
        <v>149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149</v>
      </c>
      <c r="P1266" s="47">
        <f>HEX2DEC(RIGHT(Table1323214[[#This Row],[h1]],8))</f>
        <v>0</v>
      </c>
      <c r="Q1266" s="47" t="s">
        <v>149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149</v>
      </c>
      <c r="P1267" s="47">
        <f>HEX2DEC(RIGHT(Table1323214[[#This Row],[h1]],8))</f>
        <v>0</v>
      </c>
      <c r="Q1267" s="47" t="s">
        <v>149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149</v>
      </c>
      <c r="P1268" s="47">
        <f>HEX2DEC(RIGHT(Table1323214[[#This Row],[h1]],8))</f>
        <v>0</v>
      </c>
      <c r="Q1268" s="47" t="s">
        <v>149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149</v>
      </c>
      <c r="P1269" s="47">
        <f>HEX2DEC(RIGHT(Table1323214[[#This Row],[h1]],8))</f>
        <v>0</v>
      </c>
      <c r="Q1269" s="47" t="s">
        <v>149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149</v>
      </c>
      <c r="P1270" s="47">
        <f>HEX2DEC(RIGHT(Table1323214[[#This Row],[h1]],8))</f>
        <v>0</v>
      </c>
      <c r="Q1270" s="47" t="s">
        <v>149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149</v>
      </c>
      <c r="P1271" s="47">
        <f>HEX2DEC(RIGHT(Table1323214[[#This Row],[h1]],8))</f>
        <v>0</v>
      </c>
      <c r="Q1271" s="47" t="s">
        <v>149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149</v>
      </c>
      <c r="P1272" s="47">
        <f>HEX2DEC(RIGHT(Table1323214[[#This Row],[h1]],8))</f>
        <v>0</v>
      </c>
      <c r="Q1272" s="47" t="s">
        <v>149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149</v>
      </c>
      <c r="P1273" s="47">
        <f>HEX2DEC(RIGHT(Table1323214[[#This Row],[h1]],8))</f>
        <v>0</v>
      </c>
      <c r="Q1273" s="47" t="s">
        <v>149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149</v>
      </c>
      <c r="P1274" s="47">
        <f>HEX2DEC(RIGHT(Table1323214[[#This Row],[h1]],8))</f>
        <v>0</v>
      </c>
      <c r="Q1274" s="47" t="s">
        <v>149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149</v>
      </c>
      <c r="P1275" s="47">
        <f>HEX2DEC(RIGHT(Table1323214[[#This Row],[h1]],8))</f>
        <v>0</v>
      </c>
      <c r="Q1275" s="47" t="s">
        <v>149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149</v>
      </c>
      <c r="P1276" s="47">
        <f>HEX2DEC(RIGHT(Table1323214[[#This Row],[h1]],8))</f>
        <v>0</v>
      </c>
      <c r="Q1276" s="47" t="s">
        <v>149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149</v>
      </c>
      <c r="P1277" s="47">
        <f>HEX2DEC(RIGHT(Table1323214[[#This Row],[h1]],8))</f>
        <v>0</v>
      </c>
      <c r="Q1277" s="47" t="s">
        <v>149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149</v>
      </c>
      <c r="P1278" s="47">
        <f>HEX2DEC(RIGHT(Table1323214[[#This Row],[h1]],8))</f>
        <v>0</v>
      </c>
      <c r="Q1278" s="47" t="s">
        <v>149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149</v>
      </c>
      <c r="P1279" s="47">
        <f>HEX2DEC(RIGHT(Table1323214[[#This Row],[h1]],8))</f>
        <v>0</v>
      </c>
      <c r="Q1279" s="47" t="s">
        <v>149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149</v>
      </c>
      <c r="P1280" s="47">
        <f>HEX2DEC(RIGHT(Table1323214[[#This Row],[h1]],8))</f>
        <v>0</v>
      </c>
      <c r="Q1280" s="47" t="s">
        <v>149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149</v>
      </c>
      <c r="P1281" s="47">
        <f>HEX2DEC(RIGHT(Table1323214[[#This Row],[h1]],8))</f>
        <v>0</v>
      </c>
      <c r="Q1281" s="47" t="s">
        <v>149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149</v>
      </c>
      <c r="P1282" s="47">
        <f>HEX2DEC(RIGHT(Table1323214[[#This Row],[h1]],8))</f>
        <v>0</v>
      </c>
      <c r="Q1282" s="47" t="s">
        <v>149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149</v>
      </c>
      <c r="P1283" s="47">
        <f>HEX2DEC(RIGHT(Table1323214[[#This Row],[h1]],8))</f>
        <v>0</v>
      </c>
      <c r="Q1283" s="47" t="s">
        <v>149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149</v>
      </c>
      <c r="P1284" s="47">
        <f>HEX2DEC(RIGHT(Table1323214[[#This Row],[h1]],8))</f>
        <v>0</v>
      </c>
      <c r="Q1284" s="47" t="s">
        <v>149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149</v>
      </c>
      <c r="P1285" s="47">
        <f>HEX2DEC(RIGHT(Table1323214[[#This Row],[h1]],8))</f>
        <v>0</v>
      </c>
      <c r="Q1285" s="47" t="s">
        <v>149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149</v>
      </c>
      <c r="P1286" s="47">
        <f>HEX2DEC(RIGHT(Table1323214[[#This Row],[h1]],8))</f>
        <v>0</v>
      </c>
      <c r="Q1286" s="47" t="s">
        <v>149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149</v>
      </c>
      <c r="P1287" s="47">
        <f>HEX2DEC(RIGHT(Table1323214[[#This Row],[h1]],8))</f>
        <v>0</v>
      </c>
      <c r="Q1287" s="47" t="s">
        <v>149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149</v>
      </c>
      <c r="P1288" s="47">
        <f>HEX2DEC(RIGHT(Table1323214[[#This Row],[h1]],8))</f>
        <v>0</v>
      </c>
      <c r="Q1288" s="47" t="s">
        <v>149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149</v>
      </c>
      <c r="P1289" s="47">
        <f>HEX2DEC(RIGHT(Table1323214[[#This Row],[h1]],8))</f>
        <v>0</v>
      </c>
      <c r="Q1289" s="47" t="s">
        <v>149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149</v>
      </c>
      <c r="P1290" s="47">
        <f>HEX2DEC(RIGHT(Table1323214[[#This Row],[h1]],8))</f>
        <v>0</v>
      </c>
      <c r="Q1290" s="47" t="s">
        <v>149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149</v>
      </c>
      <c r="P1291" s="47">
        <f>HEX2DEC(RIGHT(Table1323214[[#This Row],[h1]],8))</f>
        <v>0</v>
      </c>
      <c r="Q1291" s="47" t="s">
        <v>149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149</v>
      </c>
      <c r="P1292" s="47">
        <f>HEX2DEC(RIGHT(Table1323214[[#This Row],[h1]],8))</f>
        <v>0</v>
      </c>
      <c r="Q1292" s="47" t="s">
        <v>149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149</v>
      </c>
      <c r="P1293" s="47">
        <f>HEX2DEC(RIGHT(Table1323214[[#This Row],[h1]],8))</f>
        <v>0</v>
      </c>
      <c r="Q1293" s="47" t="s">
        <v>149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149</v>
      </c>
      <c r="P1294" s="47">
        <f>HEX2DEC(RIGHT(Table1323214[[#This Row],[h1]],8))</f>
        <v>0</v>
      </c>
      <c r="Q1294" s="47" t="s">
        <v>149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149</v>
      </c>
      <c r="P1295" s="47">
        <f>HEX2DEC(RIGHT(Table1323214[[#This Row],[h1]],8))</f>
        <v>0</v>
      </c>
      <c r="Q1295" s="47" t="s">
        <v>149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149</v>
      </c>
      <c r="P1296" s="47">
        <f>HEX2DEC(RIGHT(Table1323214[[#This Row],[h1]],8))</f>
        <v>0</v>
      </c>
      <c r="Q1296" s="47" t="s">
        <v>149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149</v>
      </c>
      <c r="P1297" s="47">
        <f>HEX2DEC(RIGHT(Table1323214[[#This Row],[h1]],8))</f>
        <v>0</v>
      </c>
      <c r="Q1297" s="47" t="s">
        <v>149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149</v>
      </c>
      <c r="P1298" s="47">
        <f>HEX2DEC(RIGHT(Table1323214[[#This Row],[h1]],8))</f>
        <v>0</v>
      </c>
      <c r="Q1298" s="47" t="s">
        <v>149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149</v>
      </c>
      <c r="P1299" s="47">
        <f>HEX2DEC(RIGHT(Table1323214[[#This Row],[h1]],8))</f>
        <v>0</v>
      </c>
      <c r="Q1299" s="47" t="s">
        <v>149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149</v>
      </c>
      <c r="P1300" s="47">
        <f>HEX2DEC(RIGHT(Table1323214[[#This Row],[h1]],8))</f>
        <v>0</v>
      </c>
      <c r="Q1300" s="47" t="s">
        <v>149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149</v>
      </c>
      <c r="P1301" s="47">
        <f>HEX2DEC(RIGHT(Table1323214[[#This Row],[h1]],8))</f>
        <v>0</v>
      </c>
      <c r="Q1301" s="47" t="s">
        <v>149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149</v>
      </c>
      <c r="P1302" s="47">
        <f>HEX2DEC(RIGHT(Table1323214[[#This Row],[h1]],8))</f>
        <v>0</v>
      </c>
      <c r="Q1302" s="47" t="s">
        <v>149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149</v>
      </c>
      <c r="P1303" s="47">
        <f>HEX2DEC(RIGHT(Table1323214[[#This Row],[h1]],8))</f>
        <v>0</v>
      </c>
      <c r="Q1303" s="47" t="s">
        <v>149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149</v>
      </c>
      <c r="P1304" s="47">
        <f>HEX2DEC(RIGHT(Table1323214[[#This Row],[h1]],8))</f>
        <v>0</v>
      </c>
      <c r="Q1304" s="47" t="s">
        <v>149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149</v>
      </c>
      <c r="P1305" s="47">
        <f>HEX2DEC(RIGHT(Table1323214[[#This Row],[h1]],8))</f>
        <v>0</v>
      </c>
      <c r="Q1305" s="47" t="s">
        <v>149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149</v>
      </c>
      <c r="P1306" s="47">
        <f>HEX2DEC(RIGHT(Table1323214[[#This Row],[h1]],8))</f>
        <v>0</v>
      </c>
      <c r="Q1306" s="47" t="s">
        <v>149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149</v>
      </c>
      <c r="P1307" s="47">
        <f>HEX2DEC(RIGHT(Table1323214[[#This Row],[h1]],8))</f>
        <v>0</v>
      </c>
      <c r="Q1307" s="47" t="s">
        <v>149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149</v>
      </c>
      <c r="P1308" s="47">
        <f>HEX2DEC(RIGHT(Table1323214[[#This Row],[h1]],8))</f>
        <v>0</v>
      </c>
      <c r="Q1308" s="47" t="s">
        <v>149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149</v>
      </c>
      <c r="P1309" s="47">
        <f>HEX2DEC(RIGHT(Table1323214[[#This Row],[h1]],8))</f>
        <v>0</v>
      </c>
      <c r="Q1309" s="47" t="s">
        <v>149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149</v>
      </c>
      <c r="P1310" s="47">
        <f>HEX2DEC(RIGHT(Table1323214[[#This Row],[h1]],8))</f>
        <v>0</v>
      </c>
      <c r="Q1310" s="47" t="s">
        <v>149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149</v>
      </c>
      <c r="P1311" s="47">
        <f>HEX2DEC(RIGHT(Table1323214[[#This Row],[h1]],8))</f>
        <v>0</v>
      </c>
      <c r="Q1311" s="47" t="s">
        <v>149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149</v>
      </c>
      <c r="P1312" s="47">
        <f>HEX2DEC(RIGHT(Table1323214[[#This Row],[h1]],8))</f>
        <v>0</v>
      </c>
      <c r="Q1312" s="47" t="s">
        <v>149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149</v>
      </c>
      <c r="P1313" s="47">
        <f>HEX2DEC(RIGHT(Table1323214[[#This Row],[h1]],8))</f>
        <v>0</v>
      </c>
      <c r="Q1313" s="47" t="s">
        <v>149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149</v>
      </c>
      <c r="P1314" s="47">
        <f>HEX2DEC(RIGHT(Table1323214[[#This Row],[h1]],8))</f>
        <v>0</v>
      </c>
      <c r="Q1314" s="47" t="s">
        <v>149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149</v>
      </c>
      <c r="P1315" s="47">
        <f>HEX2DEC(RIGHT(Table1323214[[#This Row],[h1]],8))</f>
        <v>0</v>
      </c>
      <c r="Q1315" s="47" t="s">
        <v>149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149</v>
      </c>
      <c r="P1316" s="47">
        <f>HEX2DEC(RIGHT(Table1323214[[#This Row],[h1]],8))</f>
        <v>0</v>
      </c>
      <c r="Q1316" s="47" t="s">
        <v>149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149</v>
      </c>
      <c r="P1317" s="47">
        <f>HEX2DEC(RIGHT(Table1323214[[#This Row],[h1]],8))</f>
        <v>0</v>
      </c>
      <c r="Q1317" s="47" t="s">
        <v>149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149</v>
      </c>
      <c r="P1318" s="47">
        <f>HEX2DEC(RIGHT(Table1323214[[#This Row],[h1]],8))</f>
        <v>0</v>
      </c>
      <c r="Q1318" s="47" t="s">
        <v>149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149</v>
      </c>
      <c r="P1319" s="47">
        <f>HEX2DEC(RIGHT(Table1323214[[#This Row],[h1]],8))</f>
        <v>0</v>
      </c>
      <c r="Q1319" s="47" t="s">
        <v>149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149</v>
      </c>
      <c r="P1320" s="47">
        <f>HEX2DEC(RIGHT(Table1323214[[#This Row],[h1]],8))</f>
        <v>0</v>
      </c>
      <c r="Q1320" s="47" t="s">
        <v>149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149</v>
      </c>
      <c r="P1321" s="47">
        <f>HEX2DEC(RIGHT(Table1323214[[#This Row],[h1]],8))</f>
        <v>0</v>
      </c>
      <c r="Q1321" s="47" t="s">
        <v>149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149</v>
      </c>
      <c r="P1322" s="47">
        <f>HEX2DEC(RIGHT(Table1323214[[#This Row],[h1]],8))</f>
        <v>0</v>
      </c>
      <c r="Q1322" s="47" t="s">
        <v>149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149</v>
      </c>
      <c r="P1323" s="47">
        <f>HEX2DEC(RIGHT(Table1323214[[#This Row],[h1]],8))</f>
        <v>0</v>
      </c>
      <c r="Q1323" s="47" t="s">
        <v>149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149</v>
      </c>
      <c r="P1324" s="47">
        <f>HEX2DEC(RIGHT(Table1323214[[#This Row],[h1]],8))</f>
        <v>0</v>
      </c>
      <c r="Q1324" s="47" t="s">
        <v>149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149</v>
      </c>
      <c r="P1325" s="47">
        <f>HEX2DEC(RIGHT(Table1323214[[#This Row],[h1]],8))</f>
        <v>0</v>
      </c>
      <c r="Q1325" s="47" t="s">
        <v>149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149</v>
      </c>
      <c r="P1326" s="47">
        <f>HEX2DEC(RIGHT(Table1323214[[#This Row],[h1]],8))</f>
        <v>0</v>
      </c>
      <c r="Q1326" s="47" t="s">
        <v>149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149</v>
      </c>
      <c r="P1327" s="47">
        <f>HEX2DEC(RIGHT(Table1323214[[#This Row],[h1]],8))</f>
        <v>0</v>
      </c>
      <c r="Q1327" s="47" t="s">
        <v>149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149</v>
      </c>
      <c r="P1328" s="47">
        <f>HEX2DEC(RIGHT(Table1323214[[#This Row],[h1]],8))</f>
        <v>0</v>
      </c>
      <c r="Q1328" s="47" t="s">
        <v>149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149</v>
      </c>
      <c r="P1329" s="47">
        <f>HEX2DEC(RIGHT(Table1323214[[#This Row],[h1]],8))</f>
        <v>0</v>
      </c>
      <c r="Q1329" s="47" t="s">
        <v>149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149</v>
      </c>
      <c r="P1330" s="47">
        <f>HEX2DEC(RIGHT(Table1323214[[#This Row],[h1]],8))</f>
        <v>0</v>
      </c>
      <c r="Q1330" s="47" t="s">
        <v>149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149</v>
      </c>
      <c r="P1331" s="47">
        <f>HEX2DEC(RIGHT(Table1323214[[#This Row],[h1]],8))</f>
        <v>0</v>
      </c>
      <c r="Q1331" s="47" t="s">
        <v>149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149</v>
      </c>
      <c r="P1332" s="47">
        <f>HEX2DEC(RIGHT(Table1323214[[#This Row],[h1]],8))</f>
        <v>0</v>
      </c>
      <c r="Q1332" s="47" t="s">
        <v>149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149</v>
      </c>
      <c r="P1333" s="47">
        <f>HEX2DEC(RIGHT(Table1323214[[#This Row],[h1]],8))</f>
        <v>0</v>
      </c>
      <c r="Q1333" s="47" t="s">
        <v>149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149</v>
      </c>
      <c r="P1334" s="47">
        <f>HEX2DEC(RIGHT(Table1323214[[#This Row],[h1]],8))</f>
        <v>0</v>
      </c>
      <c r="Q1334" s="47" t="s">
        <v>149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149</v>
      </c>
      <c r="P1335" s="47">
        <f>HEX2DEC(RIGHT(Table1323214[[#This Row],[h1]],8))</f>
        <v>0</v>
      </c>
      <c r="Q1335" s="47" t="s">
        <v>149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149</v>
      </c>
      <c r="P1336" s="47">
        <f>HEX2DEC(RIGHT(Table1323214[[#This Row],[h1]],8))</f>
        <v>0</v>
      </c>
      <c r="Q1336" s="47" t="s">
        <v>149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149</v>
      </c>
      <c r="P1337" s="47">
        <f>HEX2DEC(RIGHT(Table1323214[[#This Row],[h1]],8))</f>
        <v>0</v>
      </c>
      <c r="Q1337" s="47" t="s">
        <v>149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149</v>
      </c>
      <c r="P1338" s="47">
        <f>HEX2DEC(RIGHT(Table1323214[[#This Row],[h1]],8))</f>
        <v>0</v>
      </c>
      <c r="Q1338" s="47" t="s">
        <v>149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149</v>
      </c>
      <c r="P1339" s="47">
        <f>HEX2DEC(RIGHT(Table1323214[[#This Row],[h1]],8))</f>
        <v>0</v>
      </c>
      <c r="Q1339" s="47" t="s">
        <v>149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149</v>
      </c>
      <c r="P1340" s="47">
        <f>HEX2DEC(RIGHT(Table1323214[[#This Row],[h1]],8))</f>
        <v>0</v>
      </c>
      <c r="Q1340" s="47" t="s">
        <v>149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149</v>
      </c>
      <c r="P1341" s="47">
        <f>HEX2DEC(RIGHT(Table1323214[[#This Row],[h1]],8))</f>
        <v>0</v>
      </c>
      <c r="Q1341" s="47" t="s">
        <v>149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149</v>
      </c>
      <c r="P1342" s="47">
        <f>HEX2DEC(RIGHT(Table1323214[[#This Row],[h1]],8))</f>
        <v>0</v>
      </c>
      <c r="Q1342" s="47" t="s">
        <v>149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149</v>
      </c>
      <c r="P1343" s="47">
        <f>HEX2DEC(RIGHT(Table1323214[[#This Row],[h1]],8))</f>
        <v>0</v>
      </c>
      <c r="Q1343" s="47" t="s">
        <v>149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149</v>
      </c>
      <c r="P1344" s="47">
        <f>HEX2DEC(RIGHT(Table1323214[[#This Row],[h1]],8))</f>
        <v>0</v>
      </c>
      <c r="Q1344" s="47" t="s">
        <v>149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149</v>
      </c>
      <c r="P1345" s="47">
        <f>HEX2DEC(RIGHT(Table1323214[[#This Row],[h1]],8))</f>
        <v>0</v>
      </c>
      <c r="Q1345" s="47" t="s">
        <v>149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149</v>
      </c>
      <c r="P1346" s="47">
        <f>HEX2DEC(RIGHT(Table1323214[[#This Row],[h1]],8))</f>
        <v>0</v>
      </c>
      <c r="Q1346" s="47" t="s">
        <v>149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149</v>
      </c>
      <c r="P1347" s="47">
        <f>HEX2DEC(RIGHT(Table1323214[[#This Row],[h1]],8))</f>
        <v>0</v>
      </c>
      <c r="Q1347" s="47" t="s">
        <v>149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149</v>
      </c>
      <c r="P1348" s="47">
        <f>HEX2DEC(RIGHT(Table1323214[[#This Row],[h1]],8))</f>
        <v>0</v>
      </c>
      <c r="Q1348" s="47" t="s">
        <v>149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149</v>
      </c>
      <c r="P1349" s="47">
        <f>HEX2DEC(RIGHT(Table1323214[[#This Row],[h1]],8))</f>
        <v>0</v>
      </c>
      <c r="Q1349" s="47" t="s">
        <v>149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149</v>
      </c>
      <c r="P1350" s="47">
        <f>HEX2DEC(RIGHT(Table1323214[[#This Row],[h1]],8))</f>
        <v>0</v>
      </c>
      <c r="Q1350" s="47" t="s">
        <v>149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149</v>
      </c>
      <c r="P1351" s="47">
        <f>HEX2DEC(RIGHT(Table1323214[[#This Row],[h1]],8))</f>
        <v>0</v>
      </c>
      <c r="Q1351" s="47" t="s">
        <v>149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149</v>
      </c>
      <c r="P1352" s="47">
        <f>HEX2DEC(RIGHT(Table1323214[[#This Row],[h1]],8))</f>
        <v>0</v>
      </c>
      <c r="Q1352" s="47" t="s">
        <v>149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149</v>
      </c>
      <c r="P1353" s="47">
        <f>HEX2DEC(RIGHT(Table1323214[[#This Row],[h1]],8))</f>
        <v>0</v>
      </c>
      <c r="Q1353" s="47" t="s">
        <v>149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149</v>
      </c>
      <c r="P1354" s="47">
        <f>HEX2DEC(RIGHT(Table1323214[[#This Row],[h1]],8))</f>
        <v>0</v>
      </c>
      <c r="Q1354" s="47" t="s">
        <v>149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149</v>
      </c>
      <c r="P1355" s="47">
        <f>HEX2DEC(RIGHT(Table1323214[[#This Row],[h1]],8))</f>
        <v>0</v>
      </c>
      <c r="Q1355" s="47" t="s">
        <v>149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149</v>
      </c>
      <c r="P1356" s="47">
        <f>HEX2DEC(RIGHT(Table1323214[[#This Row],[h1]],8))</f>
        <v>0</v>
      </c>
      <c r="Q1356" s="47" t="s">
        <v>149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149</v>
      </c>
      <c r="P1357" s="47">
        <f>HEX2DEC(RIGHT(Table1323214[[#This Row],[h1]],8))</f>
        <v>0</v>
      </c>
      <c r="Q1357" s="47" t="s">
        <v>149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149</v>
      </c>
      <c r="P1358" s="47">
        <f>HEX2DEC(RIGHT(Table1323214[[#This Row],[h1]],8))</f>
        <v>0</v>
      </c>
      <c r="Q1358" s="47" t="s">
        <v>149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149</v>
      </c>
      <c r="P1359" s="47">
        <f>HEX2DEC(RIGHT(Table1323214[[#This Row],[h1]],8))</f>
        <v>0</v>
      </c>
      <c r="Q1359" s="47" t="s">
        <v>149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149</v>
      </c>
      <c r="P1360" s="47">
        <f>HEX2DEC(RIGHT(Table1323214[[#This Row],[h1]],8))</f>
        <v>0</v>
      </c>
      <c r="Q1360" s="47" t="s">
        <v>149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149</v>
      </c>
      <c r="P1361" s="47">
        <f>HEX2DEC(RIGHT(Table1323214[[#This Row],[h1]],8))</f>
        <v>0</v>
      </c>
      <c r="Q1361" s="47" t="s">
        <v>149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149</v>
      </c>
      <c r="P1362" s="47">
        <f>HEX2DEC(RIGHT(Table1323214[[#This Row],[h1]],8))</f>
        <v>0</v>
      </c>
      <c r="Q1362" s="47" t="s">
        <v>149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149</v>
      </c>
      <c r="P1363" s="47">
        <f>HEX2DEC(RIGHT(Table1323214[[#This Row],[h1]],8))</f>
        <v>0</v>
      </c>
      <c r="Q1363" s="47" t="s">
        <v>149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149</v>
      </c>
      <c r="P1364" s="47">
        <f>HEX2DEC(RIGHT(Table1323214[[#This Row],[h1]],8))</f>
        <v>0</v>
      </c>
      <c r="Q1364" s="47" t="s">
        <v>149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149</v>
      </c>
      <c r="P1365" s="47">
        <f>HEX2DEC(RIGHT(Table1323214[[#This Row],[h1]],8))</f>
        <v>0</v>
      </c>
      <c r="Q1365" s="47" t="s">
        <v>149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149</v>
      </c>
      <c r="P1366" s="47">
        <f>HEX2DEC(RIGHT(Table1323214[[#This Row],[h1]],8))</f>
        <v>0</v>
      </c>
      <c r="Q1366" s="47" t="s">
        <v>149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149</v>
      </c>
      <c r="P1367" s="47">
        <f>HEX2DEC(RIGHT(Table1323214[[#This Row],[h1]],8))</f>
        <v>0</v>
      </c>
      <c r="Q1367" s="47" t="s">
        <v>149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149</v>
      </c>
      <c r="P1368" s="47">
        <f>HEX2DEC(RIGHT(Table1323214[[#This Row],[h1]],8))</f>
        <v>0</v>
      </c>
      <c r="Q1368" s="47" t="s">
        <v>149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149</v>
      </c>
      <c r="P1369" s="47">
        <f>HEX2DEC(RIGHT(Table1323214[[#This Row],[h1]],8))</f>
        <v>0</v>
      </c>
      <c r="Q1369" s="47" t="s">
        <v>149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149</v>
      </c>
      <c r="P1370" s="47">
        <f>HEX2DEC(RIGHT(Table1323214[[#This Row],[h1]],8))</f>
        <v>0</v>
      </c>
      <c r="Q1370" s="47" t="s">
        <v>149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149</v>
      </c>
      <c r="P1371" s="47">
        <f>HEX2DEC(RIGHT(Table1323214[[#This Row],[h1]],8))</f>
        <v>0</v>
      </c>
      <c r="Q1371" s="47" t="s">
        <v>149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149</v>
      </c>
      <c r="P1372" s="47">
        <f>HEX2DEC(RIGHT(Table1323214[[#This Row],[h1]],8))</f>
        <v>0</v>
      </c>
      <c r="Q1372" s="47" t="s">
        <v>149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149</v>
      </c>
      <c r="P1373" s="47">
        <f>HEX2DEC(RIGHT(Table1323214[[#This Row],[h1]],8))</f>
        <v>0</v>
      </c>
      <c r="Q1373" s="47" t="s">
        <v>149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149</v>
      </c>
      <c r="P1374" s="47">
        <f>HEX2DEC(RIGHT(Table1323214[[#This Row],[h1]],8))</f>
        <v>0</v>
      </c>
      <c r="Q1374" s="47" t="s">
        <v>149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149</v>
      </c>
      <c r="P1375" s="47">
        <f>HEX2DEC(RIGHT(Table1323214[[#This Row],[h1]],8))</f>
        <v>0</v>
      </c>
      <c r="Q1375" s="47" t="s">
        <v>149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149</v>
      </c>
      <c r="P1376" s="47">
        <f>HEX2DEC(RIGHT(Table1323214[[#This Row],[h1]],8))</f>
        <v>0</v>
      </c>
      <c r="Q1376" s="47" t="s">
        <v>149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149</v>
      </c>
      <c r="P1377" s="47">
        <f>HEX2DEC(RIGHT(Table1323214[[#This Row],[h1]],8))</f>
        <v>0</v>
      </c>
      <c r="Q1377" s="47" t="s">
        <v>149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149</v>
      </c>
      <c r="P1378" s="47">
        <f>HEX2DEC(RIGHT(Table1323214[[#This Row],[h1]],8))</f>
        <v>0</v>
      </c>
      <c r="Q1378" s="47" t="s">
        <v>149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149</v>
      </c>
      <c r="P1379" s="47">
        <f>HEX2DEC(RIGHT(Table1323214[[#This Row],[h1]],8))</f>
        <v>0</v>
      </c>
      <c r="Q1379" s="47" t="s">
        <v>149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149</v>
      </c>
      <c r="P1380" s="47">
        <f>HEX2DEC(RIGHT(Table1323214[[#This Row],[h1]],8))</f>
        <v>0</v>
      </c>
      <c r="Q1380" s="47" t="s">
        <v>149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149</v>
      </c>
      <c r="P1381" s="47">
        <f>HEX2DEC(RIGHT(Table1323214[[#This Row],[h1]],8))</f>
        <v>0</v>
      </c>
      <c r="Q1381" s="47" t="s">
        <v>149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149</v>
      </c>
      <c r="P1382" s="47">
        <f>HEX2DEC(RIGHT(Table1323214[[#This Row],[h1]],8))</f>
        <v>0</v>
      </c>
      <c r="Q1382" s="47" t="s">
        <v>149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149</v>
      </c>
      <c r="P1383" s="47">
        <f>HEX2DEC(RIGHT(Table1323214[[#This Row],[h1]],8))</f>
        <v>0</v>
      </c>
      <c r="Q1383" s="47" t="s">
        <v>149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149</v>
      </c>
      <c r="P1384" s="47">
        <f>HEX2DEC(RIGHT(Table1323214[[#This Row],[h1]],8))</f>
        <v>0</v>
      </c>
      <c r="Q1384" s="47" t="s">
        <v>149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149</v>
      </c>
      <c r="P1385" s="47">
        <f>HEX2DEC(RIGHT(Table1323214[[#This Row],[h1]],8))</f>
        <v>0</v>
      </c>
      <c r="Q1385" s="47" t="s">
        <v>149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149</v>
      </c>
      <c r="P1386" s="47">
        <f>HEX2DEC(RIGHT(Table1323214[[#This Row],[h1]],8))</f>
        <v>0</v>
      </c>
      <c r="Q1386" s="47" t="s">
        <v>149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149</v>
      </c>
      <c r="P1387" s="47">
        <f>HEX2DEC(RIGHT(Table1323214[[#This Row],[h1]],8))</f>
        <v>0</v>
      </c>
      <c r="Q1387" s="47" t="s">
        <v>149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149</v>
      </c>
      <c r="P1388" s="47">
        <f>HEX2DEC(RIGHT(Table1323214[[#This Row],[h1]],8))</f>
        <v>0</v>
      </c>
      <c r="Q1388" s="47" t="s">
        <v>149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149</v>
      </c>
      <c r="P1389" s="47">
        <f>HEX2DEC(RIGHT(Table1323214[[#This Row],[h1]],8))</f>
        <v>0</v>
      </c>
      <c r="Q1389" s="47" t="s">
        <v>149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149</v>
      </c>
      <c r="P1390" s="47">
        <f>HEX2DEC(RIGHT(Table1323214[[#This Row],[h1]],8))</f>
        <v>0</v>
      </c>
      <c r="Q1390" s="47" t="s">
        <v>149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149</v>
      </c>
      <c r="P1391" s="47">
        <f>HEX2DEC(RIGHT(Table1323214[[#This Row],[h1]],8))</f>
        <v>0</v>
      </c>
      <c r="Q1391" s="47" t="s">
        <v>149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149</v>
      </c>
      <c r="P1392" s="47">
        <f>HEX2DEC(RIGHT(Table1323214[[#This Row],[h1]],8))</f>
        <v>0</v>
      </c>
      <c r="Q1392" s="47" t="s">
        <v>149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149</v>
      </c>
      <c r="P1393" s="47">
        <f>HEX2DEC(RIGHT(Table1323214[[#This Row],[h1]],8))</f>
        <v>0</v>
      </c>
      <c r="Q1393" s="47" t="s">
        <v>149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149</v>
      </c>
      <c r="P1394" s="47">
        <f>HEX2DEC(RIGHT(Table1323214[[#This Row],[h1]],8))</f>
        <v>0</v>
      </c>
      <c r="Q1394" s="47" t="s">
        <v>149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149</v>
      </c>
      <c r="P1395" s="47">
        <f>HEX2DEC(RIGHT(Table1323214[[#This Row],[h1]],8))</f>
        <v>0</v>
      </c>
      <c r="Q1395" s="47" t="s">
        <v>149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149</v>
      </c>
      <c r="P1396" s="47">
        <f>HEX2DEC(RIGHT(Table1323214[[#This Row],[h1]],8))</f>
        <v>0</v>
      </c>
      <c r="Q1396" s="47" t="s">
        <v>149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149</v>
      </c>
      <c r="P1397" s="47">
        <f>HEX2DEC(RIGHT(Table1323214[[#This Row],[h1]],8))</f>
        <v>0</v>
      </c>
      <c r="Q1397" s="47" t="s">
        <v>149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149</v>
      </c>
      <c r="P1398" s="47">
        <f>HEX2DEC(RIGHT(Table1323214[[#This Row],[h1]],8))</f>
        <v>0</v>
      </c>
      <c r="Q1398" s="47" t="s">
        <v>149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149</v>
      </c>
      <c r="P1399" s="47">
        <f>HEX2DEC(RIGHT(Table1323214[[#This Row],[h1]],8))</f>
        <v>0</v>
      </c>
      <c r="Q1399" s="47" t="s">
        <v>149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149</v>
      </c>
      <c r="P1400" s="47">
        <f>HEX2DEC(RIGHT(Table1323214[[#This Row],[h1]],8))</f>
        <v>0</v>
      </c>
      <c r="Q1400" s="47" t="s">
        <v>149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149</v>
      </c>
      <c r="P1401" s="47">
        <f>HEX2DEC(RIGHT(Table1323214[[#This Row],[h1]],8))</f>
        <v>0</v>
      </c>
      <c r="Q1401" s="47" t="s">
        <v>149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149</v>
      </c>
      <c r="P1402" s="47">
        <f>HEX2DEC(RIGHT(Table1323214[[#This Row],[h1]],8))</f>
        <v>0</v>
      </c>
      <c r="Q1402" s="47" t="s">
        <v>149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149</v>
      </c>
      <c r="P1403" s="47">
        <f>HEX2DEC(RIGHT(Table1323214[[#This Row],[h1]],8))</f>
        <v>0</v>
      </c>
      <c r="Q1403" s="47" t="s">
        <v>149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149</v>
      </c>
      <c r="P1404" s="47">
        <f>HEX2DEC(RIGHT(Table1323214[[#This Row],[h1]],8))</f>
        <v>0</v>
      </c>
      <c r="Q1404" s="47" t="s">
        <v>149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149</v>
      </c>
      <c r="P1405" s="47">
        <f>HEX2DEC(RIGHT(Table1323214[[#This Row],[h1]],8))</f>
        <v>0</v>
      </c>
      <c r="Q1405" s="47" t="s">
        <v>149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149</v>
      </c>
      <c r="P1406" s="47">
        <f>HEX2DEC(RIGHT(Table1323214[[#This Row],[h1]],8))</f>
        <v>0</v>
      </c>
      <c r="Q1406" s="47" t="s">
        <v>149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149</v>
      </c>
      <c r="P1407" s="47">
        <f>HEX2DEC(RIGHT(Table1323214[[#This Row],[h1]],8))</f>
        <v>0</v>
      </c>
      <c r="Q1407" s="47" t="s">
        <v>149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149</v>
      </c>
      <c r="P1408" s="47">
        <f>HEX2DEC(RIGHT(Table1323214[[#This Row],[h1]],8))</f>
        <v>0</v>
      </c>
      <c r="Q1408" s="47" t="s">
        <v>149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149</v>
      </c>
      <c r="P1409" s="47">
        <f>HEX2DEC(RIGHT(Table1323214[[#This Row],[h1]],8))</f>
        <v>0</v>
      </c>
      <c r="Q1409" s="47" t="s">
        <v>149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149</v>
      </c>
      <c r="P1410" s="47">
        <f>HEX2DEC(RIGHT(Table1323214[[#This Row],[h1]],8))</f>
        <v>0</v>
      </c>
      <c r="Q1410" s="47" t="s">
        <v>149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48</v>
      </c>
      <c r="F1411" s="22"/>
      <c r="G1411" s="22"/>
      <c r="J1411" s="24">
        <v>50000</v>
      </c>
      <c r="M1411" s="24">
        <v>50000</v>
      </c>
      <c r="O1411" s="47" t="s">
        <v>149</v>
      </c>
      <c r="P1411" s="47">
        <f>HEX2DEC(RIGHT(Table1323214[[#This Row],[h1]],8))</f>
        <v>0</v>
      </c>
      <c r="Q1411" s="47" t="s">
        <v>149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149</v>
      </c>
      <c r="P1412" s="47">
        <f>HEX2DEC(RIGHT(Table1323214[[#This Row],[h1]],8))</f>
        <v>0</v>
      </c>
      <c r="Q1412" s="47" t="s">
        <v>149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149</v>
      </c>
      <c r="P1413" s="47">
        <f>HEX2DEC(RIGHT(Table1323214[[#This Row],[h1]],8))</f>
        <v>0</v>
      </c>
      <c r="Q1413" s="47" t="s">
        <v>149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149</v>
      </c>
      <c r="P1414" s="47">
        <f>HEX2DEC(RIGHT(Table1323214[[#This Row],[h1]],8))</f>
        <v>0</v>
      </c>
      <c r="Q1414" s="47" t="s">
        <v>149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149</v>
      </c>
      <c r="P1415" s="47">
        <f>HEX2DEC(RIGHT(Table1323214[[#This Row],[h1]],8))</f>
        <v>0</v>
      </c>
      <c r="Q1415" s="47" t="s">
        <v>149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149</v>
      </c>
      <c r="P1416" s="47">
        <f>HEX2DEC(RIGHT(Table1323214[[#This Row],[h1]],8))</f>
        <v>0</v>
      </c>
      <c r="Q1416" s="47" t="s">
        <v>149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149</v>
      </c>
      <c r="P1417" s="47">
        <f>HEX2DEC(RIGHT(Table1323214[[#This Row],[h1]],8))</f>
        <v>0</v>
      </c>
      <c r="Q1417" s="47" t="s">
        <v>149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149</v>
      </c>
      <c r="P1418" s="47">
        <f>HEX2DEC(RIGHT(Table1323214[[#This Row],[h1]],8))</f>
        <v>0</v>
      </c>
      <c r="Q1418" s="47" t="s">
        <v>149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149</v>
      </c>
      <c r="P1419" s="47">
        <f>HEX2DEC(RIGHT(Table1323214[[#This Row],[h1]],8))</f>
        <v>0</v>
      </c>
      <c r="Q1419" s="47" t="s">
        <v>149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149</v>
      </c>
      <c r="P1420" s="47">
        <f>HEX2DEC(RIGHT(Table1323214[[#This Row],[h1]],8))</f>
        <v>0</v>
      </c>
      <c r="Q1420" s="47" t="s">
        <v>149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149</v>
      </c>
      <c r="P1421" s="47">
        <f>HEX2DEC(RIGHT(Table1323214[[#This Row],[h1]],8))</f>
        <v>0</v>
      </c>
      <c r="Q1421" s="47" t="s">
        <v>149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149</v>
      </c>
      <c r="P1422" s="47">
        <f>HEX2DEC(RIGHT(Table1323214[[#This Row],[h1]],8))</f>
        <v>0</v>
      </c>
      <c r="Q1422" s="47" t="s">
        <v>149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149</v>
      </c>
      <c r="P1423" s="47">
        <f>HEX2DEC(RIGHT(Table1323214[[#This Row],[h1]],8))</f>
        <v>0</v>
      </c>
      <c r="Q1423" s="47" t="s">
        <v>149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149</v>
      </c>
      <c r="P1424" s="47">
        <f>HEX2DEC(RIGHT(Table1323214[[#This Row],[h1]],8))</f>
        <v>0</v>
      </c>
      <c r="Q1424" s="47" t="s">
        <v>149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149</v>
      </c>
      <c r="P1425" s="47">
        <f>HEX2DEC(RIGHT(Table1323214[[#This Row],[h1]],8))</f>
        <v>0</v>
      </c>
      <c r="Q1425" s="47" t="s">
        <v>149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149</v>
      </c>
      <c r="P1426" s="47">
        <f>HEX2DEC(RIGHT(Table1323214[[#This Row],[h1]],8))</f>
        <v>0</v>
      </c>
      <c r="Q1426" s="47" t="s">
        <v>149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149</v>
      </c>
      <c r="P1427" s="47">
        <f>HEX2DEC(RIGHT(Table1323214[[#This Row],[h1]],8))</f>
        <v>0</v>
      </c>
      <c r="Q1427" s="47" t="s">
        <v>149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149</v>
      </c>
      <c r="P1428" s="47">
        <f>HEX2DEC(RIGHT(Table1323214[[#This Row],[h1]],8))</f>
        <v>0</v>
      </c>
      <c r="Q1428" s="47" t="s">
        <v>149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149</v>
      </c>
      <c r="P1429" s="47">
        <f>HEX2DEC(RIGHT(Table1323214[[#This Row],[h1]],8))</f>
        <v>0</v>
      </c>
      <c r="Q1429" s="47" t="s">
        <v>149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149</v>
      </c>
      <c r="P1430" s="47">
        <f>HEX2DEC(RIGHT(Table1323214[[#This Row],[h1]],8))</f>
        <v>0</v>
      </c>
      <c r="Q1430" s="47" t="s">
        <v>149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149</v>
      </c>
      <c r="P1431" s="47">
        <f>HEX2DEC(RIGHT(Table1323214[[#This Row],[h1]],8))</f>
        <v>0</v>
      </c>
      <c r="Q1431" s="47" t="s">
        <v>149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149</v>
      </c>
      <c r="P1432" s="47">
        <f>HEX2DEC(RIGHT(Table1323214[[#This Row],[h1]],8))</f>
        <v>0</v>
      </c>
      <c r="Q1432" s="47" t="s">
        <v>149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149</v>
      </c>
      <c r="P1433" s="47">
        <f>HEX2DEC(RIGHT(Table1323214[[#This Row],[h1]],8))</f>
        <v>0</v>
      </c>
      <c r="Q1433" s="47" t="s">
        <v>149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149</v>
      </c>
      <c r="P1434" s="47">
        <f>HEX2DEC(RIGHT(Table1323214[[#This Row],[h1]],8))</f>
        <v>0</v>
      </c>
      <c r="Q1434" s="47" t="s">
        <v>149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149</v>
      </c>
      <c r="P1435" s="47">
        <f>HEX2DEC(RIGHT(Table1323214[[#This Row],[h1]],8))</f>
        <v>0</v>
      </c>
      <c r="Q1435" s="47" t="s">
        <v>149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149</v>
      </c>
      <c r="P1436" s="47">
        <f>HEX2DEC(RIGHT(Table1323214[[#This Row],[h1]],8))</f>
        <v>0</v>
      </c>
      <c r="Q1436" s="47" t="s">
        <v>149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149</v>
      </c>
      <c r="P1437" s="47">
        <f>HEX2DEC(RIGHT(Table1323214[[#This Row],[h1]],8))</f>
        <v>0</v>
      </c>
      <c r="Q1437" s="47" t="s">
        <v>149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149</v>
      </c>
      <c r="P1438" s="47">
        <f>HEX2DEC(RIGHT(Table1323214[[#This Row],[h1]],8))</f>
        <v>0</v>
      </c>
      <c r="Q1438" s="47" t="s">
        <v>149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149</v>
      </c>
      <c r="P1439" s="47">
        <f>HEX2DEC(RIGHT(Table1323214[[#This Row],[h1]],8))</f>
        <v>0</v>
      </c>
      <c r="Q1439" s="47" t="s">
        <v>149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149</v>
      </c>
      <c r="P1440" s="47">
        <f>HEX2DEC(RIGHT(Table1323214[[#This Row],[h1]],8))</f>
        <v>0</v>
      </c>
      <c r="Q1440" s="47" t="s">
        <v>149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149</v>
      </c>
      <c r="P1441" s="47">
        <f>HEX2DEC(RIGHT(Table1323214[[#This Row],[h1]],8))</f>
        <v>0</v>
      </c>
      <c r="Q1441" s="47" t="s">
        <v>149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149</v>
      </c>
      <c r="P1442" s="47">
        <f>HEX2DEC(RIGHT(Table1323214[[#This Row],[h1]],8))</f>
        <v>0</v>
      </c>
      <c r="Q1442" s="47" t="s">
        <v>149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149</v>
      </c>
      <c r="P1443" s="47">
        <f>HEX2DEC(RIGHT(Table1323214[[#This Row],[h1]],8))</f>
        <v>0</v>
      </c>
      <c r="Q1443" s="47" t="s">
        <v>149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149</v>
      </c>
      <c r="P1444" s="47">
        <f>HEX2DEC(RIGHT(Table1323214[[#This Row],[h1]],8))</f>
        <v>0</v>
      </c>
      <c r="Q1444" s="47" t="s">
        <v>149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149</v>
      </c>
      <c r="P1445" s="47">
        <f>HEX2DEC(RIGHT(Table1323214[[#This Row],[h1]],8))</f>
        <v>0</v>
      </c>
      <c r="Q1445" s="47" t="s">
        <v>149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149</v>
      </c>
      <c r="P1446" s="47">
        <f>HEX2DEC(RIGHT(Table1323214[[#This Row],[h1]],8))</f>
        <v>0</v>
      </c>
      <c r="Q1446" s="47" t="s">
        <v>149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149</v>
      </c>
      <c r="P1447" s="47">
        <f>HEX2DEC(RIGHT(Table1323214[[#This Row],[h1]],8))</f>
        <v>0</v>
      </c>
      <c r="Q1447" s="47" t="s">
        <v>149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149</v>
      </c>
      <c r="P1448" s="47">
        <f>HEX2DEC(RIGHT(Table1323214[[#This Row],[h1]],8))</f>
        <v>0</v>
      </c>
      <c r="Q1448" s="47" t="s">
        <v>149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149</v>
      </c>
      <c r="P1449" s="47">
        <f>HEX2DEC(RIGHT(Table1323214[[#This Row],[h1]],8))</f>
        <v>0</v>
      </c>
      <c r="Q1449" s="47" t="s">
        <v>149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149</v>
      </c>
      <c r="P1450" s="47">
        <f>HEX2DEC(RIGHT(Table1323214[[#This Row],[h1]],8))</f>
        <v>0</v>
      </c>
      <c r="Q1450" s="47" t="s">
        <v>149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149</v>
      </c>
      <c r="P1451" s="47">
        <f>HEX2DEC(RIGHT(Table1323214[[#This Row],[h1]],8))</f>
        <v>0</v>
      </c>
      <c r="Q1451" s="47" t="s">
        <v>149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149</v>
      </c>
      <c r="P1452" s="47">
        <f>HEX2DEC(RIGHT(Table1323214[[#This Row],[h1]],8))</f>
        <v>0</v>
      </c>
      <c r="Q1452" s="47" t="s">
        <v>149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149</v>
      </c>
      <c r="P1453" s="47">
        <f>HEX2DEC(RIGHT(Table1323214[[#This Row],[h1]],8))</f>
        <v>0</v>
      </c>
      <c r="Q1453" s="47" t="s">
        <v>149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149</v>
      </c>
      <c r="P1454" s="47">
        <f>HEX2DEC(RIGHT(Table1323214[[#This Row],[h1]],8))</f>
        <v>0</v>
      </c>
      <c r="Q1454" s="47" t="s">
        <v>149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149</v>
      </c>
      <c r="P1455" s="47">
        <f>HEX2DEC(RIGHT(Table1323214[[#This Row],[h1]],8))</f>
        <v>0</v>
      </c>
      <c r="Q1455" s="47" t="s">
        <v>149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149</v>
      </c>
      <c r="P1456" s="47">
        <f>HEX2DEC(RIGHT(Table1323214[[#This Row],[h1]],8))</f>
        <v>0</v>
      </c>
      <c r="Q1456" s="47" t="s">
        <v>149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149</v>
      </c>
      <c r="P1457" s="47">
        <f>HEX2DEC(RIGHT(Table1323214[[#This Row],[h1]],8))</f>
        <v>0</v>
      </c>
      <c r="Q1457" s="47" t="s">
        <v>149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149</v>
      </c>
      <c r="P1458" s="47">
        <f>HEX2DEC(RIGHT(Table1323214[[#This Row],[h1]],8))</f>
        <v>0</v>
      </c>
      <c r="Q1458" s="47" t="s">
        <v>149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149</v>
      </c>
      <c r="P1459" s="47">
        <f>HEX2DEC(RIGHT(Table1323214[[#This Row],[h1]],8))</f>
        <v>0</v>
      </c>
      <c r="Q1459" s="47" t="s">
        <v>149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149</v>
      </c>
      <c r="P1460" s="47">
        <f>HEX2DEC(RIGHT(Table1323214[[#This Row],[h1]],8))</f>
        <v>0</v>
      </c>
      <c r="Q1460" s="47" t="s">
        <v>149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149</v>
      </c>
      <c r="P1461" s="47">
        <f>HEX2DEC(RIGHT(Table1323214[[#This Row],[h1]],8))</f>
        <v>0</v>
      </c>
      <c r="Q1461" s="47" t="s">
        <v>149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149</v>
      </c>
      <c r="P1462" s="47">
        <f>HEX2DEC(RIGHT(Table1323214[[#This Row],[h1]],8))</f>
        <v>0</v>
      </c>
      <c r="Q1462" s="47" t="s">
        <v>149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149</v>
      </c>
      <c r="P1463" s="47">
        <f>HEX2DEC(RIGHT(Table1323214[[#This Row],[h1]],8))</f>
        <v>0</v>
      </c>
      <c r="Q1463" s="47" t="s">
        <v>149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149</v>
      </c>
      <c r="P1464" s="47">
        <f>HEX2DEC(RIGHT(Table1323214[[#This Row],[h1]],8))</f>
        <v>0</v>
      </c>
      <c r="Q1464" s="47" t="s">
        <v>149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149</v>
      </c>
      <c r="P1465" s="47">
        <f>HEX2DEC(RIGHT(Table1323214[[#This Row],[h1]],8))</f>
        <v>0</v>
      </c>
      <c r="Q1465" s="47" t="s">
        <v>149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149</v>
      </c>
      <c r="P1466" s="47">
        <f>HEX2DEC(RIGHT(Table1323214[[#This Row],[h1]],8))</f>
        <v>0</v>
      </c>
      <c r="Q1466" s="47" t="s">
        <v>149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149</v>
      </c>
      <c r="P1467" s="47">
        <f>HEX2DEC(RIGHT(Table1323214[[#This Row],[h1]],8))</f>
        <v>0</v>
      </c>
      <c r="Q1467" s="47" t="s">
        <v>149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149</v>
      </c>
      <c r="P1468" s="47">
        <f>HEX2DEC(RIGHT(Table1323214[[#This Row],[h1]],8))</f>
        <v>0</v>
      </c>
      <c r="Q1468" s="47" t="s">
        <v>149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149</v>
      </c>
      <c r="P1469" s="47">
        <f>HEX2DEC(RIGHT(Table1323214[[#This Row],[h1]],8))</f>
        <v>0</v>
      </c>
      <c r="Q1469" s="47" t="s">
        <v>149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149</v>
      </c>
      <c r="P1470" s="47">
        <f>HEX2DEC(RIGHT(Table1323214[[#This Row],[h1]],8))</f>
        <v>0</v>
      </c>
      <c r="Q1470" s="47" t="s">
        <v>149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149</v>
      </c>
      <c r="P1471" s="47">
        <f>HEX2DEC(RIGHT(Table1323214[[#This Row],[h1]],8))</f>
        <v>0</v>
      </c>
      <c r="Q1471" s="47" t="s">
        <v>149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149</v>
      </c>
      <c r="P1472" s="47">
        <f>HEX2DEC(RIGHT(Table1323214[[#This Row],[h1]],8))</f>
        <v>0</v>
      </c>
      <c r="Q1472" s="47" t="s">
        <v>149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149</v>
      </c>
      <c r="P1473" s="47">
        <f>HEX2DEC(RIGHT(Table1323214[[#This Row],[h1]],8))</f>
        <v>0</v>
      </c>
      <c r="Q1473" s="47" t="s">
        <v>149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149</v>
      </c>
      <c r="P1474" s="47">
        <f>HEX2DEC(RIGHT(Table1323214[[#This Row],[h1]],8))</f>
        <v>0</v>
      </c>
      <c r="Q1474" s="47" t="s">
        <v>149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149</v>
      </c>
      <c r="P1475" s="47">
        <f>HEX2DEC(RIGHT(Table1323214[[#This Row],[h1]],8))</f>
        <v>0</v>
      </c>
      <c r="Q1475" s="47" t="s">
        <v>149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149</v>
      </c>
      <c r="P1476" s="47">
        <f>HEX2DEC(RIGHT(Table1323214[[#This Row],[h1]],8))</f>
        <v>0</v>
      </c>
      <c r="Q1476" s="47" t="s">
        <v>149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149</v>
      </c>
      <c r="P1477" s="47">
        <f>HEX2DEC(RIGHT(Table1323214[[#This Row],[h1]],8))</f>
        <v>0</v>
      </c>
      <c r="Q1477" s="47" t="s">
        <v>149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149</v>
      </c>
      <c r="P1478" s="47">
        <f>HEX2DEC(RIGHT(Table1323214[[#This Row],[h1]],8))</f>
        <v>0</v>
      </c>
      <c r="Q1478" s="47" t="s">
        <v>149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149</v>
      </c>
      <c r="P1479" s="47">
        <f>HEX2DEC(RIGHT(Table1323214[[#This Row],[h1]],8))</f>
        <v>0</v>
      </c>
      <c r="Q1479" s="47" t="s">
        <v>149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149</v>
      </c>
      <c r="P1480" s="47">
        <f>HEX2DEC(RIGHT(Table1323214[[#This Row],[h1]],8))</f>
        <v>0</v>
      </c>
      <c r="Q1480" s="47" t="s">
        <v>149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149</v>
      </c>
      <c r="P1481" s="47">
        <f>HEX2DEC(RIGHT(Table1323214[[#This Row],[h1]],8))</f>
        <v>0</v>
      </c>
      <c r="Q1481" s="47" t="s">
        <v>149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149</v>
      </c>
      <c r="P1482" s="47">
        <f>HEX2DEC(RIGHT(Table1323214[[#This Row],[h1]],8))</f>
        <v>0</v>
      </c>
      <c r="Q1482" s="47" t="s">
        <v>149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149</v>
      </c>
      <c r="P1483" s="47">
        <f>HEX2DEC(RIGHT(Table1323214[[#This Row],[h1]],8))</f>
        <v>0</v>
      </c>
      <c r="Q1483" s="47" t="s">
        <v>149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149</v>
      </c>
      <c r="P1484" s="47">
        <f>HEX2DEC(RIGHT(Table1323214[[#This Row],[h1]],8))</f>
        <v>0</v>
      </c>
      <c r="Q1484" s="47" t="s">
        <v>149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149</v>
      </c>
      <c r="P1485" s="47">
        <f>HEX2DEC(RIGHT(Table1323214[[#This Row],[h1]],8))</f>
        <v>0</v>
      </c>
      <c r="Q1485" s="47" t="s">
        <v>149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149</v>
      </c>
      <c r="P1486" s="47">
        <f>HEX2DEC(RIGHT(Table1323214[[#This Row],[h1]],8))</f>
        <v>0</v>
      </c>
      <c r="Q1486" s="47" t="s">
        <v>149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149</v>
      </c>
      <c r="P1487" s="47">
        <f>HEX2DEC(RIGHT(Table1323214[[#This Row],[h1]],8))</f>
        <v>0</v>
      </c>
      <c r="Q1487" s="47" t="s">
        <v>149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149</v>
      </c>
      <c r="P1488" s="47">
        <f>HEX2DEC(RIGHT(Table1323214[[#This Row],[h1]],8))</f>
        <v>0</v>
      </c>
      <c r="Q1488" s="47" t="s">
        <v>149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149</v>
      </c>
      <c r="P1489" s="47">
        <f>HEX2DEC(RIGHT(Table1323214[[#This Row],[h1]],8))</f>
        <v>0</v>
      </c>
      <c r="Q1489" s="47" t="s">
        <v>149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149</v>
      </c>
      <c r="P1490" s="47">
        <f>HEX2DEC(RIGHT(Table1323214[[#This Row],[h1]],8))</f>
        <v>0</v>
      </c>
      <c r="Q1490" s="47" t="s">
        <v>149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149</v>
      </c>
      <c r="P1491" s="47">
        <f>HEX2DEC(RIGHT(Table1323214[[#This Row],[h1]],8))</f>
        <v>0</v>
      </c>
      <c r="Q1491" s="47" t="s">
        <v>149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149</v>
      </c>
      <c r="P1492" s="47">
        <f>HEX2DEC(RIGHT(Table1323214[[#This Row],[h1]],8))</f>
        <v>0</v>
      </c>
      <c r="Q1492" s="47" t="s">
        <v>149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149</v>
      </c>
      <c r="P1493" s="47">
        <f>HEX2DEC(RIGHT(Table1323214[[#This Row],[h1]],8))</f>
        <v>0</v>
      </c>
      <c r="Q1493" s="47" t="s">
        <v>149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149</v>
      </c>
      <c r="P1494" s="47">
        <f>HEX2DEC(RIGHT(Table1323214[[#This Row],[h1]],8))</f>
        <v>0</v>
      </c>
      <c r="Q1494" s="47" t="s">
        <v>149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149</v>
      </c>
      <c r="P1495" s="47">
        <f>HEX2DEC(RIGHT(Table1323214[[#This Row],[h1]],8))</f>
        <v>0</v>
      </c>
      <c r="Q1495" s="47" t="s">
        <v>149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149</v>
      </c>
      <c r="P1496" s="47">
        <f>HEX2DEC(RIGHT(Table1323214[[#This Row],[h1]],8))</f>
        <v>0</v>
      </c>
      <c r="Q1496" s="47" t="s">
        <v>149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149</v>
      </c>
      <c r="P1497" s="47">
        <f>HEX2DEC(RIGHT(Table1323214[[#This Row],[h1]],8))</f>
        <v>0</v>
      </c>
      <c r="Q1497" s="47" t="s">
        <v>149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149</v>
      </c>
      <c r="P1498" s="47">
        <f>HEX2DEC(RIGHT(Table1323214[[#This Row],[h1]],8))</f>
        <v>0</v>
      </c>
      <c r="Q1498" s="47" t="s">
        <v>149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149</v>
      </c>
      <c r="P1499" s="47">
        <f>HEX2DEC(RIGHT(Table1323214[[#This Row],[h1]],8))</f>
        <v>0</v>
      </c>
      <c r="Q1499" s="47" t="s">
        <v>149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149</v>
      </c>
      <c r="P1500" s="47">
        <f>HEX2DEC(RIGHT(Table1323214[[#This Row],[h1]],8))</f>
        <v>0</v>
      </c>
      <c r="Q1500" s="47" t="s">
        <v>149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149</v>
      </c>
      <c r="P1501" s="47">
        <f>HEX2DEC(RIGHT(Table1323214[[#This Row],[h1]],8))</f>
        <v>0</v>
      </c>
      <c r="Q1501" s="47" t="s">
        <v>149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149</v>
      </c>
      <c r="P1502" s="47">
        <f>HEX2DEC(RIGHT(Table1323214[[#This Row],[h1]],8))</f>
        <v>0</v>
      </c>
      <c r="Q1502" s="47" t="s">
        <v>149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149</v>
      </c>
      <c r="P1503" s="47">
        <f>HEX2DEC(RIGHT(Table1323214[[#This Row],[h1]],8))</f>
        <v>0</v>
      </c>
      <c r="Q1503" s="47" t="s">
        <v>149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149</v>
      </c>
      <c r="P1504" s="47">
        <f>HEX2DEC(RIGHT(Table1323214[[#This Row],[h1]],8))</f>
        <v>0</v>
      </c>
      <c r="Q1504" s="47" t="s">
        <v>149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149</v>
      </c>
      <c r="P1505" s="47">
        <f>HEX2DEC(RIGHT(Table1323214[[#This Row],[h1]],8))</f>
        <v>0</v>
      </c>
      <c r="Q1505" s="47" t="s">
        <v>149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149</v>
      </c>
      <c r="P1506" s="47">
        <f>HEX2DEC(RIGHT(Table1323214[[#This Row],[h1]],8))</f>
        <v>0</v>
      </c>
      <c r="Q1506" s="47" t="s">
        <v>149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149</v>
      </c>
      <c r="P1507" s="47">
        <f>HEX2DEC(RIGHT(Table1323214[[#This Row],[h1]],8))</f>
        <v>0</v>
      </c>
      <c r="Q1507" s="47" t="s">
        <v>149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149</v>
      </c>
      <c r="P1508" s="47">
        <f>HEX2DEC(RIGHT(Table1323214[[#This Row],[h1]],8))</f>
        <v>0</v>
      </c>
      <c r="Q1508" s="47" t="s">
        <v>149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149</v>
      </c>
      <c r="P1509" s="47">
        <f>HEX2DEC(RIGHT(Table1323214[[#This Row],[h1]],8))</f>
        <v>0</v>
      </c>
      <c r="Q1509" s="47" t="s">
        <v>149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149</v>
      </c>
      <c r="P1510" s="47">
        <f>HEX2DEC(RIGHT(Table1323214[[#This Row],[h1]],8))</f>
        <v>0</v>
      </c>
      <c r="Q1510" s="47" t="s">
        <v>149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149</v>
      </c>
      <c r="P1511" s="47">
        <f>HEX2DEC(RIGHT(Table1323214[[#This Row],[h1]],8))</f>
        <v>0</v>
      </c>
      <c r="Q1511" s="47" t="s">
        <v>149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149</v>
      </c>
      <c r="P1512" s="47">
        <f>HEX2DEC(RIGHT(Table1323214[[#This Row],[h1]],8))</f>
        <v>0</v>
      </c>
      <c r="Q1512" s="47" t="s">
        <v>149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149</v>
      </c>
      <c r="P1513" s="47">
        <f>HEX2DEC(RIGHT(Table1323214[[#This Row],[h1]],8))</f>
        <v>0</v>
      </c>
      <c r="Q1513" s="47" t="s">
        <v>149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149</v>
      </c>
      <c r="P1514" s="47">
        <f>HEX2DEC(RIGHT(Table1323214[[#This Row],[h1]],8))</f>
        <v>0</v>
      </c>
      <c r="Q1514" s="47" t="s">
        <v>149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149</v>
      </c>
      <c r="P1515" s="47">
        <f>HEX2DEC(RIGHT(Table1323214[[#This Row],[h1]],8))</f>
        <v>0</v>
      </c>
      <c r="Q1515" s="47" t="s">
        <v>149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149</v>
      </c>
      <c r="P1516" s="47">
        <f>HEX2DEC(RIGHT(Table1323214[[#This Row],[h1]],8))</f>
        <v>0</v>
      </c>
      <c r="Q1516" s="47" t="s">
        <v>149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149</v>
      </c>
      <c r="P1517" s="47">
        <f>HEX2DEC(RIGHT(Table1323214[[#This Row],[h1]],8))</f>
        <v>0</v>
      </c>
      <c r="Q1517" s="47" t="s">
        <v>149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149</v>
      </c>
      <c r="P1518" s="47">
        <f>HEX2DEC(RIGHT(Table1323214[[#This Row],[h1]],8))</f>
        <v>0</v>
      </c>
      <c r="Q1518" s="47" t="s">
        <v>149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149</v>
      </c>
      <c r="P1519" s="47">
        <f>HEX2DEC(RIGHT(Table1323214[[#This Row],[h1]],8))</f>
        <v>0</v>
      </c>
      <c r="Q1519" s="47" t="s">
        <v>149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149</v>
      </c>
      <c r="P1520" s="47">
        <f>HEX2DEC(RIGHT(Table1323214[[#This Row],[h1]],8))</f>
        <v>0</v>
      </c>
      <c r="Q1520" s="47" t="s">
        <v>149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149</v>
      </c>
      <c r="P1521" s="47">
        <f>HEX2DEC(RIGHT(Table1323214[[#This Row],[h1]],8))</f>
        <v>0</v>
      </c>
      <c r="Q1521" s="47" t="s">
        <v>149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149</v>
      </c>
      <c r="P1522" s="47">
        <f>HEX2DEC(RIGHT(Table1323214[[#This Row],[h1]],8))</f>
        <v>0</v>
      </c>
      <c r="Q1522" s="47" t="s">
        <v>149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149</v>
      </c>
      <c r="P1523" s="47">
        <f>HEX2DEC(RIGHT(Table1323214[[#This Row],[h1]],8))</f>
        <v>0</v>
      </c>
      <c r="Q1523" s="47" t="s">
        <v>149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149</v>
      </c>
      <c r="P1524" s="47">
        <f>HEX2DEC(RIGHT(Table1323214[[#This Row],[h1]],8))</f>
        <v>0</v>
      </c>
      <c r="Q1524" s="47" t="s">
        <v>149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149</v>
      </c>
      <c r="P1525" s="47">
        <f>HEX2DEC(RIGHT(Table1323214[[#This Row],[h1]],8))</f>
        <v>0</v>
      </c>
      <c r="Q1525" s="47" t="s">
        <v>149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149</v>
      </c>
      <c r="P1526" s="47">
        <f>HEX2DEC(RIGHT(Table1323214[[#This Row],[h1]],8))</f>
        <v>0</v>
      </c>
      <c r="Q1526" s="47" t="s">
        <v>149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149</v>
      </c>
      <c r="P1527" s="47">
        <f>HEX2DEC(RIGHT(Table1323214[[#This Row],[h1]],8))</f>
        <v>0</v>
      </c>
      <c r="Q1527" s="47" t="s">
        <v>149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149</v>
      </c>
      <c r="P1528" s="47">
        <f>HEX2DEC(RIGHT(Table1323214[[#This Row],[h1]],8))</f>
        <v>0</v>
      </c>
      <c r="Q1528" s="47" t="s">
        <v>149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149</v>
      </c>
      <c r="P1529" s="47">
        <f>HEX2DEC(RIGHT(Table1323214[[#This Row],[h1]],8))</f>
        <v>0</v>
      </c>
      <c r="Q1529" s="47" t="s">
        <v>149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149</v>
      </c>
      <c r="P1530" s="47">
        <f>HEX2DEC(RIGHT(Table1323214[[#This Row],[h1]],8))</f>
        <v>0</v>
      </c>
      <c r="Q1530" s="47" t="s">
        <v>149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149</v>
      </c>
      <c r="P1531" s="47">
        <f>HEX2DEC(RIGHT(Table1323214[[#This Row],[h1]],8))</f>
        <v>0</v>
      </c>
      <c r="Q1531" s="47" t="s">
        <v>149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149</v>
      </c>
      <c r="P1532" s="47">
        <f>HEX2DEC(RIGHT(Table1323214[[#This Row],[h1]],8))</f>
        <v>0</v>
      </c>
      <c r="Q1532" s="47" t="s">
        <v>149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149</v>
      </c>
      <c r="P1533" s="47">
        <f>HEX2DEC(RIGHT(Table1323214[[#This Row],[h1]],8))</f>
        <v>0</v>
      </c>
      <c r="Q1533" s="47" t="s">
        <v>149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149</v>
      </c>
      <c r="P1534" s="47">
        <f>HEX2DEC(RIGHT(Table1323214[[#This Row],[h1]],8))</f>
        <v>0</v>
      </c>
      <c r="Q1534" s="47" t="s">
        <v>149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149</v>
      </c>
      <c r="P1535" s="47">
        <f>HEX2DEC(RIGHT(Table1323214[[#This Row],[h1]],8))</f>
        <v>0</v>
      </c>
      <c r="Q1535" s="47" t="s">
        <v>149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149</v>
      </c>
      <c r="P1536" s="47">
        <f>HEX2DEC(RIGHT(Table1323214[[#This Row],[h1]],8))</f>
        <v>0</v>
      </c>
      <c r="Q1536" s="47" t="s">
        <v>149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149</v>
      </c>
      <c r="P1537" s="47">
        <f>HEX2DEC(RIGHT(Table1323214[[#This Row],[h1]],8))</f>
        <v>0</v>
      </c>
      <c r="Q1537" s="47" t="s">
        <v>149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149</v>
      </c>
      <c r="P1538" s="47">
        <f>HEX2DEC(RIGHT(Table1323214[[#This Row],[h1]],8))</f>
        <v>0</v>
      </c>
      <c r="Q1538" s="47" t="s">
        <v>149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149</v>
      </c>
      <c r="P1539" s="47">
        <f>HEX2DEC(RIGHT(Table1323214[[#This Row],[h1]],8))</f>
        <v>0</v>
      </c>
      <c r="Q1539" s="47" t="s">
        <v>149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149</v>
      </c>
      <c r="P1540" s="47">
        <f>HEX2DEC(RIGHT(Table1323214[[#This Row],[h1]],8))</f>
        <v>0</v>
      </c>
      <c r="Q1540" s="47" t="s">
        <v>149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149</v>
      </c>
      <c r="P1541" s="47">
        <f>HEX2DEC(RIGHT(Table1323214[[#This Row],[h1]],8))</f>
        <v>0</v>
      </c>
      <c r="Q1541" s="47" t="s">
        <v>149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149</v>
      </c>
      <c r="P1542" s="47">
        <f>HEX2DEC(RIGHT(Table1323214[[#This Row],[h1]],8))</f>
        <v>0</v>
      </c>
      <c r="Q1542" s="47" t="s">
        <v>149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149</v>
      </c>
      <c r="P1543" s="47">
        <f>HEX2DEC(RIGHT(Table1323214[[#This Row],[h1]],8))</f>
        <v>0</v>
      </c>
      <c r="Q1543" s="47" t="s">
        <v>149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149</v>
      </c>
      <c r="P1544" s="47">
        <f>HEX2DEC(RIGHT(Table1323214[[#This Row],[h1]],8))</f>
        <v>0</v>
      </c>
      <c r="Q1544" s="47" t="s">
        <v>149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149</v>
      </c>
      <c r="P1545" s="47">
        <f>HEX2DEC(RIGHT(Table1323214[[#This Row],[h1]],8))</f>
        <v>0</v>
      </c>
      <c r="Q1545" s="47" t="s">
        <v>149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149</v>
      </c>
      <c r="P1546" s="47">
        <f>HEX2DEC(RIGHT(Table1323214[[#This Row],[h1]],8))</f>
        <v>0</v>
      </c>
      <c r="Q1546" s="47" t="s">
        <v>149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149</v>
      </c>
      <c r="P1547" s="47">
        <f>HEX2DEC(RIGHT(Table1323214[[#This Row],[h1]],8))</f>
        <v>0</v>
      </c>
      <c r="Q1547" s="47" t="s">
        <v>149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149</v>
      </c>
      <c r="P1548" s="47">
        <f>HEX2DEC(RIGHT(Table1323214[[#This Row],[h1]],8))</f>
        <v>0</v>
      </c>
      <c r="Q1548" s="47" t="s">
        <v>149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149</v>
      </c>
      <c r="P1549" s="47">
        <f>HEX2DEC(RIGHT(Table1323214[[#This Row],[h1]],8))</f>
        <v>0</v>
      </c>
      <c r="Q1549" s="47" t="s">
        <v>149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149</v>
      </c>
      <c r="P1550" s="47">
        <f>HEX2DEC(RIGHT(Table1323214[[#This Row],[h1]],8))</f>
        <v>0</v>
      </c>
      <c r="Q1550" s="47" t="s">
        <v>149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149</v>
      </c>
      <c r="P1551" s="47">
        <f>HEX2DEC(RIGHT(Table1323214[[#This Row],[h1]],8))</f>
        <v>0</v>
      </c>
      <c r="Q1551" s="47" t="s">
        <v>149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149</v>
      </c>
      <c r="P1552" s="47">
        <f>HEX2DEC(RIGHT(Table1323214[[#This Row],[h1]],8))</f>
        <v>0</v>
      </c>
      <c r="Q1552" s="47" t="s">
        <v>149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149</v>
      </c>
      <c r="P1553" s="47">
        <f>HEX2DEC(RIGHT(Table1323214[[#This Row],[h1]],8))</f>
        <v>0</v>
      </c>
      <c r="Q1553" s="47" t="s">
        <v>149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149</v>
      </c>
      <c r="P1554" s="47">
        <f>HEX2DEC(RIGHT(Table1323214[[#This Row],[h1]],8))</f>
        <v>0</v>
      </c>
      <c r="Q1554" s="47" t="s">
        <v>149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149</v>
      </c>
      <c r="P1555" s="47">
        <f>HEX2DEC(RIGHT(Table1323214[[#This Row],[h1]],8))</f>
        <v>0</v>
      </c>
      <c r="Q1555" s="47" t="s">
        <v>149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149</v>
      </c>
      <c r="P1556" s="47">
        <f>HEX2DEC(RIGHT(Table1323214[[#This Row],[h1]],8))</f>
        <v>0</v>
      </c>
      <c r="Q1556" s="47" t="s">
        <v>149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149</v>
      </c>
      <c r="P1557" s="47">
        <f>HEX2DEC(RIGHT(Table1323214[[#This Row],[h1]],8))</f>
        <v>0</v>
      </c>
      <c r="Q1557" s="47" t="s">
        <v>149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149</v>
      </c>
      <c r="P1558" s="47">
        <f>HEX2DEC(RIGHT(Table1323214[[#This Row],[h1]],8))</f>
        <v>0</v>
      </c>
      <c r="Q1558" s="47" t="s">
        <v>149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149</v>
      </c>
      <c r="P1559" s="47">
        <f>HEX2DEC(RIGHT(Table1323214[[#This Row],[h1]],8))</f>
        <v>0</v>
      </c>
      <c r="Q1559" s="47" t="s">
        <v>149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149</v>
      </c>
      <c r="P1560" s="47">
        <f>HEX2DEC(RIGHT(Table1323214[[#This Row],[h1]],8))</f>
        <v>0</v>
      </c>
      <c r="Q1560" s="47" t="s">
        <v>149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149</v>
      </c>
      <c r="P1561" s="47">
        <f>HEX2DEC(RIGHT(Table1323214[[#This Row],[h1]],8))</f>
        <v>0</v>
      </c>
      <c r="Q1561" s="47" t="s">
        <v>149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149</v>
      </c>
      <c r="P1562" s="47">
        <f>HEX2DEC(RIGHT(Table1323214[[#This Row],[h1]],8))</f>
        <v>0</v>
      </c>
      <c r="Q1562" s="47" t="s">
        <v>149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149</v>
      </c>
      <c r="P1563" s="47">
        <f>HEX2DEC(RIGHT(Table1323214[[#This Row],[h1]],8))</f>
        <v>0</v>
      </c>
      <c r="Q1563" s="47" t="s">
        <v>149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149</v>
      </c>
      <c r="P1564" s="47">
        <f>HEX2DEC(RIGHT(Table1323214[[#This Row],[h1]],8))</f>
        <v>0</v>
      </c>
      <c r="Q1564" s="47" t="s">
        <v>149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149</v>
      </c>
      <c r="P1565" s="47">
        <f>HEX2DEC(RIGHT(Table1323214[[#This Row],[h1]],8))</f>
        <v>0</v>
      </c>
      <c r="Q1565" s="47" t="s">
        <v>149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149</v>
      </c>
      <c r="P1566" s="47">
        <f>HEX2DEC(RIGHT(Table1323214[[#This Row],[h1]],8))</f>
        <v>0</v>
      </c>
      <c r="Q1566" s="47" t="s">
        <v>149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149</v>
      </c>
      <c r="P1567" s="47">
        <f>HEX2DEC(RIGHT(Table1323214[[#This Row],[h1]],8))</f>
        <v>0</v>
      </c>
      <c r="Q1567" s="47" t="s">
        <v>149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149</v>
      </c>
      <c r="P1568" s="47">
        <f>HEX2DEC(RIGHT(Table1323214[[#This Row],[h1]],8))</f>
        <v>0</v>
      </c>
      <c r="Q1568" s="47" t="s">
        <v>149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149</v>
      </c>
      <c r="P1569" s="47">
        <f>HEX2DEC(RIGHT(Table1323214[[#This Row],[h1]],8))</f>
        <v>0</v>
      </c>
      <c r="Q1569" s="47" t="s">
        <v>149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149</v>
      </c>
      <c r="P1570" s="47">
        <f>HEX2DEC(RIGHT(Table1323214[[#This Row],[h1]],8))</f>
        <v>0</v>
      </c>
      <c r="Q1570" s="47" t="s">
        <v>149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149</v>
      </c>
      <c r="P1571" s="47">
        <f>HEX2DEC(RIGHT(Table1323214[[#This Row],[h1]],8))</f>
        <v>0</v>
      </c>
      <c r="Q1571" s="47" t="s">
        <v>149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149</v>
      </c>
      <c r="P1572" s="47">
        <f>HEX2DEC(RIGHT(Table1323214[[#This Row],[h1]],8))</f>
        <v>0</v>
      </c>
      <c r="Q1572" s="47" t="s">
        <v>149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149</v>
      </c>
      <c r="P1573" s="47">
        <f>HEX2DEC(RIGHT(Table1323214[[#This Row],[h1]],8))</f>
        <v>0</v>
      </c>
      <c r="Q1573" s="47" t="s">
        <v>149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149</v>
      </c>
      <c r="P1574" s="47">
        <f>HEX2DEC(RIGHT(Table1323214[[#This Row],[h1]],8))</f>
        <v>0</v>
      </c>
      <c r="Q1574" s="47" t="s">
        <v>149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149</v>
      </c>
      <c r="P1575" s="47">
        <f>HEX2DEC(RIGHT(Table1323214[[#This Row],[h1]],8))</f>
        <v>0</v>
      </c>
      <c r="Q1575" s="47" t="s">
        <v>149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149</v>
      </c>
      <c r="P1576" s="47">
        <f>HEX2DEC(RIGHT(Table1323214[[#This Row],[h1]],8))</f>
        <v>0</v>
      </c>
      <c r="Q1576" s="47" t="s">
        <v>149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149</v>
      </c>
      <c r="P1577" s="47">
        <f>HEX2DEC(RIGHT(Table1323214[[#This Row],[h1]],8))</f>
        <v>0</v>
      </c>
      <c r="Q1577" s="47" t="s">
        <v>149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149</v>
      </c>
      <c r="P1578" s="47">
        <f>HEX2DEC(RIGHT(Table1323214[[#This Row],[h1]],8))</f>
        <v>0</v>
      </c>
      <c r="Q1578" s="47" t="s">
        <v>149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149</v>
      </c>
      <c r="P1579" s="47">
        <f>HEX2DEC(RIGHT(Table1323214[[#This Row],[h1]],8))</f>
        <v>0</v>
      </c>
      <c r="Q1579" s="47" t="s">
        <v>149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149</v>
      </c>
      <c r="P1580" s="47">
        <f>HEX2DEC(RIGHT(Table1323214[[#This Row],[h1]],8))</f>
        <v>0</v>
      </c>
      <c r="Q1580" s="47" t="s">
        <v>149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149</v>
      </c>
      <c r="P1581" s="47">
        <f>HEX2DEC(RIGHT(Table1323214[[#This Row],[h1]],8))</f>
        <v>0</v>
      </c>
      <c r="Q1581" s="47" t="s">
        <v>149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149</v>
      </c>
      <c r="P1582" s="47">
        <f>HEX2DEC(RIGHT(Table1323214[[#This Row],[h1]],8))</f>
        <v>0</v>
      </c>
      <c r="Q1582" s="47" t="s">
        <v>149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149</v>
      </c>
      <c r="P1583" s="47">
        <f>HEX2DEC(RIGHT(Table1323214[[#This Row],[h1]],8))</f>
        <v>0</v>
      </c>
      <c r="Q1583" s="47" t="s">
        <v>149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149</v>
      </c>
      <c r="P1584" s="47">
        <f>HEX2DEC(RIGHT(Table1323214[[#This Row],[h1]],8))</f>
        <v>0</v>
      </c>
      <c r="Q1584" s="47" t="s">
        <v>149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149</v>
      </c>
      <c r="P1585" s="47">
        <f>HEX2DEC(RIGHT(Table1323214[[#This Row],[h1]],8))</f>
        <v>0</v>
      </c>
      <c r="Q1585" s="47" t="s">
        <v>149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149</v>
      </c>
      <c r="P1586" s="47">
        <f>HEX2DEC(RIGHT(Table1323214[[#This Row],[h1]],8))</f>
        <v>0</v>
      </c>
      <c r="Q1586" s="47" t="s">
        <v>149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149</v>
      </c>
      <c r="P1587" s="47">
        <f>HEX2DEC(RIGHT(Table1323214[[#This Row],[h1]],8))</f>
        <v>0</v>
      </c>
      <c r="Q1587" s="47" t="s">
        <v>149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149</v>
      </c>
      <c r="P1588" s="47">
        <f>HEX2DEC(RIGHT(Table1323214[[#This Row],[h1]],8))</f>
        <v>0</v>
      </c>
      <c r="Q1588" s="47" t="s">
        <v>149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149</v>
      </c>
      <c r="P1589" s="47">
        <f>HEX2DEC(RIGHT(Table1323214[[#This Row],[h1]],8))</f>
        <v>0</v>
      </c>
      <c r="Q1589" s="47" t="s">
        <v>149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149</v>
      </c>
      <c r="P1590" s="47">
        <f>HEX2DEC(RIGHT(Table1323214[[#This Row],[h1]],8))</f>
        <v>0</v>
      </c>
      <c r="Q1590" s="47" t="s">
        <v>149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149</v>
      </c>
      <c r="P1591" s="47">
        <f>HEX2DEC(RIGHT(Table1323214[[#This Row],[h1]],8))</f>
        <v>0</v>
      </c>
      <c r="Q1591" s="47" t="s">
        <v>149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149</v>
      </c>
      <c r="P1592" s="47">
        <f>HEX2DEC(RIGHT(Table1323214[[#This Row],[h1]],8))</f>
        <v>0</v>
      </c>
      <c r="Q1592" s="47" t="s">
        <v>149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149</v>
      </c>
      <c r="P1593" s="47">
        <f>HEX2DEC(RIGHT(Table1323214[[#This Row],[h1]],8))</f>
        <v>0</v>
      </c>
      <c r="Q1593" s="47" t="s">
        <v>149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149</v>
      </c>
      <c r="P1594" s="47">
        <f>HEX2DEC(RIGHT(Table1323214[[#This Row],[h1]],8))</f>
        <v>0</v>
      </c>
      <c r="Q1594" s="47" t="s">
        <v>149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149</v>
      </c>
      <c r="P1595" s="47">
        <f>HEX2DEC(RIGHT(Table1323214[[#This Row],[h1]],8))</f>
        <v>0</v>
      </c>
      <c r="Q1595" s="47" t="s">
        <v>149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149</v>
      </c>
      <c r="P1596" s="47">
        <f>HEX2DEC(RIGHT(Table1323214[[#This Row],[h1]],8))</f>
        <v>0</v>
      </c>
      <c r="Q1596" s="47" t="s">
        <v>149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149</v>
      </c>
      <c r="P1597" s="47">
        <f>HEX2DEC(RIGHT(Table1323214[[#This Row],[h1]],8))</f>
        <v>0</v>
      </c>
      <c r="Q1597" s="47" t="s">
        <v>149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149</v>
      </c>
      <c r="P1598" s="47">
        <f>HEX2DEC(RIGHT(Table1323214[[#This Row],[h1]],8))</f>
        <v>0</v>
      </c>
      <c r="Q1598" s="47" t="s">
        <v>149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149</v>
      </c>
      <c r="P1599" s="47">
        <f>HEX2DEC(RIGHT(Table1323214[[#This Row],[h1]],8))</f>
        <v>0</v>
      </c>
      <c r="Q1599" s="47" t="s">
        <v>149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149</v>
      </c>
      <c r="P1600" s="47">
        <f>HEX2DEC(RIGHT(Table1323214[[#This Row],[h1]],8))</f>
        <v>0</v>
      </c>
      <c r="Q1600" s="47" t="s">
        <v>149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149</v>
      </c>
      <c r="P1601" s="47">
        <f>HEX2DEC(RIGHT(Table1323214[[#This Row],[h1]],8))</f>
        <v>0</v>
      </c>
      <c r="Q1601" s="47" t="s">
        <v>149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149</v>
      </c>
      <c r="P1602" s="47">
        <f>HEX2DEC(RIGHT(Table1323214[[#This Row],[h1]],8))</f>
        <v>0</v>
      </c>
      <c r="Q1602" s="47" t="s">
        <v>149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149</v>
      </c>
      <c r="P1603" s="47">
        <f>HEX2DEC(RIGHT(Table1323214[[#This Row],[h1]],8))</f>
        <v>0</v>
      </c>
      <c r="Q1603" s="47" t="s">
        <v>149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149</v>
      </c>
      <c r="P1604" s="47">
        <f>HEX2DEC(RIGHT(Table1323214[[#This Row],[h1]],8))</f>
        <v>0</v>
      </c>
      <c r="Q1604" s="47" t="s">
        <v>149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149</v>
      </c>
      <c r="P1605" s="47">
        <f>HEX2DEC(RIGHT(Table1323214[[#This Row],[h1]],8))</f>
        <v>0</v>
      </c>
      <c r="Q1605" s="47" t="s">
        <v>149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149</v>
      </c>
      <c r="P1606" s="47">
        <f>HEX2DEC(RIGHT(Table1323214[[#This Row],[h1]],8))</f>
        <v>0</v>
      </c>
      <c r="Q1606" s="47" t="s">
        <v>149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149</v>
      </c>
      <c r="P1607" s="47">
        <f>HEX2DEC(RIGHT(Table1323214[[#This Row],[h1]],8))</f>
        <v>0</v>
      </c>
      <c r="Q1607" s="47" t="s">
        <v>149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149</v>
      </c>
      <c r="P1608" s="47">
        <f>HEX2DEC(RIGHT(Table1323214[[#This Row],[h1]],8))</f>
        <v>0</v>
      </c>
      <c r="Q1608" s="47" t="s">
        <v>149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149</v>
      </c>
      <c r="P1609" s="47">
        <f>HEX2DEC(RIGHT(Table1323214[[#This Row],[h1]],8))</f>
        <v>0</v>
      </c>
      <c r="Q1609" s="47" t="s">
        <v>149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149</v>
      </c>
      <c r="P1610" s="47">
        <f>HEX2DEC(RIGHT(Table1323214[[#This Row],[h1]],8))</f>
        <v>0</v>
      </c>
      <c r="Q1610" s="47" t="s">
        <v>149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149</v>
      </c>
      <c r="P1611" s="47">
        <f>HEX2DEC(RIGHT(Table1323214[[#This Row],[h1]],8))</f>
        <v>0</v>
      </c>
      <c r="Q1611" s="47" t="s">
        <v>149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149</v>
      </c>
      <c r="P1612" s="47">
        <f>HEX2DEC(RIGHT(Table1323214[[#This Row],[h1]],8))</f>
        <v>0</v>
      </c>
      <c r="Q1612" s="47" t="s">
        <v>149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149</v>
      </c>
      <c r="P1613" s="47">
        <f>HEX2DEC(RIGHT(Table1323214[[#This Row],[h1]],8))</f>
        <v>0</v>
      </c>
      <c r="Q1613" s="47" t="s">
        <v>149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149</v>
      </c>
      <c r="P1614" s="47">
        <f>HEX2DEC(RIGHT(Table1323214[[#This Row],[h1]],8))</f>
        <v>0</v>
      </c>
      <c r="Q1614" s="47" t="s">
        <v>149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149</v>
      </c>
      <c r="P1615" s="47">
        <f>HEX2DEC(RIGHT(Table1323214[[#This Row],[h1]],8))</f>
        <v>0</v>
      </c>
      <c r="Q1615" s="47" t="s">
        <v>149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149</v>
      </c>
      <c r="P1616" s="47">
        <f>HEX2DEC(RIGHT(Table1323214[[#This Row],[h1]],8))</f>
        <v>0</v>
      </c>
      <c r="Q1616" s="47" t="s">
        <v>149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149</v>
      </c>
      <c r="P1617" s="47">
        <f>HEX2DEC(RIGHT(Table1323214[[#This Row],[h1]],8))</f>
        <v>0</v>
      </c>
      <c r="Q1617" s="47" t="s">
        <v>149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149</v>
      </c>
      <c r="P1618" s="47">
        <f>HEX2DEC(RIGHT(Table1323214[[#This Row],[h1]],8))</f>
        <v>0</v>
      </c>
      <c r="Q1618" s="47" t="s">
        <v>149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149</v>
      </c>
      <c r="P1619" s="47">
        <f>HEX2DEC(RIGHT(Table1323214[[#This Row],[h1]],8))</f>
        <v>0</v>
      </c>
      <c r="Q1619" s="47" t="s">
        <v>149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149</v>
      </c>
      <c r="P1620" s="47">
        <f>HEX2DEC(RIGHT(Table1323214[[#This Row],[h1]],8))</f>
        <v>0</v>
      </c>
      <c r="Q1620" s="47" t="s">
        <v>149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149</v>
      </c>
      <c r="P1621" s="47">
        <f>HEX2DEC(RIGHT(Table1323214[[#This Row],[h1]],8))</f>
        <v>0</v>
      </c>
      <c r="Q1621" s="47" t="s">
        <v>149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149</v>
      </c>
      <c r="P1622" s="47">
        <f>HEX2DEC(RIGHT(Table1323214[[#This Row],[h1]],8))</f>
        <v>0</v>
      </c>
      <c r="Q1622" s="47" t="s">
        <v>149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149</v>
      </c>
      <c r="P1623" s="47">
        <f>HEX2DEC(RIGHT(Table1323214[[#This Row],[h1]],8))</f>
        <v>0</v>
      </c>
      <c r="Q1623" s="47" t="s">
        <v>149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149</v>
      </c>
      <c r="P1624" s="47">
        <f>HEX2DEC(RIGHT(Table1323214[[#This Row],[h1]],8))</f>
        <v>0</v>
      </c>
      <c r="Q1624" s="47" t="s">
        <v>149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149</v>
      </c>
      <c r="P1625" s="47">
        <f>HEX2DEC(RIGHT(Table1323214[[#This Row],[h1]],8))</f>
        <v>0</v>
      </c>
      <c r="Q1625" s="47" t="s">
        <v>149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149</v>
      </c>
      <c r="P1626" s="47">
        <f>HEX2DEC(RIGHT(Table1323214[[#This Row],[h1]],8))</f>
        <v>0</v>
      </c>
      <c r="Q1626" s="47" t="s">
        <v>149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149</v>
      </c>
      <c r="P1627" s="47">
        <f>HEX2DEC(RIGHT(Table1323214[[#This Row],[h1]],8))</f>
        <v>0</v>
      </c>
      <c r="Q1627" s="47" t="s">
        <v>149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149</v>
      </c>
      <c r="P1628" s="47">
        <f>HEX2DEC(RIGHT(Table1323214[[#This Row],[h1]],8))</f>
        <v>0</v>
      </c>
      <c r="Q1628" s="47" t="s">
        <v>149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149</v>
      </c>
      <c r="P1629" s="47">
        <f>HEX2DEC(RIGHT(Table1323214[[#This Row],[h1]],8))</f>
        <v>0</v>
      </c>
      <c r="Q1629" s="47" t="s">
        <v>149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149</v>
      </c>
      <c r="P1630" s="47">
        <f>HEX2DEC(RIGHT(Table1323214[[#This Row],[h1]],8))</f>
        <v>0</v>
      </c>
      <c r="Q1630" s="47" t="s">
        <v>149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149</v>
      </c>
      <c r="P1631" s="47">
        <f>HEX2DEC(RIGHT(Table1323214[[#This Row],[h1]],8))</f>
        <v>0</v>
      </c>
      <c r="Q1631" s="47" t="s">
        <v>149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149</v>
      </c>
      <c r="P1632" s="47">
        <f>HEX2DEC(RIGHT(Table1323214[[#This Row],[h1]],8))</f>
        <v>0</v>
      </c>
      <c r="Q1632" s="47" t="s">
        <v>149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149</v>
      </c>
      <c r="P1633" s="47">
        <f>HEX2DEC(RIGHT(Table1323214[[#This Row],[h1]],8))</f>
        <v>0</v>
      </c>
      <c r="Q1633" s="47" t="s">
        <v>149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149</v>
      </c>
      <c r="P1634" s="47">
        <f>HEX2DEC(RIGHT(Table1323214[[#This Row],[h1]],8))</f>
        <v>0</v>
      </c>
      <c r="Q1634" s="47" t="s">
        <v>149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149</v>
      </c>
      <c r="P1635" s="47">
        <f>HEX2DEC(RIGHT(Table1323214[[#This Row],[h1]],8))</f>
        <v>0</v>
      </c>
      <c r="Q1635" s="47" t="s">
        <v>149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149</v>
      </c>
      <c r="P1636" s="47">
        <f>HEX2DEC(RIGHT(Table1323214[[#This Row],[h1]],8))</f>
        <v>0</v>
      </c>
      <c r="Q1636" s="47" t="s">
        <v>149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149</v>
      </c>
      <c r="P1637" s="47">
        <f>HEX2DEC(RIGHT(Table1323214[[#This Row],[h1]],8))</f>
        <v>0</v>
      </c>
      <c r="Q1637" s="47" t="s">
        <v>149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149</v>
      </c>
      <c r="P1638" s="47">
        <f>HEX2DEC(RIGHT(Table1323214[[#This Row],[h1]],8))</f>
        <v>0</v>
      </c>
      <c r="Q1638" s="47" t="s">
        <v>149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149</v>
      </c>
      <c r="P1639" s="47">
        <f>HEX2DEC(RIGHT(Table1323214[[#This Row],[h1]],8))</f>
        <v>0</v>
      </c>
      <c r="Q1639" s="47" t="s">
        <v>149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149</v>
      </c>
      <c r="P1640" s="47">
        <f>HEX2DEC(RIGHT(Table1323214[[#This Row],[h1]],8))</f>
        <v>0</v>
      </c>
      <c r="Q1640" s="47" t="s">
        <v>149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149</v>
      </c>
      <c r="P1641" s="47">
        <f>HEX2DEC(RIGHT(Table1323214[[#This Row],[h1]],8))</f>
        <v>0</v>
      </c>
      <c r="Q1641" s="47" t="s">
        <v>149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149</v>
      </c>
      <c r="P1642" s="47">
        <f>HEX2DEC(RIGHT(Table1323214[[#This Row],[h1]],8))</f>
        <v>0</v>
      </c>
      <c r="Q1642" s="47" t="s">
        <v>149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149</v>
      </c>
      <c r="P1643" s="47">
        <f>HEX2DEC(RIGHT(Table1323214[[#This Row],[h1]],8))</f>
        <v>0</v>
      </c>
      <c r="Q1643" s="47" t="s">
        <v>149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149</v>
      </c>
      <c r="P1644" s="47">
        <f>HEX2DEC(RIGHT(Table1323214[[#This Row],[h1]],8))</f>
        <v>0</v>
      </c>
      <c r="Q1644" s="47" t="s">
        <v>149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149</v>
      </c>
      <c r="P1645" s="47">
        <f>HEX2DEC(RIGHT(Table1323214[[#This Row],[h1]],8))</f>
        <v>0</v>
      </c>
      <c r="Q1645" s="47" t="s">
        <v>149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149</v>
      </c>
      <c r="P1646" s="47">
        <f>HEX2DEC(RIGHT(Table1323214[[#This Row],[h1]],8))</f>
        <v>0</v>
      </c>
      <c r="Q1646" s="47" t="s">
        <v>149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149</v>
      </c>
      <c r="P1647" s="47">
        <f>HEX2DEC(RIGHT(Table1323214[[#This Row],[h1]],8))</f>
        <v>0</v>
      </c>
      <c r="Q1647" s="47" t="s">
        <v>149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149</v>
      </c>
      <c r="P1648" s="47">
        <f>HEX2DEC(RIGHT(Table1323214[[#This Row],[h1]],8))</f>
        <v>0</v>
      </c>
      <c r="Q1648" s="47" t="s">
        <v>149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149</v>
      </c>
      <c r="P1649" s="47">
        <f>HEX2DEC(RIGHT(Table1323214[[#This Row],[h1]],8))</f>
        <v>0</v>
      </c>
      <c r="Q1649" s="47" t="s">
        <v>149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149</v>
      </c>
      <c r="P1650" s="47">
        <f>HEX2DEC(RIGHT(Table1323214[[#This Row],[h1]],8))</f>
        <v>0</v>
      </c>
      <c r="Q1650" s="47" t="s">
        <v>149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149</v>
      </c>
      <c r="P1651" s="47">
        <f>HEX2DEC(RIGHT(Table1323214[[#This Row],[h1]],8))</f>
        <v>0</v>
      </c>
      <c r="Q1651" s="47" t="s">
        <v>149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149</v>
      </c>
      <c r="P1652" s="47">
        <f>HEX2DEC(RIGHT(Table1323214[[#This Row],[h1]],8))</f>
        <v>0</v>
      </c>
      <c r="Q1652" s="47" t="s">
        <v>149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149</v>
      </c>
      <c r="P1653" s="47">
        <f>HEX2DEC(RIGHT(Table1323214[[#This Row],[h1]],8))</f>
        <v>0</v>
      </c>
      <c r="Q1653" s="47" t="s">
        <v>149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149</v>
      </c>
      <c r="P1654" s="47">
        <f>HEX2DEC(RIGHT(Table1323214[[#This Row],[h1]],8))</f>
        <v>0</v>
      </c>
      <c r="Q1654" s="47" t="s">
        <v>149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149</v>
      </c>
      <c r="P1655" s="47">
        <f>HEX2DEC(RIGHT(Table1323214[[#This Row],[h1]],8))</f>
        <v>0</v>
      </c>
      <c r="Q1655" s="47" t="s">
        <v>149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149</v>
      </c>
      <c r="P1656" s="47">
        <f>HEX2DEC(RIGHT(Table1323214[[#This Row],[h1]],8))</f>
        <v>0</v>
      </c>
      <c r="Q1656" s="47" t="s">
        <v>149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149</v>
      </c>
      <c r="P1657" s="47">
        <f>HEX2DEC(RIGHT(Table1323214[[#This Row],[h1]],8))</f>
        <v>0</v>
      </c>
      <c r="Q1657" s="47" t="s">
        <v>149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149</v>
      </c>
      <c r="P1658" s="47">
        <f>HEX2DEC(RIGHT(Table1323214[[#This Row],[h1]],8))</f>
        <v>0</v>
      </c>
      <c r="Q1658" s="47" t="s">
        <v>149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149</v>
      </c>
      <c r="P1659" s="47">
        <f>HEX2DEC(RIGHT(Table1323214[[#This Row],[h1]],8))</f>
        <v>0</v>
      </c>
      <c r="Q1659" s="47" t="s">
        <v>149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149</v>
      </c>
      <c r="P1660" s="47">
        <f>HEX2DEC(RIGHT(Table1323214[[#This Row],[h1]],8))</f>
        <v>0</v>
      </c>
      <c r="Q1660" s="47" t="s">
        <v>149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149</v>
      </c>
      <c r="P1661" s="47">
        <f>HEX2DEC(RIGHT(Table1323214[[#This Row],[h1]],8))</f>
        <v>0</v>
      </c>
      <c r="Q1661" s="47" t="s">
        <v>149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149</v>
      </c>
      <c r="P1662" s="47">
        <f>HEX2DEC(RIGHT(Table1323214[[#This Row],[h1]],8))</f>
        <v>0</v>
      </c>
      <c r="Q1662" s="47" t="s">
        <v>149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149</v>
      </c>
      <c r="P1663" s="47">
        <f>HEX2DEC(RIGHT(Table1323214[[#This Row],[h1]],8))</f>
        <v>0</v>
      </c>
      <c r="Q1663" s="47" t="s">
        <v>149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149</v>
      </c>
      <c r="P1664" s="47">
        <f>HEX2DEC(RIGHT(Table1323214[[#This Row],[h1]],8))</f>
        <v>0</v>
      </c>
      <c r="Q1664" s="47" t="s">
        <v>149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149</v>
      </c>
      <c r="P1665" s="47">
        <f>HEX2DEC(RIGHT(Table1323214[[#This Row],[h1]],8))</f>
        <v>0</v>
      </c>
      <c r="Q1665" s="47" t="s">
        <v>149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149</v>
      </c>
      <c r="P1666" s="47">
        <f>HEX2DEC(RIGHT(Table1323214[[#This Row],[h1]],8))</f>
        <v>0</v>
      </c>
      <c r="Q1666" s="47" t="s">
        <v>149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149</v>
      </c>
      <c r="P1667" s="47">
        <f>HEX2DEC(RIGHT(Table1323214[[#This Row],[h1]],8))</f>
        <v>0</v>
      </c>
      <c r="Q1667" s="47" t="s">
        <v>149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149</v>
      </c>
      <c r="P1668" s="47">
        <f>HEX2DEC(RIGHT(Table1323214[[#This Row],[h1]],8))</f>
        <v>0</v>
      </c>
      <c r="Q1668" s="47" t="s">
        <v>149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149</v>
      </c>
      <c r="P1669" s="47">
        <f>HEX2DEC(RIGHT(Table1323214[[#This Row],[h1]],8))</f>
        <v>0</v>
      </c>
      <c r="Q1669" s="47" t="s">
        <v>149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149</v>
      </c>
      <c r="P1670" s="47">
        <f>HEX2DEC(RIGHT(Table1323214[[#This Row],[h1]],8))</f>
        <v>0</v>
      </c>
      <c r="Q1670" s="47" t="s">
        <v>149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149</v>
      </c>
      <c r="P1671" s="47">
        <f>HEX2DEC(RIGHT(Table1323214[[#This Row],[h1]],8))</f>
        <v>0</v>
      </c>
      <c r="Q1671" s="47" t="s">
        <v>149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149</v>
      </c>
      <c r="P1672" s="47">
        <f>HEX2DEC(RIGHT(Table1323214[[#This Row],[h1]],8))</f>
        <v>0</v>
      </c>
      <c r="Q1672" s="47" t="s">
        <v>149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149</v>
      </c>
      <c r="P1673" s="47">
        <f>HEX2DEC(RIGHT(Table1323214[[#This Row],[h1]],8))</f>
        <v>0</v>
      </c>
      <c r="Q1673" s="47" t="s">
        <v>149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149</v>
      </c>
      <c r="P1674" s="47">
        <f>HEX2DEC(RIGHT(Table1323214[[#This Row],[h1]],8))</f>
        <v>0</v>
      </c>
      <c r="Q1674" s="47" t="s">
        <v>149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149</v>
      </c>
      <c r="P1675" s="47">
        <f>HEX2DEC(RIGHT(Table1323214[[#This Row],[h1]],8))</f>
        <v>0</v>
      </c>
      <c r="Q1675" s="47" t="s">
        <v>149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149</v>
      </c>
      <c r="P1676" s="47">
        <f>HEX2DEC(RIGHT(Table1323214[[#This Row],[h1]],8))</f>
        <v>0</v>
      </c>
      <c r="Q1676" s="47" t="s">
        <v>149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149</v>
      </c>
      <c r="P1677" s="47">
        <f>HEX2DEC(RIGHT(Table1323214[[#This Row],[h1]],8))</f>
        <v>0</v>
      </c>
      <c r="Q1677" s="47" t="s">
        <v>149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149</v>
      </c>
      <c r="P1678" s="47">
        <f>HEX2DEC(RIGHT(Table1323214[[#This Row],[h1]],8))</f>
        <v>0</v>
      </c>
      <c r="Q1678" s="47" t="s">
        <v>149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149</v>
      </c>
      <c r="P1679" s="47">
        <f>HEX2DEC(RIGHT(Table1323214[[#This Row],[h1]],8))</f>
        <v>0</v>
      </c>
      <c r="Q1679" s="47" t="s">
        <v>149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149</v>
      </c>
      <c r="P1680" s="47">
        <f>HEX2DEC(RIGHT(Table1323214[[#This Row],[h1]],8))</f>
        <v>0</v>
      </c>
      <c r="Q1680" s="47" t="s">
        <v>149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149</v>
      </c>
      <c r="P1681" s="47">
        <f>HEX2DEC(RIGHT(Table1323214[[#This Row],[h1]],8))</f>
        <v>0</v>
      </c>
      <c r="Q1681" s="47" t="s">
        <v>149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149</v>
      </c>
      <c r="P1682" s="47">
        <f>HEX2DEC(RIGHT(Table1323214[[#This Row],[h1]],8))</f>
        <v>0</v>
      </c>
      <c r="Q1682" s="47" t="s">
        <v>149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149</v>
      </c>
      <c r="P1683" s="47">
        <f>HEX2DEC(RIGHT(Table1323214[[#This Row],[h1]],8))</f>
        <v>0</v>
      </c>
      <c r="Q1683" s="47" t="s">
        <v>149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149</v>
      </c>
      <c r="P1684" s="47">
        <f>HEX2DEC(RIGHT(Table1323214[[#This Row],[h1]],8))</f>
        <v>0</v>
      </c>
      <c r="Q1684" s="47" t="s">
        <v>149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149</v>
      </c>
      <c r="P1685" s="47">
        <f>HEX2DEC(RIGHT(Table1323214[[#This Row],[h1]],8))</f>
        <v>0</v>
      </c>
      <c r="Q1685" s="47" t="s">
        <v>149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149</v>
      </c>
      <c r="P1686" s="47">
        <f>HEX2DEC(RIGHT(Table1323214[[#This Row],[h1]],8))</f>
        <v>0</v>
      </c>
      <c r="Q1686" s="47" t="s">
        <v>149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149</v>
      </c>
      <c r="P1687" s="47">
        <f>HEX2DEC(RIGHT(Table1323214[[#This Row],[h1]],8))</f>
        <v>0</v>
      </c>
      <c r="Q1687" s="47" t="s">
        <v>149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149</v>
      </c>
      <c r="P1688" s="47">
        <f>HEX2DEC(RIGHT(Table1323214[[#This Row],[h1]],8))</f>
        <v>0</v>
      </c>
      <c r="Q1688" s="47" t="s">
        <v>149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149</v>
      </c>
      <c r="P1689" s="47">
        <f>HEX2DEC(RIGHT(Table1323214[[#This Row],[h1]],8))</f>
        <v>0</v>
      </c>
      <c r="Q1689" s="47" t="s">
        <v>149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149</v>
      </c>
      <c r="P1690" s="47">
        <f>HEX2DEC(RIGHT(Table1323214[[#This Row],[h1]],8))</f>
        <v>0</v>
      </c>
      <c r="Q1690" s="47" t="s">
        <v>149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149</v>
      </c>
      <c r="P1691" s="47">
        <f>HEX2DEC(RIGHT(Table1323214[[#This Row],[h1]],8))</f>
        <v>0</v>
      </c>
      <c r="Q1691" s="47" t="s">
        <v>149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149</v>
      </c>
      <c r="P1692" s="47">
        <f>HEX2DEC(RIGHT(Table1323214[[#This Row],[h1]],8))</f>
        <v>0</v>
      </c>
      <c r="Q1692" s="47" t="s">
        <v>149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149</v>
      </c>
      <c r="P1693" s="47">
        <f>HEX2DEC(RIGHT(Table1323214[[#This Row],[h1]],8))</f>
        <v>0</v>
      </c>
      <c r="Q1693" s="47" t="s">
        <v>149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149</v>
      </c>
      <c r="P1694" s="47">
        <f>HEX2DEC(RIGHT(Table1323214[[#This Row],[h1]],8))</f>
        <v>0</v>
      </c>
      <c r="Q1694" s="47" t="s">
        <v>149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149</v>
      </c>
      <c r="P1695" s="47">
        <f>HEX2DEC(RIGHT(Table1323214[[#This Row],[h1]],8))</f>
        <v>0</v>
      </c>
      <c r="Q1695" s="47" t="s">
        <v>149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149</v>
      </c>
      <c r="P1696" s="47">
        <f>HEX2DEC(RIGHT(Table1323214[[#This Row],[h1]],8))</f>
        <v>0</v>
      </c>
      <c r="Q1696" s="47" t="s">
        <v>149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149</v>
      </c>
      <c r="P1697" s="47">
        <f>HEX2DEC(RIGHT(Table1323214[[#This Row],[h1]],8))</f>
        <v>0</v>
      </c>
      <c r="Q1697" s="47" t="s">
        <v>149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149</v>
      </c>
      <c r="P1698" s="47">
        <f>HEX2DEC(RIGHT(Table1323214[[#This Row],[h1]],8))</f>
        <v>0</v>
      </c>
      <c r="Q1698" s="47" t="s">
        <v>149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149</v>
      </c>
      <c r="P1699" s="47">
        <f>HEX2DEC(RIGHT(Table1323214[[#This Row],[h1]],8))</f>
        <v>0</v>
      </c>
      <c r="Q1699" s="47" t="s">
        <v>149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149</v>
      </c>
      <c r="P1700" s="47">
        <f>HEX2DEC(RIGHT(Table1323214[[#This Row],[h1]],8))</f>
        <v>0</v>
      </c>
      <c r="Q1700" s="47" t="s">
        <v>149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149</v>
      </c>
      <c r="P1701" s="47">
        <f>HEX2DEC(RIGHT(Table1323214[[#This Row],[h1]],8))</f>
        <v>0</v>
      </c>
      <c r="Q1701" s="47" t="s">
        <v>149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149</v>
      </c>
      <c r="P1702" s="47">
        <f>HEX2DEC(RIGHT(Table1323214[[#This Row],[h1]],8))</f>
        <v>0</v>
      </c>
      <c r="Q1702" s="47" t="s">
        <v>149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149</v>
      </c>
      <c r="P1703" s="47">
        <f>HEX2DEC(RIGHT(Table1323214[[#This Row],[h1]],8))</f>
        <v>0</v>
      </c>
      <c r="Q1703" s="47" t="s">
        <v>149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149</v>
      </c>
      <c r="P1704" s="47">
        <f>HEX2DEC(RIGHT(Table1323214[[#This Row],[h1]],8))</f>
        <v>0</v>
      </c>
      <c r="Q1704" s="47" t="s">
        <v>149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149</v>
      </c>
      <c r="P1705" s="47">
        <f>HEX2DEC(RIGHT(Table1323214[[#This Row],[h1]],8))</f>
        <v>0</v>
      </c>
      <c r="Q1705" s="47" t="s">
        <v>149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149</v>
      </c>
      <c r="P1706" s="47">
        <f>HEX2DEC(RIGHT(Table1323214[[#This Row],[h1]],8))</f>
        <v>0</v>
      </c>
      <c r="Q1706" s="47" t="s">
        <v>149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149</v>
      </c>
      <c r="P1707" s="47">
        <f>HEX2DEC(RIGHT(Table1323214[[#This Row],[h1]],8))</f>
        <v>0</v>
      </c>
      <c r="Q1707" s="47" t="s">
        <v>149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149</v>
      </c>
      <c r="P1708" s="47">
        <f>HEX2DEC(RIGHT(Table1323214[[#This Row],[h1]],8))</f>
        <v>0</v>
      </c>
      <c r="Q1708" s="47" t="s">
        <v>149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149</v>
      </c>
      <c r="P1709" s="47">
        <f>HEX2DEC(RIGHT(Table1323214[[#This Row],[h1]],8))</f>
        <v>0</v>
      </c>
      <c r="Q1709" s="47" t="s">
        <v>149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149</v>
      </c>
      <c r="P1710" s="47">
        <f>HEX2DEC(RIGHT(Table1323214[[#This Row],[h1]],8))</f>
        <v>0</v>
      </c>
      <c r="Q1710" s="47" t="s">
        <v>149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149</v>
      </c>
      <c r="P1711" s="47">
        <f>HEX2DEC(RIGHT(Table1323214[[#This Row],[h1]],8))</f>
        <v>0</v>
      </c>
      <c r="Q1711" s="47" t="s">
        <v>149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149</v>
      </c>
      <c r="P1712" s="47">
        <f>HEX2DEC(RIGHT(Table1323214[[#This Row],[h1]],8))</f>
        <v>0</v>
      </c>
      <c r="Q1712" s="47" t="s">
        <v>149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149</v>
      </c>
      <c r="P1713" s="47">
        <f>HEX2DEC(RIGHT(Table1323214[[#This Row],[h1]],8))</f>
        <v>0</v>
      </c>
      <c r="Q1713" s="47" t="s">
        <v>149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149</v>
      </c>
      <c r="P1714" s="47">
        <f>HEX2DEC(RIGHT(Table1323214[[#This Row],[h1]],8))</f>
        <v>0</v>
      </c>
      <c r="Q1714" s="47" t="s">
        <v>149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149</v>
      </c>
      <c r="P1715" s="47">
        <f>HEX2DEC(RIGHT(Table1323214[[#This Row],[h1]],8))</f>
        <v>0</v>
      </c>
      <c r="Q1715" s="47" t="s">
        <v>149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149</v>
      </c>
      <c r="P1716" s="47">
        <f>HEX2DEC(RIGHT(Table1323214[[#This Row],[h1]],8))</f>
        <v>0</v>
      </c>
      <c r="Q1716" s="47" t="s">
        <v>149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149</v>
      </c>
      <c r="P1717" s="47">
        <f>HEX2DEC(RIGHT(Table1323214[[#This Row],[h1]],8))</f>
        <v>0</v>
      </c>
      <c r="Q1717" s="47" t="s">
        <v>149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149</v>
      </c>
      <c r="P1718" s="47">
        <f>HEX2DEC(RIGHT(Table1323214[[#This Row],[h1]],8))</f>
        <v>0</v>
      </c>
      <c r="Q1718" s="47" t="s">
        <v>149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149</v>
      </c>
      <c r="P1719" s="47">
        <f>HEX2DEC(RIGHT(Table1323214[[#This Row],[h1]],8))</f>
        <v>0</v>
      </c>
      <c r="Q1719" s="47" t="s">
        <v>149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149</v>
      </c>
      <c r="P1720" s="47">
        <f>HEX2DEC(RIGHT(Table1323214[[#This Row],[h1]],8))</f>
        <v>0</v>
      </c>
      <c r="Q1720" s="47" t="s">
        <v>149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149</v>
      </c>
      <c r="P1721" s="47">
        <f>HEX2DEC(RIGHT(Table1323214[[#This Row],[h1]],8))</f>
        <v>0</v>
      </c>
      <c r="Q1721" s="47" t="s">
        <v>149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149</v>
      </c>
      <c r="P1722" s="47">
        <f>HEX2DEC(RIGHT(Table1323214[[#This Row],[h1]],8))</f>
        <v>0</v>
      </c>
      <c r="Q1722" s="47" t="s">
        <v>149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149</v>
      </c>
      <c r="P1723" s="47">
        <f>HEX2DEC(RIGHT(Table1323214[[#This Row],[h1]],8))</f>
        <v>0</v>
      </c>
      <c r="Q1723" s="47" t="s">
        <v>149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149</v>
      </c>
      <c r="P1724" s="47">
        <f>HEX2DEC(RIGHT(Table1323214[[#This Row],[h1]],8))</f>
        <v>0</v>
      </c>
      <c r="Q1724" s="47" t="s">
        <v>149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149</v>
      </c>
      <c r="P1725" s="47">
        <f>HEX2DEC(RIGHT(Table1323214[[#This Row],[h1]],8))</f>
        <v>0</v>
      </c>
      <c r="Q1725" s="47" t="s">
        <v>149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149</v>
      </c>
      <c r="P1726" s="47">
        <f>HEX2DEC(RIGHT(Table1323214[[#This Row],[h1]],8))</f>
        <v>0</v>
      </c>
      <c r="Q1726" s="47" t="s">
        <v>149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149</v>
      </c>
      <c r="P1727" s="47">
        <f>HEX2DEC(RIGHT(Table1323214[[#This Row],[h1]],8))</f>
        <v>0</v>
      </c>
      <c r="Q1727" s="47" t="s">
        <v>149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149</v>
      </c>
      <c r="P1728" s="47">
        <f>HEX2DEC(RIGHT(Table1323214[[#This Row],[h1]],8))</f>
        <v>0</v>
      </c>
      <c r="Q1728" s="47" t="s">
        <v>149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149</v>
      </c>
      <c r="P1729" s="47">
        <f>HEX2DEC(RIGHT(Table1323214[[#This Row],[h1]],8))</f>
        <v>0</v>
      </c>
      <c r="Q1729" s="47" t="s">
        <v>149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149</v>
      </c>
      <c r="P1730" s="47">
        <f>HEX2DEC(RIGHT(Table1323214[[#This Row],[h1]],8))</f>
        <v>0</v>
      </c>
      <c r="Q1730" s="47" t="s">
        <v>149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149</v>
      </c>
      <c r="P1731" s="47">
        <f>HEX2DEC(RIGHT(Table1323214[[#This Row],[h1]],8))</f>
        <v>0</v>
      </c>
      <c r="Q1731" s="47" t="s">
        <v>149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149</v>
      </c>
      <c r="P1732" s="47">
        <f>HEX2DEC(RIGHT(Table1323214[[#This Row],[h1]],8))</f>
        <v>0</v>
      </c>
      <c r="Q1732" s="47" t="s">
        <v>149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149</v>
      </c>
      <c r="P1733" s="47">
        <f>HEX2DEC(RIGHT(Table1323214[[#This Row],[h1]],8))</f>
        <v>0</v>
      </c>
      <c r="Q1733" s="47" t="s">
        <v>149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149</v>
      </c>
      <c r="P1734" s="47">
        <f>HEX2DEC(RIGHT(Table1323214[[#This Row],[h1]],8))</f>
        <v>0</v>
      </c>
      <c r="Q1734" s="47" t="s">
        <v>149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149</v>
      </c>
      <c r="P1735" s="47">
        <f>HEX2DEC(RIGHT(Table1323214[[#This Row],[h1]],8))</f>
        <v>0</v>
      </c>
      <c r="Q1735" s="47" t="s">
        <v>149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149</v>
      </c>
      <c r="P1736" s="47">
        <f>HEX2DEC(RIGHT(Table1323214[[#This Row],[h1]],8))</f>
        <v>0</v>
      </c>
      <c r="Q1736" s="47" t="s">
        <v>149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149</v>
      </c>
      <c r="P1737" s="47">
        <f>HEX2DEC(RIGHT(Table1323214[[#This Row],[h1]],8))</f>
        <v>0</v>
      </c>
      <c r="Q1737" s="47" t="s">
        <v>149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149</v>
      </c>
      <c r="P1738" s="47">
        <f>HEX2DEC(RIGHT(Table1323214[[#This Row],[h1]],8))</f>
        <v>0</v>
      </c>
      <c r="Q1738" s="47" t="s">
        <v>149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149</v>
      </c>
      <c r="P1739" s="47">
        <f>HEX2DEC(RIGHT(Table1323214[[#This Row],[h1]],8))</f>
        <v>0</v>
      </c>
      <c r="Q1739" s="47" t="s">
        <v>149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149</v>
      </c>
      <c r="P1740" s="47">
        <f>HEX2DEC(RIGHT(Table1323214[[#This Row],[h1]],8))</f>
        <v>0</v>
      </c>
      <c r="Q1740" s="47" t="s">
        <v>149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149</v>
      </c>
      <c r="P1741" s="47">
        <f>HEX2DEC(RIGHT(Table1323214[[#This Row],[h1]],8))</f>
        <v>0</v>
      </c>
      <c r="Q1741" s="47" t="s">
        <v>149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149</v>
      </c>
      <c r="P1742" s="47">
        <f>HEX2DEC(RIGHT(Table1323214[[#This Row],[h1]],8))</f>
        <v>0</v>
      </c>
      <c r="Q1742" s="47" t="s">
        <v>149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149</v>
      </c>
      <c r="P1743" s="47">
        <f>HEX2DEC(RIGHT(Table1323214[[#This Row],[h1]],8))</f>
        <v>0</v>
      </c>
      <c r="Q1743" s="47" t="s">
        <v>149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149</v>
      </c>
      <c r="P1744" s="47">
        <f>HEX2DEC(RIGHT(Table1323214[[#This Row],[h1]],8))</f>
        <v>0</v>
      </c>
      <c r="Q1744" s="47" t="s">
        <v>149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149</v>
      </c>
      <c r="P1745" s="47">
        <f>HEX2DEC(RIGHT(Table1323214[[#This Row],[h1]],8))</f>
        <v>0</v>
      </c>
      <c r="Q1745" s="47" t="s">
        <v>149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149</v>
      </c>
      <c r="P1746" s="47">
        <f>HEX2DEC(RIGHT(Table1323214[[#This Row],[h1]],8))</f>
        <v>0</v>
      </c>
      <c r="Q1746" s="47" t="s">
        <v>149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149</v>
      </c>
      <c r="P1747" s="47">
        <f>HEX2DEC(RIGHT(Table1323214[[#This Row],[h1]],8))</f>
        <v>0</v>
      </c>
      <c r="Q1747" s="47" t="s">
        <v>149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149</v>
      </c>
      <c r="P1748" s="47">
        <f>HEX2DEC(RIGHT(Table1323214[[#This Row],[h1]],8))</f>
        <v>0</v>
      </c>
      <c r="Q1748" s="47" t="s">
        <v>149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149</v>
      </c>
      <c r="P1749" s="47">
        <f>HEX2DEC(RIGHT(Table1323214[[#This Row],[h1]],8))</f>
        <v>0</v>
      </c>
      <c r="Q1749" s="47" t="s">
        <v>149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149</v>
      </c>
      <c r="P1750" s="47">
        <f>HEX2DEC(RIGHT(Table1323214[[#This Row],[h1]],8))</f>
        <v>0</v>
      </c>
      <c r="Q1750" s="47" t="s">
        <v>149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149</v>
      </c>
      <c r="P1751" s="47">
        <f>HEX2DEC(RIGHT(Table1323214[[#This Row],[h1]],8))</f>
        <v>0</v>
      </c>
      <c r="Q1751" s="47" t="s">
        <v>149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149</v>
      </c>
      <c r="P1752" s="47">
        <f>HEX2DEC(RIGHT(Table1323214[[#This Row],[h1]],8))</f>
        <v>0</v>
      </c>
      <c r="Q1752" s="47" t="s">
        <v>149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149</v>
      </c>
      <c r="P1753" s="47">
        <f>HEX2DEC(RIGHT(Table1323214[[#This Row],[h1]],8))</f>
        <v>0</v>
      </c>
      <c r="Q1753" s="47" t="s">
        <v>149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149</v>
      </c>
      <c r="P1754" s="47">
        <f>HEX2DEC(RIGHT(Table1323214[[#This Row],[h1]],8))</f>
        <v>0</v>
      </c>
      <c r="Q1754" s="47" t="s">
        <v>149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149</v>
      </c>
      <c r="P1755" s="47">
        <f>HEX2DEC(RIGHT(Table1323214[[#This Row],[h1]],8))</f>
        <v>0</v>
      </c>
      <c r="Q1755" s="47" t="s">
        <v>149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149</v>
      </c>
      <c r="P1756" s="47">
        <f>HEX2DEC(RIGHT(Table1323214[[#This Row],[h1]],8))</f>
        <v>0</v>
      </c>
      <c r="Q1756" s="47" t="s">
        <v>149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149</v>
      </c>
      <c r="P1757" s="47">
        <f>HEX2DEC(RIGHT(Table1323214[[#This Row],[h1]],8))</f>
        <v>0</v>
      </c>
      <c r="Q1757" s="47" t="s">
        <v>149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149</v>
      </c>
      <c r="P1758" s="47">
        <f>HEX2DEC(RIGHT(Table1323214[[#This Row],[h1]],8))</f>
        <v>0</v>
      </c>
      <c r="Q1758" s="47" t="s">
        <v>149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149</v>
      </c>
      <c r="P1759" s="47">
        <f>HEX2DEC(RIGHT(Table1323214[[#This Row],[h1]],8))</f>
        <v>0</v>
      </c>
      <c r="Q1759" s="47" t="s">
        <v>149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149</v>
      </c>
      <c r="P1760" s="47">
        <f>HEX2DEC(RIGHT(Table1323214[[#This Row],[h1]],8))</f>
        <v>0</v>
      </c>
      <c r="Q1760" s="47" t="s">
        <v>149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149</v>
      </c>
      <c r="P1761" s="47">
        <f>HEX2DEC(RIGHT(Table1323214[[#This Row],[h1]],8))</f>
        <v>0</v>
      </c>
      <c r="Q1761" s="47" t="s">
        <v>149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149</v>
      </c>
      <c r="P1762" s="47">
        <f>HEX2DEC(RIGHT(Table1323214[[#This Row],[h1]],8))</f>
        <v>0</v>
      </c>
      <c r="Q1762" s="47" t="s">
        <v>149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149</v>
      </c>
      <c r="P1763" s="47">
        <f>HEX2DEC(RIGHT(Table1323214[[#This Row],[h1]],8))</f>
        <v>0</v>
      </c>
      <c r="Q1763" s="47" t="s">
        <v>149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149</v>
      </c>
      <c r="P1764" s="47">
        <f>HEX2DEC(RIGHT(Table1323214[[#This Row],[h1]],8))</f>
        <v>0</v>
      </c>
      <c r="Q1764" s="47" t="s">
        <v>149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149</v>
      </c>
      <c r="P1765" s="47">
        <f>HEX2DEC(RIGHT(Table1323214[[#This Row],[h1]],8))</f>
        <v>0</v>
      </c>
      <c r="Q1765" s="47" t="s">
        <v>149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149</v>
      </c>
      <c r="P1766" s="47">
        <f>HEX2DEC(RIGHT(Table1323214[[#This Row],[h1]],8))</f>
        <v>0</v>
      </c>
      <c r="Q1766" s="47" t="s">
        <v>149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149</v>
      </c>
      <c r="P1767" s="47">
        <f>HEX2DEC(RIGHT(Table1323214[[#This Row],[h1]],8))</f>
        <v>0</v>
      </c>
      <c r="Q1767" s="47" t="s">
        <v>149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149</v>
      </c>
      <c r="P1768" s="47">
        <f>HEX2DEC(RIGHT(Table1323214[[#This Row],[h1]],8))</f>
        <v>0</v>
      </c>
      <c r="Q1768" s="47" t="s">
        <v>149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149</v>
      </c>
      <c r="P1769" s="47">
        <f>HEX2DEC(RIGHT(Table1323214[[#This Row],[h1]],8))</f>
        <v>0</v>
      </c>
      <c r="Q1769" s="47" t="s">
        <v>149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149</v>
      </c>
      <c r="P1770" s="47">
        <f>HEX2DEC(RIGHT(Table1323214[[#This Row],[h1]],8))</f>
        <v>0</v>
      </c>
      <c r="Q1770" s="47" t="s">
        <v>149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149</v>
      </c>
      <c r="P1771" s="47">
        <f>HEX2DEC(RIGHT(Table1323214[[#This Row],[h1]],8))</f>
        <v>0</v>
      </c>
      <c r="Q1771" s="47" t="s">
        <v>149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149</v>
      </c>
      <c r="P1772" s="47">
        <f>HEX2DEC(RIGHT(Table1323214[[#This Row],[h1]],8))</f>
        <v>0</v>
      </c>
      <c r="Q1772" s="47" t="s">
        <v>149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149</v>
      </c>
      <c r="P1773" s="47">
        <f>HEX2DEC(RIGHT(Table1323214[[#This Row],[h1]],8))</f>
        <v>0</v>
      </c>
      <c r="Q1773" s="47" t="s">
        <v>149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149</v>
      </c>
      <c r="P1774" s="47">
        <f>HEX2DEC(RIGHT(Table1323214[[#This Row],[h1]],8))</f>
        <v>0</v>
      </c>
      <c r="Q1774" s="47" t="s">
        <v>149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149</v>
      </c>
      <c r="P1775" s="47">
        <f>HEX2DEC(RIGHT(Table1323214[[#This Row],[h1]],8))</f>
        <v>0</v>
      </c>
      <c r="Q1775" s="47" t="s">
        <v>149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149</v>
      </c>
      <c r="P1776" s="47">
        <f>HEX2DEC(RIGHT(Table1323214[[#This Row],[h1]],8))</f>
        <v>0</v>
      </c>
      <c r="Q1776" s="47" t="s">
        <v>149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149</v>
      </c>
      <c r="P1777" s="47">
        <f>HEX2DEC(RIGHT(Table1323214[[#This Row],[h1]],8))</f>
        <v>0</v>
      </c>
      <c r="Q1777" s="47" t="s">
        <v>149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149</v>
      </c>
      <c r="P1778" s="47">
        <f>HEX2DEC(RIGHT(Table1323214[[#This Row],[h1]],8))</f>
        <v>0</v>
      </c>
      <c r="Q1778" s="47" t="s">
        <v>149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149</v>
      </c>
      <c r="P1779" s="47">
        <f>HEX2DEC(RIGHT(Table1323214[[#This Row],[h1]],8))</f>
        <v>0</v>
      </c>
      <c r="Q1779" s="47" t="s">
        <v>149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149</v>
      </c>
      <c r="P1780" s="47">
        <f>HEX2DEC(RIGHT(Table1323214[[#This Row],[h1]],8))</f>
        <v>0</v>
      </c>
      <c r="Q1780" s="47" t="s">
        <v>149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149</v>
      </c>
      <c r="P1781" s="47">
        <f>HEX2DEC(RIGHT(Table1323214[[#This Row],[h1]],8))</f>
        <v>0</v>
      </c>
      <c r="Q1781" s="47" t="s">
        <v>149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149</v>
      </c>
      <c r="P1782" s="47">
        <f>HEX2DEC(RIGHT(Table1323214[[#This Row],[h1]],8))</f>
        <v>0</v>
      </c>
      <c r="Q1782" s="47" t="s">
        <v>149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149</v>
      </c>
      <c r="P1783" s="47">
        <f>HEX2DEC(RIGHT(Table1323214[[#This Row],[h1]],8))</f>
        <v>0</v>
      </c>
      <c r="Q1783" s="47" t="s">
        <v>149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149</v>
      </c>
      <c r="P1784" s="47">
        <f>HEX2DEC(RIGHT(Table1323214[[#This Row],[h1]],8))</f>
        <v>0</v>
      </c>
      <c r="Q1784" s="47" t="s">
        <v>149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149</v>
      </c>
      <c r="P1785" s="47">
        <f>HEX2DEC(RIGHT(Table1323214[[#This Row],[h1]],8))</f>
        <v>0</v>
      </c>
      <c r="Q1785" s="47" t="s">
        <v>149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149</v>
      </c>
      <c r="P1786" s="47">
        <f>HEX2DEC(RIGHT(Table1323214[[#This Row],[h1]],8))</f>
        <v>0</v>
      </c>
      <c r="Q1786" s="47" t="s">
        <v>149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149</v>
      </c>
      <c r="P1787" s="47">
        <f>HEX2DEC(RIGHT(Table1323214[[#This Row],[h1]],8))</f>
        <v>0</v>
      </c>
      <c r="Q1787" s="47" t="s">
        <v>149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149</v>
      </c>
      <c r="P1788" s="47">
        <f>HEX2DEC(RIGHT(Table1323214[[#This Row],[h1]],8))</f>
        <v>0</v>
      </c>
      <c r="Q1788" s="47" t="s">
        <v>149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149</v>
      </c>
      <c r="P1789" s="47">
        <f>HEX2DEC(RIGHT(Table1323214[[#This Row],[h1]],8))</f>
        <v>0</v>
      </c>
      <c r="Q1789" s="47" t="s">
        <v>149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149</v>
      </c>
      <c r="P1790" s="47">
        <f>HEX2DEC(RIGHT(Table1323214[[#This Row],[h1]],8))</f>
        <v>0</v>
      </c>
      <c r="Q1790" s="47" t="s">
        <v>149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149</v>
      </c>
      <c r="P1791" s="47">
        <f>HEX2DEC(RIGHT(Table1323214[[#This Row],[h1]],8))</f>
        <v>0</v>
      </c>
      <c r="Q1791" s="47" t="s">
        <v>149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149</v>
      </c>
      <c r="P1792" s="47">
        <f>HEX2DEC(RIGHT(Table1323214[[#This Row],[h1]],8))</f>
        <v>0</v>
      </c>
      <c r="Q1792" s="47" t="s">
        <v>149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149</v>
      </c>
      <c r="P1793" s="47">
        <f>HEX2DEC(RIGHT(Table1323214[[#This Row],[h1]],8))</f>
        <v>0</v>
      </c>
      <c r="Q1793" s="47" t="s">
        <v>149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149</v>
      </c>
      <c r="P1794" s="47">
        <f>HEX2DEC(RIGHT(Table1323214[[#This Row],[h1]],8))</f>
        <v>0</v>
      </c>
      <c r="Q1794" s="47" t="s">
        <v>149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149</v>
      </c>
      <c r="P1795" s="47">
        <f>HEX2DEC(RIGHT(Table1323214[[#This Row],[h1]],8))</f>
        <v>0</v>
      </c>
      <c r="Q1795" s="47" t="s">
        <v>149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149</v>
      </c>
      <c r="P1796" s="47">
        <f>HEX2DEC(RIGHT(Table1323214[[#This Row],[h1]],8))</f>
        <v>0</v>
      </c>
      <c r="Q1796" s="47" t="s">
        <v>149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149</v>
      </c>
      <c r="P1797" s="47">
        <f>HEX2DEC(RIGHT(Table1323214[[#This Row],[h1]],8))</f>
        <v>0</v>
      </c>
      <c r="Q1797" s="47" t="s">
        <v>149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149</v>
      </c>
      <c r="P1798" s="47">
        <f>HEX2DEC(RIGHT(Table1323214[[#This Row],[h1]],8))</f>
        <v>0</v>
      </c>
      <c r="Q1798" s="47" t="s">
        <v>149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149</v>
      </c>
      <c r="P1799" s="47">
        <f>HEX2DEC(RIGHT(Table1323214[[#This Row],[h1]],8))</f>
        <v>0</v>
      </c>
      <c r="Q1799" s="47" t="s">
        <v>149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149</v>
      </c>
      <c r="P1800" s="47">
        <f>HEX2DEC(RIGHT(Table1323214[[#This Row],[h1]],8))</f>
        <v>0</v>
      </c>
      <c r="Q1800" s="47" t="s">
        <v>149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149</v>
      </c>
      <c r="P1801" s="47">
        <f>HEX2DEC(RIGHT(Table1323214[[#This Row],[h1]],8))</f>
        <v>0</v>
      </c>
      <c r="Q1801" s="47" t="s">
        <v>149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149</v>
      </c>
      <c r="P1802" s="47">
        <f>HEX2DEC(RIGHT(Table1323214[[#This Row],[h1]],8))</f>
        <v>0</v>
      </c>
      <c r="Q1802" s="47" t="s">
        <v>149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149</v>
      </c>
      <c r="P1803" s="47">
        <f>HEX2DEC(RIGHT(Table1323214[[#This Row],[h1]],8))</f>
        <v>0</v>
      </c>
      <c r="Q1803" s="47" t="s">
        <v>149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149</v>
      </c>
      <c r="P1804" s="47">
        <f>HEX2DEC(RIGHT(Table1323214[[#This Row],[h1]],8))</f>
        <v>0</v>
      </c>
      <c r="Q1804" s="47" t="s">
        <v>149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149</v>
      </c>
      <c r="P1805" s="47">
        <f>HEX2DEC(RIGHT(Table1323214[[#This Row],[h1]],8))</f>
        <v>0</v>
      </c>
      <c r="Q1805" s="47" t="s">
        <v>149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149</v>
      </c>
      <c r="P1806" s="47">
        <f>HEX2DEC(RIGHT(Table1323214[[#This Row],[h1]],8))</f>
        <v>0</v>
      </c>
      <c r="Q1806" s="47" t="s">
        <v>149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149</v>
      </c>
      <c r="P1807" s="47">
        <f>HEX2DEC(RIGHT(Table1323214[[#This Row],[h1]],8))</f>
        <v>0</v>
      </c>
      <c r="Q1807" s="47" t="s">
        <v>149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149</v>
      </c>
      <c r="P1808" s="47">
        <f>HEX2DEC(RIGHT(Table1323214[[#This Row],[h1]],8))</f>
        <v>0</v>
      </c>
      <c r="Q1808" s="47" t="s">
        <v>149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149</v>
      </c>
      <c r="P1809" s="47">
        <f>HEX2DEC(RIGHT(Table1323214[[#This Row],[h1]],8))</f>
        <v>0</v>
      </c>
      <c r="Q1809" s="47" t="s">
        <v>149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149</v>
      </c>
      <c r="P1810" s="47">
        <f>HEX2DEC(RIGHT(Table1323214[[#This Row],[h1]],8))</f>
        <v>0</v>
      </c>
      <c r="Q1810" s="47" t="s">
        <v>149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149</v>
      </c>
      <c r="P1811" s="47">
        <f>HEX2DEC(RIGHT(Table1323214[[#This Row],[h1]],8))</f>
        <v>0</v>
      </c>
      <c r="Q1811" s="47" t="s">
        <v>149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149</v>
      </c>
      <c r="P1812" s="47">
        <f>HEX2DEC(RIGHT(Table1323214[[#This Row],[h1]],8))</f>
        <v>0</v>
      </c>
      <c r="Q1812" s="47" t="s">
        <v>149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149</v>
      </c>
      <c r="P1813" s="47">
        <f>HEX2DEC(RIGHT(Table1323214[[#This Row],[h1]],8))</f>
        <v>0</v>
      </c>
      <c r="Q1813" s="47" t="s">
        <v>149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149</v>
      </c>
      <c r="P1814" s="47">
        <f>HEX2DEC(RIGHT(Table1323214[[#This Row],[h1]],8))</f>
        <v>0</v>
      </c>
      <c r="Q1814" s="47" t="s">
        <v>149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149</v>
      </c>
      <c r="P1815" s="47">
        <f>HEX2DEC(RIGHT(Table1323214[[#This Row],[h1]],8))</f>
        <v>0</v>
      </c>
      <c r="Q1815" s="47" t="s">
        <v>149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149</v>
      </c>
      <c r="P1816" s="47">
        <f>HEX2DEC(RIGHT(Table1323214[[#This Row],[h1]],8))</f>
        <v>0</v>
      </c>
      <c r="Q1816" s="47" t="s">
        <v>149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149</v>
      </c>
      <c r="P1817" s="47">
        <f>HEX2DEC(RIGHT(Table1323214[[#This Row],[h1]],8))</f>
        <v>0</v>
      </c>
      <c r="Q1817" s="47" t="s">
        <v>149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149</v>
      </c>
      <c r="P1818" s="47">
        <f>HEX2DEC(RIGHT(Table1323214[[#This Row],[h1]],8))</f>
        <v>0</v>
      </c>
      <c r="Q1818" s="47" t="s">
        <v>149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149</v>
      </c>
      <c r="P1819" s="47">
        <f>HEX2DEC(RIGHT(Table1323214[[#This Row],[h1]],8))</f>
        <v>0</v>
      </c>
      <c r="Q1819" s="47" t="s">
        <v>149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149</v>
      </c>
      <c r="P1820" s="47">
        <f>HEX2DEC(RIGHT(Table1323214[[#This Row],[h1]],8))</f>
        <v>0</v>
      </c>
      <c r="Q1820" s="47" t="s">
        <v>149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149</v>
      </c>
      <c r="P1821" s="47">
        <f>HEX2DEC(RIGHT(Table1323214[[#This Row],[h1]],8))</f>
        <v>0</v>
      </c>
      <c r="Q1821" s="47" t="s">
        <v>149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149</v>
      </c>
      <c r="P1822" s="47">
        <f>HEX2DEC(RIGHT(Table1323214[[#This Row],[h1]],8))</f>
        <v>0</v>
      </c>
      <c r="Q1822" s="47" t="s">
        <v>149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149</v>
      </c>
      <c r="P1823" s="47">
        <f>HEX2DEC(RIGHT(Table1323214[[#This Row],[h1]],8))</f>
        <v>0</v>
      </c>
      <c r="Q1823" s="47" t="s">
        <v>149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149</v>
      </c>
      <c r="P1824" s="47">
        <f>HEX2DEC(RIGHT(Table1323214[[#This Row],[h1]],8))</f>
        <v>0</v>
      </c>
      <c r="Q1824" s="47" t="s">
        <v>149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149</v>
      </c>
      <c r="P1825" s="47">
        <f>HEX2DEC(RIGHT(Table1323214[[#This Row],[h1]],8))</f>
        <v>0</v>
      </c>
      <c r="Q1825" s="47" t="s">
        <v>149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149</v>
      </c>
      <c r="P1826" s="47">
        <f>HEX2DEC(RIGHT(Table1323214[[#This Row],[h1]],8))</f>
        <v>0</v>
      </c>
      <c r="Q1826" s="47" t="s">
        <v>149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149</v>
      </c>
      <c r="P1827" s="47">
        <f>HEX2DEC(RIGHT(Table1323214[[#This Row],[h1]],8))</f>
        <v>0</v>
      </c>
      <c r="Q1827" s="47" t="s">
        <v>149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149</v>
      </c>
      <c r="P1828" s="47">
        <f>HEX2DEC(RIGHT(Table1323214[[#This Row],[h1]],8))</f>
        <v>0</v>
      </c>
      <c r="Q1828" s="47" t="s">
        <v>149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149</v>
      </c>
      <c r="P1829" s="47">
        <f>HEX2DEC(RIGHT(Table1323214[[#This Row],[h1]],8))</f>
        <v>0</v>
      </c>
      <c r="Q1829" s="47" t="s">
        <v>149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149</v>
      </c>
      <c r="P1830" s="47">
        <f>HEX2DEC(RIGHT(Table1323214[[#This Row],[h1]],8))</f>
        <v>0</v>
      </c>
      <c r="Q1830" s="47" t="s">
        <v>149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149</v>
      </c>
      <c r="P1831" s="47">
        <f>HEX2DEC(RIGHT(Table1323214[[#This Row],[h1]],8))</f>
        <v>0</v>
      </c>
      <c r="Q1831" s="47" t="s">
        <v>149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149</v>
      </c>
      <c r="P1832" s="47">
        <f>HEX2DEC(RIGHT(Table1323214[[#This Row],[h1]],8))</f>
        <v>0</v>
      </c>
      <c r="Q1832" s="47" t="s">
        <v>149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149</v>
      </c>
      <c r="P1833" s="47">
        <f>HEX2DEC(RIGHT(Table1323214[[#This Row],[h1]],8))</f>
        <v>0</v>
      </c>
      <c r="Q1833" s="47" t="s">
        <v>149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149</v>
      </c>
      <c r="P1834" s="47">
        <f>HEX2DEC(RIGHT(Table1323214[[#This Row],[h1]],8))</f>
        <v>0</v>
      </c>
      <c r="Q1834" s="47" t="s">
        <v>149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149</v>
      </c>
      <c r="P1835" s="47">
        <f>HEX2DEC(RIGHT(Table1323214[[#This Row],[h1]],8))</f>
        <v>0</v>
      </c>
      <c r="Q1835" s="47" t="s">
        <v>149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149</v>
      </c>
      <c r="P1836" s="47">
        <f>HEX2DEC(RIGHT(Table1323214[[#This Row],[h1]],8))</f>
        <v>0</v>
      </c>
      <c r="Q1836" s="47" t="s">
        <v>149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149</v>
      </c>
      <c r="P1837" s="47">
        <f>HEX2DEC(RIGHT(Table1323214[[#This Row],[h1]],8))</f>
        <v>0</v>
      </c>
      <c r="Q1837" s="47" t="s">
        <v>149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149</v>
      </c>
      <c r="P1838" s="47">
        <f>HEX2DEC(RIGHT(Table1323214[[#This Row],[h1]],8))</f>
        <v>0</v>
      </c>
      <c r="Q1838" s="47" t="s">
        <v>149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149</v>
      </c>
      <c r="P1839" s="47">
        <f>HEX2DEC(RIGHT(Table1323214[[#This Row],[h1]],8))</f>
        <v>0</v>
      </c>
      <c r="Q1839" s="47" t="s">
        <v>149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149</v>
      </c>
      <c r="P1840" s="47">
        <f>HEX2DEC(RIGHT(Table1323214[[#This Row],[h1]],8))</f>
        <v>0</v>
      </c>
      <c r="Q1840" s="47" t="s">
        <v>149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149</v>
      </c>
      <c r="P1841" s="47">
        <f>HEX2DEC(RIGHT(Table1323214[[#This Row],[h1]],8))</f>
        <v>0</v>
      </c>
      <c r="Q1841" s="47" t="s">
        <v>149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149</v>
      </c>
      <c r="P1842" s="47">
        <f>HEX2DEC(RIGHT(Table1323214[[#This Row],[h1]],8))</f>
        <v>0</v>
      </c>
      <c r="Q1842" s="47" t="s">
        <v>149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149</v>
      </c>
      <c r="P1843" s="47">
        <f>HEX2DEC(RIGHT(Table1323214[[#This Row],[h1]],8))</f>
        <v>0</v>
      </c>
      <c r="Q1843" s="47" t="s">
        <v>149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149</v>
      </c>
      <c r="P1844" s="47">
        <f>HEX2DEC(RIGHT(Table1323214[[#This Row],[h1]],8))</f>
        <v>0</v>
      </c>
      <c r="Q1844" s="47" t="s">
        <v>149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149</v>
      </c>
      <c r="P1845" s="47">
        <f>HEX2DEC(RIGHT(Table1323214[[#This Row],[h1]],8))</f>
        <v>0</v>
      </c>
      <c r="Q1845" s="47" t="s">
        <v>149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149</v>
      </c>
      <c r="P1846" s="47">
        <f>HEX2DEC(RIGHT(Table1323214[[#This Row],[h1]],8))</f>
        <v>0</v>
      </c>
      <c r="Q1846" s="47" t="s">
        <v>149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149</v>
      </c>
      <c r="P1847" s="47">
        <f>HEX2DEC(RIGHT(Table1323214[[#This Row],[h1]],8))</f>
        <v>0</v>
      </c>
      <c r="Q1847" s="47" t="s">
        <v>149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149</v>
      </c>
      <c r="P1848" s="47">
        <f>HEX2DEC(RIGHT(Table1323214[[#This Row],[h1]],8))</f>
        <v>0</v>
      </c>
      <c r="Q1848" s="47" t="s">
        <v>149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149</v>
      </c>
      <c r="P1849" s="47">
        <f>HEX2DEC(RIGHT(Table1323214[[#This Row],[h1]],8))</f>
        <v>0</v>
      </c>
      <c r="Q1849" s="47" t="s">
        <v>149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149</v>
      </c>
      <c r="P1850" s="47">
        <f>HEX2DEC(RIGHT(Table1323214[[#This Row],[h1]],8))</f>
        <v>0</v>
      </c>
      <c r="Q1850" s="47" t="s">
        <v>149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149</v>
      </c>
      <c r="P1851" s="47">
        <f>HEX2DEC(RIGHT(Table1323214[[#This Row],[h1]],8))</f>
        <v>0</v>
      </c>
      <c r="Q1851" s="47" t="s">
        <v>149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149</v>
      </c>
      <c r="P1852" s="47">
        <f>HEX2DEC(RIGHT(Table1323214[[#This Row],[h1]],8))</f>
        <v>0</v>
      </c>
      <c r="Q1852" s="47" t="s">
        <v>149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149</v>
      </c>
      <c r="P1853" s="47">
        <f>HEX2DEC(RIGHT(Table1323214[[#This Row],[h1]],8))</f>
        <v>0</v>
      </c>
      <c r="Q1853" s="47" t="s">
        <v>149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149</v>
      </c>
      <c r="P1854" s="47">
        <f>HEX2DEC(RIGHT(Table1323214[[#This Row],[h1]],8))</f>
        <v>0</v>
      </c>
      <c r="Q1854" s="47" t="s">
        <v>149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149</v>
      </c>
      <c r="P1855" s="47">
        <f>HEX2DEC(RIGHT(Table1323214[[#This Row],[h1]],8))</f>
        <v>0</v>
      </c>
      <c r="Q1855" s="47" t="s">
        <v>149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149</v>
      </c>
      <c r="P1856" s="47">
        <f>HEX2DEC(RIGHT(Table1323214[[#This Row],[h1]],8))</f>
        <v>0</v>
      </c>
      <c r="Q1856" s="47" t="s">
        <v>149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149</v>
      </c>
      <c r="P1857" s="47">
        <f>HEX2DEC(RIGHT(Table1323214[[#This Row],[h1]],8))</f>
        <v>0</v>
      </c>
      <c r="Q1857" s="47" t="s">
        <v>149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149</v>
      </c>
      <c r="P1858" s="47">
        <f>HEX2DEC(RIGHT(Table1323214[[#This Row],[h1]],8))</f>
        <v>0</v>
      </c>
      <c r="Q1858" s="47" t="s">
        <v>149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149</v>
      </c>
      <c r="P1859" s="47">
        <f>HEX2DEC(RIGHT(Table1323214[[#This Row],[h1]],8))</f>
        <v>0</v>
      </c>
      <c r="Q1859" s="47" t="s">
        <v>149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149</v>
      </c>
      <c r="P1860" s="47">
        <f>HEX2DEC(RIGHT(Table1323214[[#This Row],[h1]],8))</f>
        <v>0</v>
      </c>
      <c r="Q1860" s="47" t="s">
        <v>149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149</v>
      </c>
      <c r="P1861" s="47">
        <f>HEX2DEC(RIGHT(Table1323214[[#This Row],[h1]],8))</f>
        <v>0</v>
      </c>
      <c r="Q1861" s="47" t="s">
        <v>149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149</v>
      </c>
      <c r="P1862" s="47">
        <f>HEX2DEC(RIGHT(Table1323214[[#This Row],[h1]],8))</f>
        <v>0</v>
      </c>
      <c r="Q1862" s="47" t="s">
        <v>149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149</v>
      </c>
      <c r="P1863" s="47">
        <f>HEX2DEC(RIGHT(Table1323214[[#This Row],[h1]],8))</f>
        <v>0</v>
      </c>
      <c r="Q1863" s="47" t="s">
        <v>149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149</v>
      </c>
      <c r="P1864" s="47">
        <f>HEX2DEC(RIGHT(Table1323214[[#This Row],[h1]],8))</f>
        <v>0</v>
      </c>
      <c r="Q1864" s="47" t="s">
        <v>149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149</v>
      </c>
      <c r="P1865" s="47">
        <f>HEX2DEC(RIGHT(Table1323214[[#This Row],[h1]],8))</f>
        <v>0</v>
      </c>
      <c r="Q1865" s="47" t="s">
        <v>149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149</v>
      </c>
      <c r="P1866" s="47">
        <f>HEX2DEC(RIGHT(Table1323214[[#This Row],[h1]],8))</f>
        <v>0</v>
      </c>
      <c r="Q1866" s="47" t="s">
        <v>149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149</v>
      </c>
      <c r="P1867" s="47">
        <f>HEX2DEC(RIGHT(Table1323214[[#This Row],[h1]],8))</f>
        <v>0</v>
      </c>
      <c r="Q1867" s="47" t="s">
        <v>149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149</v>
      </c>
      <c r="P1868" s="47">
        <f>HEX2DEC(RIGHT(Table1323214[[#This Row],[h1]],8))</f>
        <v>0</v>
      </c>
      <c r="Q1868" s="47" t="s">
        <v>149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149</v>
      </c>
      <c r="P1869" s="47">
        <f>HEX2DEC(RIGHT(Table1323214[[#This Row],[h1]],8))</f>
        <v>0</v>
      </c>
      <c r="Q1869" s="47" t="s">
        <v>149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149</v>
      </c>
      <c r="P1870" s="47">
        <f>HEX2DEC(RIGHT(Table1323214[[#This Row],[h1]],8))</f>
        <v>0</v>
      </c>
      <c r="Q1870" s="47" t="s">
        <v>149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149</v>
      </c>
      <c r="P1871" s="47">
        <f>HEX2DEC(RIGHT(Table1323214[[#This Row],[h1]],8))</f>
        <v>0</v>
      </c>
      <c r="Q1871" s="47" t="s">
        <v>149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149</v>
      </c>
      <c r="P1872" s="47">
        <f>HEX2DEC(RIGHT(Table1323214[[#This Row],[h1]],8))</f>
        <v>0</v>
      </c>
      <c r="Q1872" s="47" t="s">
        <v>149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149</v>
      </c>
      <c r="P1873" s="47">
        <f>HEX2DEC(RIGHT(Table1323214[[#This Row],[h1]],8))</f>
        <v>0</v>
      </c>
      <c r="Q1873" s="47" t="s">
        <v>149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149</v>
      </c>
      <c r="P1874" s="47">
        <f>HEX2DEC(RIGHT(Table1323214[[#This Row],[h1]],8))</f>
        <v>0</v>
      </c>
      <c r="Q1874" s="47" t="s">
        <v>149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149</v>
      </c>
      <c r="P1875" s="47">
        <f>HEX2DEC(RIGHT(Table1323214[[#This Row],[h1]],8))</f>
        <v>0</v>
      </c>
      <c r="Q1875" s="47" t="s">
        <v>149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149</v>
      </c>
      <c r="P1876" s="47">
        <f>HEX2DEC(RIGHT(Table1323214[[#This Row],[h1]],8))</f>
        <v>0</v>
      </c>
      <c r="Q1876" s="47" t="s">
        <v>149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149</v>
      </c>
      <c r="P1877" s="47">
        <f>HEX2DEC(RIGHT(Table1323214[[#This Row],[h1]],8))</f>
        <v>0</v>
      </c>
      <c r="Q1877" s="47" t="s">
        <v>149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149</v>
      </c>
      <c r="P1878" s="47">
        <f>HEX2DEC(RIGHT(Table1323214[[#This Row],[h1]],8))</f>
        <v>0</v>
      </c>
      <c r="Q1878" s="47" t="s">
        <v>149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149</v>
      </c>
      <c r="P1879" s="47">
        <f>HEX2DEC(RIGHT(Table1323214[[#This Row],[h1]],8))</f>
        <v>0</v>
      </c>
      <c r="Q1879" s="47" t="s">
        <v>149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149</v>
      </c>
      <c r="P1880" s="47">
        <f>HEX2DEC(RIGHT(Table1323214[[#This Row],[h1]],8))</f>
        <v>0</v>
      </c>
      <c r="Q1880" s="47" t="s">
        <v>149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149</v>
      </c>
      <c r="P1881" s="47">
        <f>HEX2DEC(RIGHT(Table1323214[[#This Row],[h1]],8))</f>
        <v>0</v>
      </c>
      <c r="Q1881" s="47" t="s">
        <v>149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149</v>
      </c>
      <c r="P1882" s="47">
        <f>HEX2DEC(RIGHT(Table1323214[[#This Row],[h1]],8))</f>
        <v>0</v>
      </c>
      <c r="Q1882" s="47" t="s">
        <v>149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149</v>
      </c>
      <c r="P1883" s="47">
        <f>HEX2DEC(RIGHT(Table1323214[[#This Row],[h1]],8))</f>
        <v>0</v>
      </c>
      <c r="Q1883" s="47" t="s">
        <v>149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149</v>
      </c>
      <c r="P1884" s="47">
        <f>HEX2DEC(RIGHT(Table1323214[[#This Row],[h1]],8))</f>
        <v>0</v>
      </c>
      <c r="Q1884" s="47" t="s">
        <v>149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149</v>
      </c>
      <c r="P1885" s="47">
        <f>HEX2DEC(RIGHT(Table1323214[[#This Row],[h1]],8))</f>
        <v>0</v>
      </c>
      <c r="Q1885" s="47" t="s">
        <v>149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149</v>
      </c>
      <c r="P1886" s="47">
        <f>HEX2DEC(RIGHT(Table1323214[[#This Row],[h1]],8))</f>
        <v>0</v>
      </c>
      <c r="Q1886" s="47" t="s">
        <v>149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149</v>
      </c>
      <c r="P1887" s="47">
        <f>HEX2DEC(RIGHT(Table1323214[[#This Row],[h1]],8))</f>
        <v>0</v>
      </c>
      <c r="Q1887" s="47" t="s">
        <v>149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149</v>
      </c>
      <c r="P1888" s="47">
        <f>HEX2DEC(RIGHT(Table1323214[[#This Row],[h1]],8))</f>
        <v>0</v>
      </c>
      <c r="Q1888" s="47" t="s">
        <v>149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149</v>
      </c>
      <c r="P1889" s="47">
        <f>HEX2DEC(RIGHT(Table1323214[[#This Row],[h1]],8))</f>
        <v>0</v>
      </c>
      <c r="Q1889" s="47" t="s">
        <v>149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149</v>
      </c>
      <c r="P1890" s="47">
        <f>HEX2DEC(RIGHT(Table1323214[[#This Row],[h1]],8))</f>
        <v>0</v>
      </c>
      <c r="Q1890" s="47" t="s">
        <v>149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149</v>
      </c>
      <c r="P1891" s="47">
        <f>HEX2DEC(RIGHT(Table1323214[[#This Row],[h1]],8))</f>
        <v>0</v>
      </c>
      <c r="Q1891" s="47" t="s">
        <v>149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149</v>
      </c>
      <c r="P1892" s="47">
        <f>HEX2DEC(RIGHT(Table1323214[[#This Row],[h1]],8))</f>
        <v>0</v>
      </c>
      <c r="Q1892" s="47" t="s">
        <v>149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149</v>
      </c>
      <c r="P1893" s="47">
        <f>HEX2DEC(RIGHT(Table1323214[[#This Row],[h1]],8))</f>
        <v>0</v>
      </c>
      <c r="Q1893" s="47" t="s">
        <v>149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149</v>
      </c>
      <c r="P1894" s="47">
        <f>HEX2DEC(RIGHT(Table1323214[[#This Row],[h1]],8))</f>
        <v>0</v>
      </c>
      <c r="Q1894" s="47" t="s">
        <v>149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149</v>
      </c>
      <c r="P1895" s="47">
        <f>HEX2DEC(RIGHT(Table1323214[[#This Row],[h1]],8))</f>
        <v>0</v>
      </c>
      <c r="Q1895" s="47" t="s">
        <v>149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149</v>
      </c>
      <c r="P1896" s="47">
        <f>HEX2DEC(RIGHT(Table1323214[[#This Row],[h1]],8))</f>
        <v>0</v>
      </c>
      <c r="Q1896" s="47" t="s">
        <v>149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149</v>
      </c>
      <c r="P1897" s="47">
        <f>HEX2DEC(RIGHT(Table1323214[[#This Row],[h1]],8))</f>
        <v>0</v>
      </c>
      <c r="Q1897" s="47" t="s">
        <v>149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149</v>
      </c>
      <c r="P1898" s="47">
        <f>HEX2DEC(RIGHT(Table1323214[[#This Row],[h1]],8))</f>
        <v>0</v>
      </c>
      <c r="Q1898" s="47" t="s">
        <v>149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149</v>
      </c>
      <c r="P1899" s="47">
        <f>HEX2DEC(RIGHT(Table1323214[[#This Row],[h1]],8))</f>
        <v>0</v>
      </c>
      <c r="Q1899" s="47" t="s">
        <v>149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149</v>
      </c>
      <c r="P1900" s="47">
        <f>HEX2DEC(RIGHT(Table1323214[[#This Row],[h1]],8))</f>
        <v>0</v>
      </c>
      <c r="Q1900" s="47" t="s">
        <v>149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149</v>
      </c>
      <c r="P1901" s="47">
        <f>HEX2DEC(RIGHT(Table1323214[[#This Row],[h1]],8))</f>
        <v>0</v>
      </c>
      <c r="Q1901" s="47" t="s">
        <v>149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149</v>
      </c>
      <c r="P1902" s="47">
        <f>HEX2DEC(RIGHT(Table1323214[[#This Row],[h1]],8))</f>
        <v>0</v>
      </c>
      <c r="Q1902" s="47" t="s">
        <v>149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149</v>
      </c>
      <c r="P1903" s="47">
        <f>HEX2DEC(RIGHT(Table1323214[[#This Row],[h1]],8))</f>
        <v>0</v>
      </c>
      <c r="Q1903" s="47" t="s">
        <v>149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149</v>
      </c>
      <c r="P1904" s="47">
        <f>HEX2DEC(RIGHT(Table1323214[[#This Row],[h1]],8))</f>
        <v>0</v>
      </c>
      <c r="Q1904" s="47" t="s">
        <v>149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149</v>
      </c>
      <c r="P1905" s="47">
        <f>HEX2DEC(RIGHT(Table1323214[[#This Row],[h1]],8))</f>
        <v>0</v>
      </c>
      <c r="Q1905" s="47" t="s">
        <v>149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149</v>
      </c>
      <c r="P1906" s="47">
        <f>HEX2DEC(RIGHT(Table1323214[[#This Row],[h1]],8))</f>
        <v>0</v>
      </c>
      <c r="Q1906" s="47" t="s">
        <v>149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149</v>
      </c>
      <c r="P1907" s="47">
        <f>HEX2DEC(RIGHT(Table1323214[[#This Row],[h1]],8))</f>
        <v>0</v>
      </c>
      <c r="Q1907" s="47" t="s">
        <v>149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149</v>
      </c>
      <c r="P1908" s="47">
        <f>HEX2DEC(RIGHT(Table1323214[[#This Row],[h1]],8))</f>
        <v>0</v>
      </c>
      <c r="Q1908" s="47" t="s">
        <v>149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149</v>
      </c>
      <c r="P1909" s="47">
        <f>HEX2DEC(RIGHT(Table1323214[[#This Row],[h1]],8))</f>
        <v>0</v>
      </c>
      <c r="Q1909" s="47" t="s">
        <v>149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149</v>
      </c>
      <c r="P1910" s="47">
        <f>HEX2DEC(RIGHT(Table1323214[[#This Row],[h1]],8))</f>
        <v>0</v>
      </c>
      <c r="Q1910" s="47" t="s">
        <v>149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149</v>
      </c>
      <c r="P1911" s="47">
        <f>HEX2DEC(RIGHT(Table1323214[[#This Row],[h1]],8))</f>
        <v>0</v>
      </c>
      <c r="Q1911" s="47" t="s">
        <v>149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149</v>
      </c>
      <c r="P1912" s="47">
        <f>HEX2DEC(RIGHT(Table1323214[[#This Row],[h1]],8))</f>
        <v>0</v>
      </c>
      <c r="Q1912" s="47" t="s">
        <v>149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149</v>
      </c>
      <c r="P1913" s="47">
        <f>HEX2DEC(RIGHT(Table1323214[[#This Row],[h1]],8))</f>
        <v>0</v>
      </c>
      <c r="Q1913" s="47" t="s">
        <v>149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149</v>
      </c>
      <c r="P1914" s="47">
        <f>HEX2DEC(RIGHT(Table1323214[[#This Row],[h1]],8))</f>
        <v>0</v>
      </c>
      <c r="Q1914" s="47" t="s">
        <v>149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149</v>
      </c>
      <c r="P1915" s="47">
        <f>HEX2DEC(RIGHT(Table1323214[[#This Row],[h1]],8))</f>
        <v>0</v>
      </c>
      <c r="Q1915" s="47" t="s">
        <v>149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149</v>
      </c>
      <c r="P1916" s="47">
        <f>HEX2DEC(RIGHT(Table1323214[[#This Row],[h1]],8))</f>
        <v>0</v>
      </c>
      <c r="Q1916" s="47" t="s">
        <v>149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149</v>
      </c>
      <c r="P1917" s="47">
        <f>HEX2DEC(RIGHT(Table1323214[[#This Row],[h1]],8))</f>
        <v>0</v>
      </c>
      <c r="Q1917" s="47" t="s">
        <v>149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149</v>
      </c>
      <c r="P1918" s="47">
        <f>HEX2DEC(RIGHT(Table1323214[[#This Row],[h1]],8))</f>
        <v>0</v>
      </c>
      <c r="Q1918" s="47" t="s">
        <v>149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149</v>
      </c>
      <c r="P1919" s="47">
        <f>HEX2DEC(RIGHT(Table1323214[[#This Row],[h1]],8))</f>
        <v>0</v>
      </c>
      <c r="Q1919" s="47" t="s">
        <v>149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149</v>
      </c>
      <c r="P1920" s="47">
        <f>HEX2DEC(RIGHT(Table1323214[[#This Row],[h1]],8))</f>
        <v>0</v>
      </c>
      <c r="Q1920" s="47" t="s">
        <v>149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149</v>
      </c>
      <c r="P1921" s="47">
        <f>HEX2DEC(RIGHT(Table1323214[[#This Row],[h1]],8))</f>
        <v>0</v>
      </c>
      <c r="Q1921" s="47" t="s">
        <v>149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149</v>
      </c>
      <c r="P1922" s="47">
        <f>HEX2DEC(RIGHT(Table1323214[[#This Row],[h1]],8))</f>
        <v>0</v>
      </c>
      <c r="Q1922" s="47" t="s">
        <v>149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149</v>
      </c>
      <c r="P1923" s="47">
        <f>HEX2DEC(RIGHT(Table1323214[[#This Row],[h1]],8))</f>
        <v>0</v>
      </c>
      <c r="Q1923" s="47" t="s">
        <v>149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149</v>
      </c>
      <c r="P1924" s="47">
        <f>HEX2DEC(RIGHT(Table1323214[[#This Row],[h1]],8))</f>
        <v>0</v>
      </c>
      <c r="Q1924" s="47" t="s">
        <v>149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149</v>
      </c>
      <c r="P1925" s="47">
        <f>HEX2DEC(RIGHT(Table1323214[[#This Row],[h1]],8))</f>
        <v>0</v>
      </c>
      <c r="Q1925" s="47" t="s">
        <v>149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149</v>
      </c>
      <c r="P1926" s="47">
        <f>HEX2DEC(RIGHT(Table1323214[[#This Row],[h1]],8))</f>
        <v>0</v>
      </c>
      <c r="Q1926" s="47" t="s">
        <v>149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149</v>
      </c>
      <c r="P1927" s="47">
        <f>HEX2DEC(RIGHT(Table1323214[[#This Row],[h1]],8))</f>
        <v>0</v>
      </c>
      <c r="Q1927" s="47" t="s">
        <v>149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149</v>
      </c>
      <c r="P1928" s="47">
        <f>HEX2DEC(RIGHT(Table1323214[[#This Row],[h1]],8))</f>
        <v>0</v>
      </c>
      <c r="Q1928" s="47" t="s">
        <v>149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149</v>
      </c>
      <c r="P1929" s="47">
        <f>HEX2DEC(RIGHT(Table1323214[[#This Row],[h1]],8))</f>
        <v>0</v>
      </c>
      <c r="Q1929" s="47" t="s">
        <v>149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149</v>
      </c>
      <c r="P1930" s="47">
        <f>HEX2DEC(RIGHT(Table1323214[[#This Row],[h1]],8))</f>
        <v>0</v>
      </c>
      <c r="Q1930" s="47" t="s">
        <v>149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149</v>
      </c>
      <c r="P1931" s="47">
        <f>HEX2DEC(RIGHT(Table1323214[[#This Row],[h1]],8))</f>
        <v>0</v>
      </c>
      <c r="Q1931" s="47" t="s">
        <v>149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149</v>
      </c>
      <c r="P1932" s="47">
        <f>HEX2DEC(RIGHT(Table1323214[[#This Row],[h1]],8))</f>
        <v>0</v>
      </c>
      <c r="Q1932" s="47" t="s">
        <v>149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149</v>
      </c>
      <c r="P1933" s="47">
        <f>HEX2DEC(RIGHT(Table1323214[[#This Row],[h1]],8))</f>
        <v>0</v>
      </c>
      <c r="Q1933" s="47" t="s">
        <v>149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149</v>
      </c>
      <c r="P1934" s="47">
        <f>HEX2DEC(RIGHT(Table1323214[[#This Row],[h1]],8))</f>
        <v>0</v>
      </c>
      <c r="Q1934" s="47" t="s">
        <v>149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149</v>
      </c>
      <c r="P1935" s="47">
        <f>HEX2DEC(RIGHT(Table1323214[[#This Row],[h1]],8))</f>
        <v>0</v>
      </c>
      <c r="Q1935" s="47" t="s">
        <v>149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149</v>
      </c>
      <c r="P1936" s="47">
        <f>HEX2DEC(RIGHT(Table1323214[[#This Row],[h1]],8))</f>
        <v>0</v>
      </c>
      <c r="Q1936" s="47" t="s">
        <v>149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149</v>
      </c>
      <c r="P1937" s="47">
        <f>HEX2DEC(RIGHT(Table1323214[[#This Row],[h1]],8))</f>
        <v>0</v>
      </c>
      <c r="Q1937" s="47" t="s">
        <v>149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149</v>
      </c>
      <c r="P1938" s="47">
        <f>HEX2DEC(RIGHT(Table1323214[[#This Row],[h1]],8))</f>
        <v>0</v>
      </c>
      <c r="Q1938" s="47" t="s">
        <v>149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149</v>
      </c>
      <c r="P1939" s="47">
        <f>HEX2DEC(RIGHT(Table1323214[[#This Row],[h1]],8))</f>
        <v>0</v>
      </c>
      <c r="Q1939" s="47" t="s">
        <v>149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149</v>
      </c>
      <c r="P1940" s="47">
        <f>HEX2DEC(RIGHT(Table1323214[[#This Row],[h1]],8))</f>
        <v>0</v>
      </c>
      <c r="Q1940" s="47" t="s">
        <v>149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149</v>
      </c>
      <c r="P1941" s="47">
        <f>HEX2DEC(RIGHT(Table1323214[[#This Row],[h1]],8))</f>
        <v>0</v>
      </c>
      <c r="Q1941" s="47" t="s">
        <v>149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149</v>
      </c>
      <c r="P1942" s="47">
        <f>HEX2DEC(RIGHT(Table1323214[[#This Row],[h1]],8))</f>
        <v>0</v>
      </c>
      <c r="Q1942" s="47" t="s">
        <v>149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149</v>
      </c>
      <c r="P1943" s="47">
        <f>HEX2DEC(RIGHT(Table1323214[[#This Row],[h1]],8))</f>
        <v>0</v>
      </c>
      <c r="Q1943" s="47" t="s">
        <v>149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149</v>
      </c>
      <c r="P1944" s="47">
        <f>HEX2DEC(RIGHT(Table1323214[[#This Row],[h1]],8))</f>
        <v>0</v>
      </c>
      <c r="Q1944" s="47" t="s">
        <v>149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149</v>
      </c>
      <c r="P1945" s="47">
        <f>HEX2DEC(RIGHT(Table1323214[[#This Row],[h1]],8))</f>
        <v>0</v>
      </c>
      <c r="Q1945" s="47" t="s">
        <v>149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149</v>
      </c>
      <c r="P1946" s="47">
        <f>HEX2DEC(RIGHT(Table1323214[[#This Row],[h1]],8))</f>
        <v>0</v>
      </c>
      <c r="Q1946" s="47" t="s">
        <v>149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149</v>
      </c>
      <c r="P1947" s="47">
        <f>HEX2DEC(RIGHT(Table1323214[[#This Row],[h1]],8))</f>
        <v>0</v>
      </c>
      <c r="Q1947" s="47" t="s">
        <v>149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149</v>
      </c>
      <c r="P1948" s="47">
        <f>HEX2DEC(RIGHT(Table1323214[[#This Row],[h1]],8))</f>
        <v>0</v>
      </c>
      <c r="Q1948" s="47" t="s">
        <v>149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149</v>
      </c>
      <c r="P1949" s="47">
        <f>HEX2DEC(RIGHT(Table1323214[[#This Row],[h1]],8))</f>
        <v>0</v>
      </c>
      <c r="Q1949" s="47" t="s">
        <v>149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149</v>
      </c>
      <c r="P1950" s="47">
        <f>HEX2DEC(RIGHT(Table1323214[[#This Row],[h1]],8))</f>
        <v>0</v>
      </c>
      <c r="Q1950" s="47" t="s">
        <v>149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149</v>
      </c>
      <c r="P1951" s="47">
        <f>HEX2DEC(RIGHT(Table1323214[[#This Row],[h1]],8))</f>
        <v>0</v>
      </c>
      <c r="Q1951" s="47" t="s">
        <v>149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149</v>
      </c>
      <c r="P1952" s="47">
        <f>HEX2DEC(RIGHT(Table1323214[[#This Row],[h1]],8))</f>
        <v>0</v>
      </c>
      <c r="Q1952" s="47" t="s">
        <v>149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149</v>
      </c>
      <c r="P1953" s="47">
        <f>HEX2DEC(RIGHT(Table1323214[[#This Row],[h1]],8))</f>
        <v>0</v>
      </c>
      <c r="Q1953" s="47" t="s">
        <v>149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149</v>
      </c>
      <c r="P1954" s="47">
        <f>HEX2DEC(RIGHT(Table1323214[[#This Row],[h1]],8))</f>
        <v>0</v>
      </c>
      <c r="Q1954" s="47" t="s">
        <v>149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149</v>
      </c>
      <c r="P1955" s="47">
        <f>HEX2DEC(RIGHT(Table1323214[[#This Row],[h1]],8))</f>
        <v>0</v>
      </c>
      <c r="Q1955" s="47" t="s">
        <v>149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149</v>
      </c>
      <c r="P1956" s="47">
        <f>HEX2DEC(RIGHT(Table1323214[[#This Row],[h1]],8))</f>
        <v>0</v>
      </c>
      <c r="Q1956" s="47" t="s">
        <v>149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149</v>
      </c>
      <c r="P1957" s="47">
        <f>HEX2DEC(RIGHT(Table1323214[[#This Row],[h1]],8))</f>
        <v>0</v>
      </c>
      <c r="Q1957" s="47" t="s">
        <v>149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149</v>
      </c>
      <c r="P1958" s="47">
        <f>HEX2DEC(RIGHT(Table1323214[[#This Row],[h1]],8))</f>
        <v>0</v>
      </c>
      <c r="Q1958" s="47" t="s">
        <v>149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149</v>
      </c>
      <c r="P1959" s="47">
        <f>HEX2DEC(RIGHT(Table1323214[[#This Row],[h1]],8))</f>
        <v>0</v>
      </c>
      <c r="Q1959" s="47" t="s">
        <v>149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149</v>
      </c>
      <c r="P1960" s="47">
        <f>HEX2DEC(RIGHT(Table1323214[[#This Row],[h1]],8))</f>
        <v>0</v>
      </c>
      <c r="Q1960" s="47" t="s">
        <v>149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149</v>
      </c>
      <c r="P1961" s="47">
        <f>HEX2DEC(RIGHT(Table1323214[[#This Row],[h1]],8))</f>
        <v>0</v>
      </c>
      <c r="Q1961" s="47" t="s">
        <v>149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149</v>
      </c>
      <c r="P1962" s="47">
        <f>HEX2DEC(RIGHT(Table1323214[[#This Row],[h1]],8))</f>
        <v>0</v>
      </c>
      <c r="Q1962" s="47" t="s">
        <v>149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149</v>
      </c>
      <c r="P1963" s="47">
        <f>HEX2DEC(RIGHT(Table1323214[[#This Row],[h1]],8))</f>
        <v>0</v>
      </c>
      <c r="Q1963" s="47" t="s">
        <v>149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149</v>
      </c>
      <c r="P1964" s="47">
        <f>HEX2DEC(RIGHT(Table1323214[[#This Row],[h1]],8))</f>
        <v>0</v>
      </c>
      <c r="Q1964" s="47" t="s">
        <v>149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149</v>
      </c>
      <c r="P1965" s="47">
        <f>HEX2DEC(RIGHT(Table1323214[[#This Row],[h1]],8))</f>
        <v>0</v>
      </c>
      <c r="Q1965" s="47" t="s">
        <v>149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149</v>
      </c>
      <c r="P1966" s="47">
        <f>HEX2DEC(RIGHT(Table1323214[[#This Row],[h1]],8))</f>
        <v>0</v>
      </c>
      <c r="Q1966" s="47" t="s">
        <v>149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149</v>
      </c>
      <c r="P1967" s="47">
        <f>HEX2DEC(RIGHT(Table1323214[[#This Row],[h1]],8))</f>
        <v>0</v>
      </c>
      <c r="Q1967" s="47" t="s">
        <v>149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149</v>
      </c>
      <c r="P1968" s="47">
        <f>HEX2DEC(RIGHT(Table1323214[[#This Row],[h1]],8))</f>
        <v>0</v>
      </c>
      <c r="Q1968" s="47" t="s">
        <v>149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149</v>
      </c>
      <c r="P1969" s="47">
        <f>HEX2DEC(RIGHT(Table1323214[[#This Row],[h1]],8))</f>
        <v>0</v>
      </c>
      <c r="Q1969" s="47" t="s">
        <v>149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149</v>
      </c>
      <c r="P1970" s="47">
        <f>HEX2DEC(RIGHT(Table1323214[[#This Row],[h1]],8))</f>
        <v>0</v>
      </c>
      <c r="Q1970" s="47" t="s">
        <v>149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149</v>
      </c>
      <c r="P1971" s="47">
        <f>HEX2DEC(RIGHT(Table1323214[[#This Row],[h1]],8))</f>
        <v>0</v>
      </c>
      <c r="Q1971" s="47" t="s">
        <v>149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149</v>
      </c>
      <c r="P1972" s="47">
        <f>HEX2DEC(RIGHT(Table1323214[[#This Row],[h1]],8))</f>
        <v>0</v>
      </c>
      <c r="Q1972" s="47" t="s">
        <v>149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149</v>
      </c>
      <c r="P1973" s="47">
        <f>HEX2DEC(RIGHT(Table1323214[[#This Row],[h1]],8))</f>
        <v>0</v>
      </c>
      <c r="Q1973" s="47" t="s">
        <v>149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149</v>
      </c>
      <c r="P1974" s="47">
        <f>HEX2DEC(RIGHT(Table1323214[[#This Row],[h1]],8))</f>
        <v>0</v>
      </c>
      <c r="Q1974" s="47" t="s">
        <v>149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149</v>
      </c>
      <c r="P1975" s="47">
        <f>HEX2DEC(RIGHT(Table1323214[[#This Row],[h1]],8))</f>
        <v>0</v>
      </c>
      <c r="Q1975" s="47" t="s">
        <v>149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149</v>
      </c>
      <c r="P1976" s="47">
        <f>HEX2DEC(RIGHT(Table1323214[[#This Row],[h1]],8))</f>
        <v>0</v>
      </c>
      <c r="Q1976" s="47" t="s">
        <v>149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149</v>
      </c>
      <c r="P1977" s="47">
        <f>HEX2DEC(RIGHT(Table1323214[[#This Row],[h1]],8))</f>
        <v>0</v>
      </c>
      <c r="Q1977" s="47" t="s">
        <v>149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149</v>
      </c>
      <c r="P1978" s="47">
        <f>HEX2DEC(RIGHT(Table1323214[[#This Row],[h1]],8))</f>
        <v>0</v>
      </c>
      <c r="Q1978" s="47" t="s">
        <v>149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149</v>
      </c>
      <c r="P1979" s="47">
        <f>HEX2DEC(RIGHT(Table1323214[[#This Row],[h1]],8))</f>
        <v>0</v>
      </c>
      <c r="Q1979" s="47" t="s">
        <v>149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149</v>
      </c>
      <c r="P1980" s="47">
        <f>HEX2DEC(RIGHT(Table1323214[[#This Row],[h1]],8))</f>
        <v>0</v>
      </c>
      <c r="Q1980" s="47" t="s">
        <v>149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149</v>
      </c>
      <c r="P1981" s="47">
        <f>HEX2DEC(RIGHT(Table1323214[[#This Row],[h1]],8))</f>
        <v>0</v>
      </c>
      <c r="Q1981" s="47" t="s">
        <v>149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149</v>
      </c>
      <c r="P1982" s="47">
        <f>HEX2DEC(RIGHT(Table1323214[[#This Row],[h1]],8))</f>
        <v>0</v>
      </c>
      <c r="Q1982" s="47" t="s">
        <v>149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149</v>
      </c>
      <c r="P1983" s="47">
        <f>HEX2DEC(RIGHT(Table1323214[[#This Row],[h1]],8))</f>
        <v>0</v>
      </c>
      <c r="Q1983" s="47" t="s">
        <v>149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149</v>
      </c>
      <c r="P1984" s="47">
        <f>HEX2DEC(RIGHT(Table1323214[[#This Row],[h1]],8))</f>
        <v>0</v>
      </c>
      <c r="Q1984" s="47" t="s">
        <v>149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149</v>
      </c>
      <c r="P1985" s="47">
        <f>HEX2DEC(RIGHT(Table1323214[[#This Row],[h1]],8))</f>
        <v>0</v>
      </c>
      <c r="Q1985" s="47" t="s">
        <v>149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149</v>
      </c>
      <c r="P1986" s="47">
        <f>HEX2DEC(RIGHT(Table1323214[[#This Row],[h1]],8))</f>
        <v>0</v>
      </c>
      <c r="Q1986" s="47" t="s">
        <v>149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149</v>
      </c>
      <c r="P1987" s="47">
        <f>HEX2DEC(RIGHT(Table1323214[[#This Row],[h1]],8))</f>
        <v>0</v>
      </c>
      <c r="Q1987" s="47" t="s">
        <v>149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149</v>
      </c>
      <c r="P1988" s="47">
        <f>HEX2DEC(RIGHT(Table1323214[[#This Row],[h1]],8))</f>
        <v>0</v>
      </c>
      <c r="Q1988" s="47" t="s">
        <v>149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149</v>
      </c>
      <c r="P1989" s="47">
        <f>HEX2DEC(RIGHT(Table1323214[[#This Row],[h1]],8))</f>
        <v>0</v>
      </c>
      <c r="Q1989" s="47" t="s">
        <v>149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149</v>
      </c>
      <c r="P1990" s="47">
        <f>HEX2DEC(RIGHT(Table1323214[[#This Row],[h1]],8))</f>
        <v>0</v>
      </c>
      <c r="Q1990" s="47" t="s">
        <v>149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149</v>
      </c>
      <c r="P1991" s="47">
        <f>HEX2DEC(RIGHT(Table1323214[[#This Row],[h1]],8))</f>
        <v>0</v>
      </c>
      <c r="Q1991" s="47" t="s">
        <v>149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149</v>
      </c>
      <c r="P1992" s="47">
        <f>HEX2DEC(RIGHT(Table1323214[[#This Row],[h1]],8))</f>
        <v>0</v>
      </c>
      <c r="Q1992" s="47" t="s">
        <v>149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149</v>
      </c>
      <c r="P1993" s="47">
        <f>HEX2DEC(RIGHT(Table1323214[[#This Row],[h1]],8))</f>
        <v>0</v>
      </c>
      <c r="Q1993" s="47" t="s">
        <v>149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149</v>
      </c>
      <c r="P1994" s="47">
        <f>HEX2DEC(RIGHT(Table1323214[[#This Row],[h1]],8))</f>
        <v>0</v>
      </c>
      <c r="Q1994" s="47" t="s">
        <v>149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149</v>
      </c>
      <c r="P1995" s="47">
        <f>HEX2DEC(RIGHT(Table1323214[[#This Row],[h1]],8))</f>
        <v>0</v>
      </c>
      <c r="Q1995" s="47" t="s">
        <v>149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149</v>
      </c>
      <c r="P1996" s="47">
        <f>HEX2DEC(RIGHT(Table1323214[[#This Row],[h1]],8))</f>
        <v>0</v>
      </c>
      <c r="Q1996" s="47" t="s">
        <v>149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149</v>
      </c>
      <c r="P1997" s="47">
        <f>HEX2DEC(RIGHT(Table1323214[[#This Row],[h1]],8))</f>
        <v>0</v>
      </c>
      <c r="Q1997" s="47" t="s">
        <v>149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149</v>
      </c>
      <c r="P1998" s="47">
        <f>HEX2DEC(RIGHT(Table1323214[[#This Row],[h1]],8))</f>
        <v>0</v>
      </c>
      <c r="Q1998" s="47" t="s">
        <v>149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149</v>
      </c>
      <c r="P1999" s="47">
        <f>HEX2DEC(RIGHT(Table1323214[[#This Row],[h1]],8))</f>
        <v>0</v>
      </c>
      <c r="Q1999" s="47" t="s">
        <v>149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149</v>
      </c>
      <c r="P2000" s="47">
        <f>HEX2DEC(RIGHT(Table1323214[[#This Row],[h1]],8))</f>
        <v>0</v>
      </c>
      <c r="Q2000" s="47" t="s">
        <v>149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149</v>
      </c>
      <c r="P2001" s="47">
        <f>HEX2DEC(RIGHT(Table1323214[[#This Row],[h1]],8))</f>
        <v>0</v>
      </c>
      <c r="Q2001" s="47" t="s">
        <v>149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149</v>
      </c>
      <c r="P2002" s="47">
        <f>HEX2DEC(RIGHT(Table1323214[[#This Row],[h1]],8))</f>
        <v>0</v>
      </c>
      <c r="Q2002" s="47" t="s">
        <v>149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149</v>
      </c>
      <c r="P2003" s="47">
        <f>HEX2DEC(RIGHT(Table1323214[[#This Row],[h1]],8))</f>
        <v>0</v>
      </c>
      <c r="Q2003" s="47" t="s">
        <v>149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149</v>
      </c>
      <c r="P2004" s="47">
        <f>HEX2DEC(RIGHT(Table1323214[[#This Row],[h1]],8))</f>
        <v>0</v>
      </c>
      <c r="Q2004" s="47" t="s">
        <v>149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149</v>
      </c>
      <c r="P2005" s="47">
        <f>HEX2DEC(RIGHT(Table1323214[[#This Row],[h1]],8))</f>
        <v>0</v>
      </c>
      <c r="Q2005" s="47" t="s">
        <v>149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149</v>
      </c>
      <c r="P2006" s="47">
        <f>HEX2DEC(RIGHT(Table1323214[[#This Row],[h1]],8))</f>
        <v>0</v>
      </c>
      <c r="Q2006" s="47" t="s">
        <v>149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149</v>
      </c>
      <c r="P2007" s="47">
        <f>HEX2DEC(RIGHT(Table1323214[[#This Row],[h1]],8))</f>
        <v>0</v>
      </c>
      <c r="Q2007" s="47" t="s">
        <v>149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149</v>
      </c>
      <c r="P2008" s="47">
        <f>HEX2DEC(RIGHT(Table1323214[[#This Row],[h1]],8))</f>
        <v>0</v>
      </c>
      <c r="Q2008" s="47" t="s">
        <v>149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149</v>
      </c>
      <c r="P2009" s="47">
        <f>HEX2DEC(RIGHT(Table1323214[[#This Row],[h1]],8))</f>
        <v>0</v>
      </c>
      <c r="Q2009" s="47" t="s">
        <v>149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149</v>
      </c>
      <c r="P2010" s="47">
        <f>HEX2DEC(RIGHT(Table1323214[[#This Row],[h1]],8))</f>
        <v>0</v>
      </c>
      <c r="Q2010" s="47" t="s">
        <v>149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149</v>
      </c>
      <c r="P2011" s="47">
        <f>HEX2DEC(RIGHT(Table1323214[[#This Row],[h1]],8))</f>
        <v>0</v>
      </c>
      <c r="Q2011" s="47" t="s">
        <v>149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149</v>
      </c>
      <c r="P2012" s="47">
        <f>HEX2DEC(RIGHT(Table1323214[[#This Row],[h1]],8))</f>
        <v>0</v>
      </c>
      <c r="Q2012" s="47" t="s">
        <v>149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149</v>
      </c>
      <c r="P2013" s="47">
        <f>HEX2DEC(RIGHT(Table1323214[[#This Row],[h1]],8))</f>
        <v>0</v>
      </c>
      <c r="Q2013" s="47" t="s">
        <v>149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149</v>
      </c>
      <c r="P2014" s="47">
        <f>HEX2DEC(RIGHT(Table1323214[[#This Row],[h1]],8))</f>
        <v>0</v>
      </c>
      <c r="Q2014" s="47" t="s">
        <v>149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149</v>
      </c>
      <c r="P2015" s="47">
        <f>HEX2DEC(RIGHT(Table1323214[[#This Row],[h1]],8))</f>
        <v>0</v>
      </c>
      <c r="Q2015" s="47" t="s">
        <v>149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149</v>
      </c>
      <c r="P2016" s="47">
        <f>HEX2DEC(RIGHT(Table1323214[[#This Row],[h1]],8))</f>
        <v>0</v>
      </c>
      <c r="Q2016" s="47" t="s">
        <v>149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149</v>
      </c>
      <c r="P2017" s="47">
        <f>HEX2DEC(RIGHT(Table1323214[[#This Row],[h1]],8))</f>
        <v>0</v>
      </c>
      <c r="Q2017" s="47" t="s">
        <v>149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149</v>
      </c>
      <c r="P2018" s="47">
        <f>HEX2DEC(RIGHT(Table1323214[[#This Row],[h1]],8))</f>
        <v>0</v>
      </c>
      <c r="Q2018" s="47" t="s">
        <v>149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149</v>
      </c>
      <c r="P2019" s="47">
        <f>HEX2DEC(RIGHT(Table1323214[[#This Row],[h1]],8))</f>
        <v>0</v>
      </c>
      <c r="Q2019" s="47" t="s">
        <v>149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149</v>
      </c>
      <c r="P2020" s="47">
        <f>HEX2DEC(RIGHT(Table1323214[[#This Row],[h1]],8))</f>
        <v>0</v>
      </c>
      <c r="Q2020" s="47" t="s">
        <v>149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149</v>
      </c>
      <c r="P2021" s="47">
        <f>HEX2DEC(RIGHT(Table1323214[[#This Row],[h1]],8))</f>
        <v>0</v>
      </c>
      <c r="Q2021" s="47" t="s">
        <v>149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149</v>
      </c>
      <c r="P2022" s="47">
        <f>HEX2DEC(RIGHT(Table1323214[[#This Row],[h1]],8))</f>
        <v>0</v>
      </c>
      <c r="Q2022" s="47" t="s">
        <v>149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149</v>
      </c>
      <c r="P2023" s="47">
        <f>HEX2DEC(RIGHT(Table1323214[[#This Row],[h1]],8))</f>
        <v>0</v>
      </c>
      <c r="Q2023" s="47" t="s">
        <v>149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149</v>
      </c>
      <c r="P2024" s="47">
        <f>HEX2DEC(RIGHT(Table1323214[[#This Row],[h1]],8))</f>
        <v>0</v>
      </c>
      <c r="Q2024" s="47" t="s">
        <v>149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149</v>
      </c>
      <c r="P2025" s="47">
        <f>HEX2DEC(RIGHT(Table1323214[[#This Row],[h1]],8))</f>
        <v>0</v>
      </c>
      <c r="Q2025" s="47" t="s">
        <v>149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149</v>
      </c>
      <c r="P2026" s="47">
        <f>HEX2DEC(RIGHT(Table1323214[[#This Row],[h1]],8))</f>
        <v>0</v>
      </c>
      <c r="Q2026" s="47" t="s">
        <v>149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149</v>
      </c>
      <c r="P2027" s="47">
        <f>HEX2DEC(RIGHT(Table1323214[[#This Row],[h1]],8))</f>
        <v>0</v>
      </c>
      <c r="Q2027" s="47" t="s">
        <v>149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149</v>
      </c>
      <c r="P2028" s="47">
        <f>HEX2DEC(RIGHT(Table1323214[[#This Row],[h1]],8))</f>
        <v>0</v>
      </c>
      <c r="Q2028" s="47" t="s">
        <v>149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149</v>
      </c>
      <c r="P2029" s="47">
        <f>HEX2DEC(RIGHT(Table1323214[[#This Row],[h1]],8))</f>
        <v>0</v>
      </c>
      <c r="Q2029" s="47" t="s">
        <v>149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149</v>
      </c>
      <c r="P2030" s="47">
        <f>HEX2DEC(RIGHT(Table1323214[[#This Row],[h1]],8))</f>
        <v>0</v>
      </c>
      <c r="Q2030" s="47" t="s">
        <v>149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149</v>
      </c>
      <c r="P2031" s="47">
        <f>HEX2DEC(RIGHT(Table1323214[[#This Row],[h1]],8))</f>
        <v>0</v>
      </c>
      <c r="Q2031" s="47" t="s">
        <v>149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149</v>
      </c>
      <c r="P2032" s="47">
        <f>HEX2DEC(RIGHT(Table1323214[[#This Row],[h1]],8))</f>
        <v>0</v>
      </c>
      <c r="Q2032" s="47" t="s">
        <v>149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149</v>
      </c>
      <c r="P2033" s="47">
        <f>HEX2DEC(RIGHT(Table1323214[[#This Row],[h1]],8))</f>
        <v>0</v>
      </c>
      <c r="Q2033" s="47" t="s">
        <v>149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149</v>
      </c>
      <c r="P2034" s="47">
        <f>HEX2DEC(RIGHT(Table1323214[[#This Row],[h1]],8))</f>
        <v>0</v>
      </c>
      <c r="Q2034" s="47" t="s">
        <v>149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149</v>
      </c>
      <c r="P2035" s="47">
        <f>HEX2DEC(RIGHT(Table1323214[[#This Row],[h1]],8))</f>
        <v>0</v>
      </c>
      <c r="Q2035" s="47" t="s">
        <v>149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149</v>
      </c>
      <c r="P2036" s="47">
        <f>HEX2DEC(RIGHT(Table1323214[[#This Row],[h1]],8))</f>
        <v>0</v>
      </c>
      <c r="Q2036" s="47" t="s">
        <v>149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149</v>
      </c>
      <c r="P2037" s="47">
        <f>HEX2DEC(RIGHT(Table1323214[[#This Row],[h1]],8))</f>
        <v>0</v>
      </c>
      <c r="Q2037" s="47" t="s">
        <v>149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149</v>
      </c>
      <c r="P2038" s="47">
        <f>HEX2DEC(RIGHT(Table1323214[[#This Row],[h1]],8))</f>
        <v>0</v>
      </c>
      <c r="Q2038" s="47" t="s">
        <v>149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149</v>
      </c>
      <c r="P2039" s="47">
        <f>HEX2DEC(RIGHT(Table1323214[[#This Row],[h1]],8))</f>
        <v>0</v>
      </c>
      <c r="Q2039" s="47" t="s">
        <v>149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149</v>
      </c>
      <c r="P2040" s="47">
        <f>HEX2DEC(RIGHT(Table1323214[[#This Row],[h1]],8))</f>
        <v>0</v>
      </c>
      <c r="Q2040" s="47" t="s">
        <v>149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149</v>
      </c>
      <c r="P2041" s="47">
        <f>HEX2DEC(RIGHT(Table1323214[[#This Row],[h1]],8))</f>
        <v>0</v>
      </c>
      <c r="Q2041" s="47" t="s">
        <v>149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48</v>
      </c>
      <c r="Q2042" s="47" t="s">
        <v>48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48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140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org!$B$79:$B$94</xm:f>
          </x14:formula1>
          <xm:sqref>A5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4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4" bestFit="1" customWidth="1"/>
    <col min="16" max="16" width="12.25" style="54" customWidth="1"/>
    <col min="17" max="17" width="14.125" style="54" bestFit="1" customWidth="1"/>
    <col min="18" max="18" width="14.125" style="54" customWidth="1"/>
    <col min="19" max="19" width="1.75" style="54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4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4" customFormat="1" x14ac:dyDescent="0.3">
      <c r="A2" s="9" t="s">
        <v>52</v>
      </c>
      <c r="B2" s="10" t="s">
        <v>55</v>
      </c>
      <c r="D2" s="60" t="s">
        <v>50</v>
      </c>
      <c r="E2" s="60"/>
      <c r="F2" s="60"/>
      <c r="G2" s="60"/>
      <c r="I2" s="60" t="s">
        <v>141</v>
      </c>
      <c r="J2" s="60"/>
      <c r="K2" s="11"/>
      <c r="L2" s="60" t="s">
        <v>142</v>
      </c>
      <c r="M2" s="60"/>
      <c r="O2" s="60" t="s">
        <v>210</v>
      </c>
      <c r="P2" s="60"/>
      <c r="Q2" s="60"/>
      <c r="R2" s="60"/>
      <c r="T2" s="60" t="s">
        <v>51</v>
      </c>
      <c r="U2" s="60"/>
      <c r="V2" s="60"/>
      <c r="W2" s="60"/>
    </row>
    <row r="3" spans="1:23" s="54" customFormat="1" x14ac:dyDescent="0.3">
      <c r="A3" s="12" t="s">
        <v>53</v>
      </c>
      <c r="C3" s="54" t="s">
        <v>44</v>
      </c>
      <c r="D3" s="54" t="s">
        <v>9</v>
      </c>
      <c r="E3" s="54" t="s">
        <v>10</v>
      </c>
      <c r="F3" s="54" t="s">
        <v>11</v>
      </c>
      <c r="G3" s="54" t="s">
        <v>157</v>
      </c>
      <c r="I3" s="54" t="s">
        <v>6</v>
      </c>
      <c r="J3" s="54" t="s">
        <v>7</v>
      </c>
      <c r="L3" s="54" t="s">
        <v>6</v>
      </c>
      <c r="M3" s="54" t="s">
        <v>7</v>
      </c>
      <c r="O3" s="54" t="s">
        <v>150</v>
      </c>
      <c r="P3" s="34" t="s">
        <v>151</v>
      </c>
      <c r="Q3" s="54" t="s">
        <v>152</v>
      </c>
      <c r="R3" s="54" t="s">
        <v>153</v>
      </c>
      <c r="T3" s="54" t="s">
        <v>5</v>
      </c>
      <c r="U3" s="54" t="s">
        <v>6</v>
      </c>
      <c r="V3" s="54" t="s">
        <v>8</v>
      </c>
      <c r="W3" s="54" t="s">
        <v>7</v>
      </c>
    </row>
    <row r="4" spans="1:23" s="54" customFormat="1" x14ac:dyDescent="0.3">
      <c r="A4" s="12" t="s">
        <v>54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4" customFormat="1" x14ac:dyDescent="0.3">
      <c r="A5" s="12" t="s">
        <v>734</v>
      </c>
      <c r="B5" s="54" t="str">
        <f>A3&amp;"."&amp;A4&amp;"."&amp;A5&amp;A6&amp;"."</f>
        <v>SCL3.TS.EVRUP001.</v>
      </c>
      <c r="C5" s="41"/>
      <c r="D5" s="13"/>
      <c r="E5" s="13"/>
      <c r="F5" s="13" t="s">
        <v>137</v>
      </c>
      <c r="G5" s="13"/>
      <c r="I5" s="13" t="s">
        <v>49</v>
      </c>
      <c r="J5" s="13" t="s">
        <v>47</v>
      </c>
      <c r="L5" s="13" t="s">
        <v>138</v>
      </c>
      <c r="M5" s="14" t="s">
        <v>139</v>
      </c>
      <c r="O5" s="13" t="s">
        <v>102</v>
      </c>
      <c r="P5" s="13"/>
      <c r="Q5" s="13" t="s">
        <v>103</v>
      </c>
      <c r="R5" s="14"/>
      <c r="T5" s="13"/>
      <c r="U5" s="13"/>
      <c r="V5" s="13"/>
      <c r="W5" s="13"/>
    </row>
    <row r="6" spans="1:23" s="54" customFormat="1" x14ac:dyDescent="0.3">
      <c r="A6" s="12" t="s">
        <v>62</v>
      </c>
      <c r="B6" s="54" t="str">
        <f>A3&amp;":"&amp;A4&amp;":"&amp;A5&amp;A6&amp;":"</f>
        <v>SCL3:TS:EVRUP001:</v>
      </c>
      <c r="C6" s="41"/>
      <c r="D6" s="13"/>
      <c r="E6" s="13" t="s">
        <v>143</v>
      </c>
      <c r="F6" s="13" t="s">
        <v>105</v>
      </c>
      <c r="G6" s="13"/>
      <c r="I6" s="13"/>
      <c r="J6" s="13" t="s">
        <v>104</v>
      </c>
      <c r="L6" s="13"/>
      <c r="M6" s="13" t="s">
        <v>104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159</v>
      </c>
      <c r="E7" s="16"/>
      <c r="F7" s="16"/>
      <c r="G7" s="17"/>
      <c r="H7" s="54"/>
      <c r="I7" s="28" t="s">
        <v>340</v>
      </c>
      <c r="J7" s="29" t="s">
        <v>341</v>
      </c>
      <c r="K7" s="30"/>
      <c r="L7" s="28" t="s">
        <v>342</v>
      </c>
      <c r="M7" s="29" t="s">
        <v>343</v>
      </c>
      <c r="O7" s="18" t="s">
        <v>211</v>
      </c>
      <c r="P7" s="18"/>
      <c r="Q7" s="18" t="s">
        <v>212</v>
      </c>
    </row>
    <row r="8" spans="1:23" x14ac:dyDescent="0.3">
      <c r="C8" s="42"/>
      <c r="G8" s="19"/>
      <c r="H8" s="54"/>
      <c r="I8" s="20">
        <v>32768</v>
      </c>
      <c r="J8" s="21">
        <v>10</v>
      </c>
      <c r="K8" s="54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4"/>
      <c r="I9" s="20">
        <v>0</v>
      </c>
      <c r="J9" s="21">
        <v>10</v>
      </c>
      <c r="K9" s="54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57</v>
      </c>
      <c r="D10" s="38"/>
      <c r="E10" s="38"/>
      <c r="F10" s="38"/>
      <c r="G10" s="38"/>
      <c r="H10" s="54"/>
      <c r="I10" s="24">
        <v>0</v>
      </c>
      <c r="J10" s="24">
        <v>20</v>
      </c>
      <c r="K10" s="54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213</v>
      </c>
      <c r="G11" s="33">
        <v>500</v>
      </c>
      <c r="H11" s="54"/>
      <c r="I11" s="24">
        <v>0</v>
      </c>
      <c r="J11" s="24">
        <v>20</v>
      </c>
      <c r="K11" s="54"/>
      <c r="L11" s="24">
        <v>11</v>
      </c>
      <c r="M11" s="24">
        <v>50000</v>
      </c>
      <c r="O11" s="54" t="s">
        <v>702</v>
      </c>
      <c r="P11" s="54">
        <f>HEX2DEC(RIGHT(Table132321432[[#This Row],[h1]],8))</f>
        <v>65537</v>
      </c>
      <c r="Q11" s="54" t="s">
        <v>149</v>
      </c>
      <c r="R11" s="54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4"/>
      <c r="I12" s="24">
        <v>0</v>
      </c>
      <c r="J12" s="24">
        <v>20</v>
      </c>
      <c r="K12" s="54"/>
      <c r="L12" s="24">
        <v>12</v>
      </c>
      <c r="M12" s="24">
        <v>50000</v>
      </c>
      <c r="O12" s="54" t="s">
        <v>703</v>
      </c>
      <c r="P12" s="54">
        <f>HEX2DEC(RIGHT(Table132321432[[#This Row],[h1]],8))</f>
        <v>131074</v>
      </c>
      <c r="Q12" s="54" t="s">
        <v>149</v>
      </c>
      <c r="R12" s="54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144</v>
      </c>
      <c r="H13" s="54"/>
      <c r="I13" s="20" t="s">
        <v>48</v>
      </c>
      <c r="J13" s="24">
        <v>50000</v>
      </c>
      <c r="K13" s="54"/>
      <c r="L13" s="24">
        <v>13</v>
      </c>
      <c r="M13" s="24">
        <v>50000</v>
      </c>
      <c r="O13" s="54" t="s">
        <v>704</v>
      </c>
      <c r="P13" s="54">
        <f>HEX2DEC(RIGHT(Table132321432[[#This Row],[h1]],8))</f>
        <v>262148</v>
      </c>
      <c r="Q13" s="54" t="s">
        <v>149</v>
      </c>
      <c r="R13" s="54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214</v>
      </c>
      <c r="G14" s="33">
        <v>0</v>
      </c>
      <c r="H14" s="54"/>
      <c r="J14" s="24">
        <v>50000</v>
      </c>
      <c r="K14" s="54"/>
      <c r="L14" s="24">
        <v>14</v>
      </c>
      <c r="M14" s="24">
        <v>50000</v>
      </c>
      <c r="O14" s="54" t="s">
        <v>705</v>
      </c>
      <c r="P14" s="54">
        <f>HEX2DEC(RIGHT(Table132321432[[#This Row],[h1]],8))</f>
        <v>524296</v>
      </c>
      <c r="Q14" s="54" t="s">
        <v>149</v>
      </c>
      <c r="R14" s="54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215</v>
      </c>
      <c r="G15" s="33">
        <v>0</v>
      </c>
      <c r="H15" s="54"/>
      <c r="J15" s="24">
        <v>50000</v>
      </c>
      <c r="K15" s="54"/>
      <c r="L15" s="24">
        <v>15</v>
      </c>
      <c r="M15" s="24">
        <v>50000</v>
      </c>
      <c r="O15" s="54" t="s">
        <v>706</v>
      </c>
      <c r="P15" s="54">
        <f>HEX2DEC(RIGHT(Table132321432[[#This Row],[h1]],8))</f>
        <v>1048592</v>
      </c>
      <c r="Q15" s="54" t="s">
        <v>149</v>
      </c>
      <c r="R15" s="54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216</v>
      </c>
      <c r="G16" s="33">
        <v>0</v>
      </c>
      <c r="H16" s="54"/>
      <c r="J16" s="24">
        <v>50000</v>
      </c>
      <c r="K16" s="54"/>
      <c r="L16" s="24">
        <v>16</v>
      </c>
      <c r="M16" s="24">
        <v>50000</v>
      </c>
      <c r="O16" s="54" t="s">
        <v>707</v>
      </c>
      <c r="P16" s="54">
        <f>HEX2DEC(RIGHT(Table132321432[[#This Row],[h1]],8))</f>
        <v>2097184</v>
      </c>
      <c r="Q16" s="54" t="s">
        <v>149</v>
      </c>
      <c r="R16" s="54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217</v>
      </c>
      <c r="G17" s="33">
        <v>0</v>
      </c>
      <c r="H17" s="54"/>
      <c r="J17" s="24">
        <v>50000</v>
      </c>
      <c r="K17" s="54"/>
      <c r="L17" s="24">
        <v>17</v>
      </c>
      <c r="M17" s="24">
        <v>50000</v>
      </c>
      <c r="O17" s="54" t="s">
        <v>708</v>
      </c>
      <c r="P17" s="54">
        <f>HEX2DEC(RIGHT(Table132321432[[#This Row],[h1]],8))</f>
        <v>4194368</v>
      </c>
      <c r="Q17" s="54" t="s">
        <v>149</v>
      </c>
      <c r="R17" s="54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218</v>
      </c>
      <c r="G18" s="33">
        <v>0</v>
      </c>
      <c r="H18" s="54"/>
      <c r="J18" s="24">
        <v>50000</v>
      </c>
      <c r="K18" s="54"/>
      <c r="L18" s="24">
        <v>18</v>
      </c>
      <c r="M18" s="24">
        <v>50000</v>
      </c>
      <c r="O18" s="54" t="s">
        <v>709</v>
      </c>
      <c r="P18" s="54">
        <f>HEX2DEC(RIGHT(Table132321432[[#This Row],[h1]],8))</f>
        <v>8388736</v>
      </c>
      <c r="Q18" s="54" t="s">
        <v>149</v>
      </c>
      <c r="R18" s="54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219</v>
      </c>
      <c r="G19" s="33">
        <v>0</v>
      </c>
      <c r="H19" s="54"/>
      <c r="J19" s="24">
        <v>50000</v>
      </c>
      <c r="K19" s="54"/>
      <c r="L19" s="24">
        <v>19</v>
      </c>
      <c r="M19" s="24">
        <v>50000</v>
      </c>
      <c r="O19" s="54" t="s">
        <v>710</v>
      </c>
      <c r="P19" s="54">
        <f>HEX2DEC(RIGHT(Table132321432[[#This Row],[h1]],8))</f>
        <v>16777472</v>
      </c>
      <c r="Q19" s="54" t="s">
        <v>149</v>
      </c>
      <c r="R19" s="54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220</v>
      </c>
      <c r="G20" s="33">
        <v>0</v>
      </c>
      <c r="H20" s="54"/>
      <c r="J20" s="24">
        <v>50000</v>
      </c>
      <c r="K20" s="54"/>
      <c r="L20" s="24">
        <v>20</v>
      </c>
      <c r="M20" s="24">
        <v>50000</v>
      </c>
      <c r="O20" s="54" t="s">
        <v>711</v>
      </c>
      <c r="P20" s="54">
        <f>HEX2DEC(RIGHT(Table132321432[[#This Row],[h1]],8))</f>
        <v>33554944</v>
      </c>
      <c r="Q20" s="54" t="s">
        <v>149</v>
      </c>
      <c r="R20" s="54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221</v>
      </c>
      <c r="G21" s="33">
        <v>0</v>
      </c>
      <c r="H21" s="54"/>
      <c r="J21" s="24">
        <v>50000</v>
      </c>
      <c r="K21" s="54"/>
      <c r="L21" s="24">
        <v>21</v>
      </c>
      <c r="M21" s="24">
        <v>50000</v>
      </c>
      <c r="O21" s="54" t="s">
        <v>712</v>
      </c>
      <c r="P21" s="54">
        <f>HEX2DEC(RIGHT(Table132321432[[#This Row],[h1]],8))</f>
        <v>67109888</v>
      </c>
      <c r="Q21" s="54" t="s">
        <v>149</v>
      </c>
      <c r="R21" s="54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4"/>
      <c r="J22" s="24">
        <v>50000</v>
      </c>
      <c r="K22" s="54"/>
      <c r="L22" s="24">
        <v>22</v>
      </c>
      <c r="M22" s="24">
        <v>50000</v>
      </c>
      <c r="O22" s="54" t="s">
        <v>713</v>
      </c>
      <c r="P22" s="54">
        <f>HEX2DEC(RIGHT(Table132321432[[#This Row],[h1]],8))</f>
        <v>134219776</v>
      </c>
      <c r="Q22" s="54" t="s">
        <v>149</v>
      </c>
      <c r="R22" s="54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4"/>
      <c r="J23" s="24">
        <v>50000</v>
      </c>
      <c r="K23" s="54"/>
      <c r="L23" s="24">
        <v>23</v>
      </c>
      <c r="M23" s="24">
        <v>50000</v>
      </c>
      <c r="O23" s="54" t="s">
        <v>714</v>
      </c>
      <c r="P23" s="54">
        <f>HEX2DEC(RIGHT(Table132321432[[#This Row],[h1]],8))</f>
        <v>268439552</v>
      </c>
      <c r="Q23" s="54" t="s">
        <v>149</v>
      </c>
      <c r="R23" s="54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145</v>
      </c>
      <c r="H24" s="54"/>
      <c r="J24" s="24">
        <v>50000</v>
      </c>
      <c r="K24" s="54"/>
      <c r="L24" s="24">
        <v>24</v>
      </c>
      <c r="M24" s="24">
        <v>50000</v>
      </c>
      <c r="O24" s="54" t="s">
        <v>715</v>
      </c>
      <c r="P24" s="54">
        <f>HEX2DEC(RIGHT(Table132321432[[#This Row],[h1]],8))</f>
        <v>536879104</v>
      </c>
      <c r="Q24" s="54" t="s">
        <v>149</v>
      </c>
      <c r="R24" s="54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222</v>
      </c>
      <c r="G25" s="33">
        <v>0</v>
      </c>
      <c r="H25" s="54"/>
      <c r="J25" s="24">
        <v>50000</v>
      </c>
      <c r="K25" s="54"/>
      <c r="L25" s="24">
        <v>25</v>
      </c>
      <c r="M25" s="24">
        <v>50000</v>
      </c>
      <c r="O25" s="54" t="s">
        <v>716</v>
      </c>
      <c r="P25" s="54">
        <f>HEX2DEC(RIGHT(Table132321432[[#This Row],[h1]],8))</f>
        <v>1073758208</v>
      </c>
      <c r="Q25" s="54" t="s">
        <v>149</v>
      </c>
      <c r="R25" s="54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223</v>
      </c>
      <c r="G26" s="33">
        <v>0</v>
      </c>
      <c r="H26" s="54"/>
      <c r="J26" s="24">
        <v>50000</v>
      </c>
      <c r="K26" s="54"/>
      <c r="L26" s="24">
        <v>26</v>
      </c>
      <c r="M26" s="24">
        <v>50000</v>
      </c>
      <c r="O26" s="54" t="s">
        <v>717</v>
      </c>
      <c r="P26" s="54">
        <f>HEX2DEC(RIGHT(Table132321432[[#This Row],[h1]],8))</f>
        <v>2147516416</v>
      </c>
      <c r="Q26" s="54" t="s">
        <v>149</v>
      </c>
      <c r="R26" s="54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224</v>
      </c>
      <c r="G27" s="33">
        <v>0</v>
      </c>
      <c r="H27" s="54"/>
      <c r="J27" s="24">
        <v>50000</v>
      </c>
      <c r="K27" s="54"/>
      <c r="L27" s="24">
        <v>27</v>
      </c>
      <c r="M27" s="24">
        <v>50000</v>
      </c>
      <c r="O27" s="54" t="s">
        <v>149</v>
      </c>
      <c r="P27" s="54">
        <f>HEX2DEC(RIGHT(Table132321432[[#This Row],[h1]],8))</f>
        <v>0</v>
      </c>
      <c r="Q27" s="54" t="s">
        <v>149</v>
      </c>
      <c r="R27" s="54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225</v>
      </c>
      <c r="G28" s="33">
        <v>0</v>
      </c>
      <c r="H28" s="54"/>
      <c r="J28" s="24">
        <v>50000</v>
      </c>
      <c r="K28" s="54"/>
      <c r="L28" s="24">
        <v>28</v>
      </c>
      <c r="M28" s="24">
        <v>50000</v>
      </c>
      <c r="O28" s="54" t="s">
        <v>149</v>
      </c>
      <c r="P28" s="54">
        <f>HEX2DEC(RIGHT(Table132321432[[#This Row],[h1]],8))</f>
        <v>0</v>
      </c>
      <c r="Q28" s="54" t="s">
        <v>149</v>
      </c>
      <c r="R28" s="54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226</v>
      </c>
      <c r="G29" s="33">
        <v>0</v>
      </c>
      <c r="H29" s="54"/>
      <c r="J29" s="24">
        <v>50000</v>
      </c>
      <c r="K29" s="54"/>
      <c r="L29" s="24">
        <v>29</v>
      </c>
      <c r="M29" s="24">
        <v>50000</v>
      </c>
      <c r="O29" s="54" t="s">
        <v>149</v>
      </c>
      <c r="P29" s="54">
        <f>HEX2DEC(RIGHT(Table132321432[[#This Row],[h1]],8))</f>
        <v>0</v>
      </c>
      <c r="Q29" s="54" t="s">
        <v>149</v>
      </c>
      <c r="R29" s="54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227</v>
      </c>
      <c r="G30" s="33">
        <v>0</v>
      </c>
      <c r="H30" s="54"/>
      <c r="J30" s="24">
        <v>50000</v>
      </c>
      <c r="K30" s="54"/>
      <c r="L30" s="24">
        <v>30</v>
      </c>
      <c r="M30" s="24">
        <v>50000</v>
      </c>
      <c r="O30" s="54" t="s">
        <v>149</v>
      </c>
      <c r="P30" s="54">
        <f>HEX2DEC(RIGHT(Table132321432[[#This Row],[h1]],8))</f>
        <v>0</v>
      </c>
      <c r="Q30" s="54" t="s">
        <v>149</v>
      </c>
      <c r="R30" s="54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228</v>
      </c>
      <c r="G31" s="33">
        <v>0</v>
      </c>
      <c r="H31" s="54"/>
      <c r="J31" s="24">
        <v>50000</v>
      </c>
      <c r="K31" s="54"/>
      <c r="L31" s="20"/>
      <c r="M31" s="24">
        <v>50000</v>
      </c>
      <c r="O31" s="54" t="s">
        <v>149</v>
      </c>
      <c r="P31" s="54">
        <f>HEX2DEC(RIGHT(Table132321432[[#This Row],[h1]],8))</f>
        <v>0</v>
      </c>
      <c r="Q31" s="54" t="s">
        <v>149</v>
      </c>
      <c r="R31" s="54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229</v>
      </c>
      <c r="G32" s="33">
        <v>0</v>
      </c>
      <c r="H32" s="54"/>
      <c r="J32" s="24">
        <v>50000</v>
      </c>
      <c r="K32" s="54"/>
      <c r="M32" s="24">
        <v>50000</v>
      </c>
      <c r="O32" s="54" t="s">
        <v>149</v>
      </c>
      <c r="P32" s="54">
        <f>HEX2DEC(RIGHT(Table132321432[[#This Row],[h1]],8))</f>
        <v>0</v>
      </c>
      <c r="Q32" s="54" t="s">
        <v>149</v>
      </c>
      <c r="R32" s="54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230</v>
      </c>
      <c r="G33" s="33">
        <v>0</v>
      </c>
      <c r="H33" s="54"/>
      <c r="J33" s="24">
        <v>50000</v>
      </c>
      <c r="K33" s="54"/>
      <c r="M33" s="24">
        <v>50000</v>
      </c>
      <c r="O33" s="54" t="s">
        <v>149</v>
      </c>
      <c r="P33" s="54">
        <f>HEX2DEC(RIGHT(Table132321432[[#This Row],[h1]],8))</f>
        <v>0</v>
      </c>
      <c r="Q33" s="54" t="s">
        <v>149</v>
      </c>
      <c r="R33" s="54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231</v>
      </c>
      <c r="G34" s="33">
        <v>0</v>
      </c>
      <c r="H34" s="54"/>
      <c r="J34" s="24">
        <v>50000</v>
      </c>
      <c r="K34" s="54"/>
      <c r="M34" s="24">
        <v>50000</v>
      </c>
      <c r="O34" s="54" t="s">
        <v>149</v>
      </c>
      <c r="P34" s="54">
        <f>HEX2DEC(RIGHT(Table132321432[[#This Row],[h1]],8))</f>
        <v>0</v>
      </c>
      <c r="Q34" s="54" t="s">
        <v>149</v>
      </c>
      <c r="R34" s="54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232</v>
      </c>
      <c r="G35" s="33">
        <v>0</v>
      </c>
      <c r="H35" s="54"/>
      <c r="J35" s="24">
        <v>50000</v>
      </c>
      <c r="K35" s="54"/>
      <c r="M35" s="24">
        <v>50000</v>
      </c>
      <c r="O35" s="54" t="s">
        <v>149</v>
      </c>
      <c r="P35" s="54">
        <f>HEX2DEC(RIGHT(Table132321432[[#This Row],[h1]],8))</f>
        <v>0</v>
      </c>
      <c r="Q35" s="54" t="s">
        <v>149</v>
      </c>
      <c r="R35" s="54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233</v>
      </c>
      <c r="G36" s="33">
        <v>0</v>
      </c>
      <c r="H36" s="54"/>
      <c r="J36" s="24">
        <v>50000</v>
      </c>
      <c r="K36" s="54"/>
      <c r="M36" s="24">
        <v>50000</v>
      </c>
      <c r="O36" s="54" t="s">
        <v>149</v>
      </c>
      <c r="P36" s="54">
        <f>HEX2DEC(RIGHT(Table132321432[[#This Row],[h1]],8))</f>
        <v>0</v>
      </c>
      <c r="Q36" s="54" t="s">
        <v>149</v>
      </c>
      <c r="R36" s="54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234</v>
      </c>
      <c r="G37" s="33">
        <v>0</v>
      </c>
      <c r="H37" s="54"/>
      <c r="J37" s="24">
        <v>50000</v>
      </c>
      <c r="K37" s="54"/>
      <c r="M37" s="24">
        <v>50000</v>
      </c>
      <c r="O37" s="54" t="s">
        <v>149</v>
      </c>
      <c r="P37" s="54">
        <f>HEX2DEC(RIGHT(Table132321432[[#This Row],[h1]],8))</f>
        <v>0</v>
      </c>
      <c r="Q37" s="54" t="s">
        <v>149</v>
      </c>
      <c r="R37" s="54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235</v>
      </c>
      <c r="G38" s="33">
        <v>0</v>
      </c>
      <c r="H38" s="54"/>
      <c r="J38" s="24">
        <v>50000</v>
      </c>
      <c r="K38" s="54"/>
      <c r="L38" s="20" t="s">
        <v>140</v>
      </c>
      <c r="M38" s="24">
        <v>50000</v>
      </c>
      <c r="O38" s="54" t="s">
        <v>149</v>
      </c>
      <c r="P38" s="54">
        <f>HEX2DEC(RIGHT(Table132321432[[#This Row],[h1]],8))</f>
        <v>0</v>
      </c>
      <c r="Q38" s="54" t="s">
        <v>149</v>
      </c>
      <c r="R38" s="54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236</v>
      </c>
      <c r="G39" s="33">
        <v>0</v>
      </c>
      <c r="H39" s="54"/>
      <c r="J39" s="24">
        <v>50000</v>
      </c>
      <c r="K39" s="54"/>
      <c r="M39" s="24">
        <v>50000</v>
      </c>
      <c r="O39" s="54" t="s">
        <v>149</v>
      </c>
      <c r="P39" s="54">
        <f>HEX2DEC(RIGHT(Table132321432[[#This Row],[h1]],8))</f>
        <v>0</v>
      </c>
      <c r="Q39" s="54" t="s">
        <v>149</v>
      </c>
      <c r="R39" s="54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4"/>
      <c r="J40" s="24">
        <v>50000</v>
      </c>
      <c r="K40" s="54"/>
      <c r="M40" s="24">
        <v>50000</v>
      </c>
      <c r="O40" s="54" t="s">
        <v>727</v>
      </c>
      <c r="P40" s="54">
        <f>HEX2DEC(RIGHT(Table132321432[[#This Row],[h1]],8))</f>
        <v>65536</v>
      </c>
      <c r="Q40" s="54" t="s">
        <v>149</v>
      </c>
      <c r="R40" s="54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237</v>
      </c>
      <c r="G41" s="33">
        <v>0</v>
      </c>
      <c r="H41" s="54"/>
      <c r="J41" s="24">
        <v>50000</v>
      </c>
      <c r="K41" s="54"/>
      <c r="M41" s="24">
        <v>50000</v>
      </c>
      <c r="O41" s="54" t="s">
        <v>728</v>
      </c>
      <c r="P41" s="54">
        <f>HEX2DEC(RIGHT(Table132321432[[#This Row],[h1]],8))</f>
        <v>196608</v>
      </c>
      <c r="Q41" s="54" t="s">
        <v>149</v>
      </c>
      <c r="R41" s="54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238</v>
      </c>
      <c r="G42" s="33">
        <v>0</v>
      </c>
      <c r="H42" s="54"/>
      <c r="J42" s="24">
        <v>50000</v>
      </c>
      <c r="K42" s="54"/>
      <c r="M42" s="24">
        <v>50000</v>
      </c>
      <c r="O42" s="54" t="s">
        <v>729</v>
      </c>
      <c r="P42" s="54">
        <f>HEX2DEC(RIGHT(Table132321432[[#This Row],[h1]],8))</f>
        <v>458752</v>
      </c>
      <c r="Q42" s="54" t="s">
        <v>149</v>
      </c>
      <c r="R42" s="54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239</v>
      </c>
      <c r="G43" s="33">
        <v>0</v>
      </c>
      <c r="H43" s="54"/>
      <c r="J43" s="24">
        <v>50000</v>
      </c>
      <c r="K43" s="54"/>
      <c r="M43" s="24">
        <v>50000</v>
      </c>
      <c r="O43" s="54" t="s">
        <v>730</v>
      </c>
      <c r="P43" s="54">
        <f>HEX2DEC(RIGHT(Table132321432[[#This Row],[h1]],8))</f>
        <v>983040</v>
      </c>
      <c r="Q43" s="54" t="s">
        <v>149</v>
      </c>
      <c r="R43" s="54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240</v>
      </c>
      <c r="G44" s="33">
        <v>0</v>
      </c>
      <c r="H44" s="54"/>
      <c r="J44" s="24">
        <v>50000</v>
      </c>
      <c r="K44" s="54"/>
      <c r="M44" s="24">
        <v>50000</v>
      </c>
      <c r="O44" s="54" t="s">
        <v>731</v>
      </c>
      <c r="P44" s="54">
        <f>HEX2DEC(RIGHT(Table132321432[[#This Row],[h1]],8))</f>
        <v>4294901760</v>
      </c>
      <c r="Q44" s="54" t="s">
        <v>149</v>
      </c>
      <c r="R44" s="54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241</v>
      </c>
      <c r="G45" s="33">
        <v>0</v>
      </c>
      <c r="H45" s="54"/>
      <c r="J45" s="24">
        <v>50000</v>
      </c>
      <c r="K45" s="54"/>
      <c r="M45" s="24">
        <v>50000</v>
      </c>
      <c r="O45" s="54" t="s">
        <v>732</v>
      </c>
      <c r="P45" s="54">
        <f>HEX2DEC(RIGHT(Table132321432[[#This Row],[h1]],8))</f>
        <v>0</v>
      </c>
      <c r="Q45" s="54" t="s">
        <v>149</v>
      </c>
      <c r="R45" s="54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242</v>
      </c>
      <c r="G46" s="33">
        <v>0</v>
      </c>
      <c r="H46" s="54"/>
      <c r="I46" s="20" t="s">
        <v>140</v>
      </c>
      <c r="J46" s="24">
        <v>50000</v>
      </c>
      <c r="K46" s="54"/>
      <c r="M46" s="24">
        <v>50000</v>
      </c>
      <c r="O46" s="54" t="s">
        <v>149</v>
      </c>
      <c r="P46" s="54">
        <f>HEX2DEC(RIGHT(Table132321432[[#This Row],[h1]],8))</f>
        <v>0</v>
      </c>
      <c r="Q46" s="54" t="s">
        <v>149</v>
      </c>
      <c r="R46" s="54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243</v>
      </c>
      <c r="G47" s="33">
        <v>0</v>
      </c>
      <c r="H47" s="54"/>
      <c r="J47" s="24">
        <v>50000</v>
      </c>
      <c r="K47" s="54"/>
      <c r="M47" s="24">
        <v>50000</v>
      </c>
      <c r="O47" s="54" t="s">
        <v>149</v>
      </c>
      <c r="P47" s="54">
        <f>HEX2DEC(RIGHT(Table132321432[[#This Row],[h1]],8))</f>
        <v>0</v>
      </c>
      <c r="Q47" s="54" t="s">
        <v>149</v>
      </c>
      <c r="R47" s="54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244</v>
      </c>
      <c r="G48" s="33">
        <v>0</v>
      </c>
      <c r="H48" s="54"/>
      <c r="J48" s="24">
        <v>50000</v>
      </c>
      <c r="K48" s="54"/>
      <c r="M48" s="24">
        <v>50000</v>
      </c>
      <c r="O48" s="54" t="s">
        <v>149</v>
      </c>
      <c r="P48" s="54">
        <f>HEX2DEC(RIGHT(Table132321432[[#This Row],[h1]],8))</f>
        <v>0</v>
      </c>
      <c r="Q48" s="54" t="s">
        <v>149</v>
      </c>
      <c r="R48" s="54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245</v>
      </c>
      <c r="G49" s="33">
        <v>0</v>
      </c>
      <c r="H49" s="54"/>
      <c r="J49" s="24">
        <v>50000</v>
      </c>
      <c r="K49" s="54"/>
      <c r="M49" s="24">
        <v>50000</v>
      </c>
      <c r="O49" s="54" t="s">
        <v>149</v>
      </c>
      <c r="P49" s="54">
        <f>HEX2DEC(RIGHT(Table132321432[[#This Row],[h1]],8))</f>
        <v>0</v>
      </c>
      <c r="Q49" s="54" t="s">
        <v>149</v>
      </c>
      <c r="R49" s="54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246</v>
      </c>
      <c r="G50" s="33">
        <v>0</v>
      </c>
      <c r="H50" s="54"/>
      <c r="J50" s="24">
        <v>50000</v>
      </c>
      <c r="K50" s="54"/>
      <c r="M50" s="24">
        <v>50000</v>
      </c>
      <c r="O50" s="54" t="s">
        <v>149</v>
      </c>
      <c r="P50" s="54">
        <f>HEX2DEC(RIGHT(Table132321432[[#This Row],[h1]],8))</f>
        <v>0</v>
      </c>
      <c r="Q50" s="54" t="s">
        <v>149</v>
      </c>
      <c r="R50" s="54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247</v>
      </c>
      <c r="G51" s="33">
        <v>0</v>
      </c>
      <c r="H51" s="54"/>
      <c r="J51" s="24">
        <v>50000</v>
      </c>
      <c r="K51" s="54"/>
      <c r="M51" s="24">
        <v>50000</v>
      </c>
      <c r="O51" s="54" t="s">
        <v>149</v>
      </c>
      <c r="P51" s="54">
        <f>HEX2DEC(RIGHT(Table132321432[[#This Row],[h1]],8))</f>
        <v>0</v>
      </c>
      <c r="Q51" s="54" t="s">
        <v>149</v>
      </c>
      <c r="R51" s="54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248</v>
      </c>
      <c r="G52" s="33">
        <v>0</v>
      </c>
      <c r="H52" s="54"/>
      <c r="J52" s="24">
        <v>50000</v>
      </c>
      <c r="K52" s="54"/>
      <c r="M52" s="24">
        <v>50000</v>
      </c>
      <c r="O52" s="54" t="s">
        <v>149</v>
      </c>
      <c r="P52" s="54">
        <f>HEX2DEC(RIGHT(Table132321432[[#This Row],[h1]],8))</f>
        <v>0</v>
      </c>
      <c r="Q52" s="54" t="s">
        <v>149</v>
      </c>
      <c r="R52" s="54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249</v>
      </c>
      <c r="G53" s="33">
        <v>0</v>
      </c>
      <c r="H53" s="54"/>
      <c r="J53" s="24">
        <v>50000</v>
      </c>
      <c r="K53" s="54"/>
      <c r="M53" s="24">
        <v>50000</v>
      </c>
      <c r="O53" s="54" t="s">
        <v>149</v>
      </c>
      <c r="P53" s="54">
        <f>HEX2DEC(RIGHT(Table132321432[[#This Row],[h1]],8))</f>
        <v>0</v>
      </c>
      <c r="Q53" s="54" t="s">
        <v>149</v>
      </c>
      <c r="R53" s="54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250</v>
      </c>
      <c r="G54" s="33">
        <v>0</v>
      </c>
      <c r="H54" s="54"/>
      <c r="J54" s="24">
        <v>50000</v>
      </c>
      <c r="K54" s="54"/>
      <c r="M54" s="24">
        <v>50000</v>
      </c>
      <c r="O54" s="54" t="s">
        <v>149</v>
      </c>
      <c r="P54" s="54">
        <f>HEX2DEC(RIGHT(Table132321432[[#This Row],[h1]],8))</f>
        <v>0</v>
      </c>
      <c r="Q54" s="54" t="s">
        <v>149</v>
      </c>
      <c r="R54" s="54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251</v>
      </c>
      <c r="G55" s="33">
        <v>0</v>
      </c>
      <c r="H55" s="54"/>
      <c r="J55" s="24">
        <v>50000</v>
      </c>
      <c r="K55" s="54"/>
      <c r="M55" s="24">
        <v>50000</v>
      </c>
      <c r="O55" s="54" t="s">
        <v>149</v>
      </c>
      <c r="P55" s="54">
        <f>HEX2DEC(RIGHT(Table132321432[[#This Row],[h1]],8))</f>
        <v>0</v>
      </c>
      <c r="Q55" s="54" t="s">
        <v>149</v>
      </c>
      <c r="R55" s="54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252</v>
      </c>
      <c r="G56" s="33">
        <v>0</v>
      </c>
      <c r="H56" s="54"/>
      <c r="J56" s="24">
        <v>50000</v>
      </c>
      <c r="K56" s="54"/>
      <c r="M56" s="24">
        <v>50000</v>
      </c>
      <c r="O56" s="54" t="s">
        <v>149</v>
      </c>
      <c r="P56" s="54">
        <f>HEX2DEC(RIGHT(Table132321432[[#This Row],[h1]],8))</f>
        <v>0</v>
      </c>
      <c r="Q56" s="54" t="s">
        <v>149</v>
      </c>
      <c r="R56" s="54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253</v>
      </c>
      <c r="G57" s="33">
        <v>0</v>
      </c>
      <c r="H57" s="54"/>
      <c r="J57" s="24">
        <v>50000</v>
      </c>
      <c r="K57" s="54"/>
      <c r="M57" s="24">
        <v>50000</v>
      </c>
      <c r="O57" s="54" t="s">
        <v>149</v>
      </c>
      <c r="P57" s="54">
        <f>HEX2DEC(RIGHT(Table132321432[[#This Row],[h1]],8))</f>
        <v>0</v>
      </c>
      <c r="Q57" s="54" t="s">
        <v>149</v>
      </c>
      <c r="R57" s="54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254</v>
      </c>
      <c r="G58" s="33">
        <v>0</v>
      </c>
      <c r="H58" s="54"/>
      <c r="J58" s="24">
        <v>50000</v>
      </c>
      <c r="K58" s="54"/>
      <c r="M58" s="24">
        <v>50000</v>
      </c>
      <c r="O58" s="54" t="s">
        <v>149</v>
      </c>
      <c r="P58" s="54">
        <f>HEX2DEC(RIGHT(Table132321432[[#This Row],[h1]],8))</f>
        <v>0</v>
      </c>
      <c r="Q58" s="54" t="s">
        <v>149</v>
      </c>
      <c r="R58" s="54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255</v>
      </c>
      <c r="G59" s="33">
        <v>0</v>
      </c>
      <c r="H59" s="54"/>
      <c r="J59" s="24">
        <v>50000</v>
      </c>
      <c r="K59" s="54"/>
      <c r="M59" s="24">
        <v>50000</v>
      </c>
      <c r="O59" s="54" t="s">
        <v>149</v>
      </c>
      <c r="P59" s="54">
        <f>HEX2DEC(RIGHT(Table132321432[[#This Row],[h1]],8))</f>
        <v>0</v>
      </c>
      <c r="Q59" s="54" t="s">
        <v>149</v>
      </c>
      <c r="R59" s="54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256</v>
      </c>
      <c r="G60" s="33">
        <v>0</v>
      </c>
      <c r="H60" s="54"/>
      <c r="J60" s="24">
        <v>50000</v>
      </c>
      <c r="K60" s="54"/>
      <c r="M60" s="24">
        <v>50000</v>
      </c>
      <c r="O60" s="54" t="s">
        <v>149</v>
      </c>
      <c r="P60" s="54">
        <f>HEX2DEC(RIGHT(Table132321432[[#This Row],[h1]],8))</f>
        <v>0</v>
      </c>
      <c r="Q60" s="54" t="s">
        <v>149</v>
      </c>
      <c r="R60" s="54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257</v>
      </c>
      <c r="G61" s="33">
        <v>0</v>
      </c>
      <c r="H61" s="54"/>
      <c r="J61" s="24">
        <v>50000</v>
      </c>
      <c r="K61" s="54"/>
      <c r="M61" s="24">
        <v>50000</v>
      </c>
      <c r="O61" s="54" t="s">
        <v>149</v>
      </c>
      <c r="P61" s="54">
        <f>HEX2DEC(RIGHT(Table132321432[[#This Row],[h1]],8))</f>
        <v>0</v>
      </c>
      <c r="Q61" s="54" t="s">
        <v>149</v>
      </c>
      <c r="R61" s="54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258</v>
      </c>
      <c r="G62" s="33">
        <v>0</v>
      </c>
      <c r="J62" s="24">
        <v>50000</v>
      </c>
      <c r="M62" s="24">
        <v>50000</v>
      </c>
      <c r="O62" s="54" t="s">
        <v>149</v>
      </c>
      <c r="P62" s="54">
        <f>HEX2DEC(RIGHT(Table132321432[[#This Row],[h1]],8))</f>
        <v>0</v>
      </c>
      <c r="Q62" s="54" t="s">
        <v>149</v>
      </c>
      <c r="R62" s="54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259</v>
      </c>
      <c r="G63" s="33">
        <v>0</v>
      </c>
      <c r="J63" s="24">
        <v>50000</v>
      </c>
      <c r="M63" s="24">
        <v>50000</v>
      </c>
      <c r="O63" s="54" t="s">
        <v>149</v>
      </c>
      <c r="P63" s="54">
        <f>HEX2DEC(RIGHT(Table132321432[[#This Row],[h1]],8))</f>
        <v>0</v>
      </c>
      <c r="Q63" s="54" t="s">
        <v>149</v>
      </c>
      <c r="R63" s="54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260</v>
      </c>
      <c r="G64" s="33">
        <v>0</v>
      </c>
      <c r="J64" s="24">
        <v>50000</v>
      </c>
      <c r="M64" s="24">
        <v>50000</v>
      </c>
      <c r="O64" s="54" t="s">
        <v>149</v>
      </c>
      <c r="P64" s="54">
        <f>HEX2DEC(RIGHT(Table132321432[[#This Row],[h1]],8))</f>
        <v>0</v>
      </c>
      <c r="Q64" s="54" t="s">
        <v>149</v>
      </c>
      <c r="R64" s="54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261</v>
      </c>
      <c r="G65" s="33">
        <v>0</v>
      </c>
      <c r="J65" s="24">
        <v>50000</v>
      </c>
      <c r="M65" s="24">
        <v>50000</v>
      </c>
      <c r="O65" s="54" t="s">
        <v>149</v>
      </c>
      <c r="P65" s="54">
        <f>HEX2DEC(RIGHT(Table132321432[[#This Row],[h1]],8))</f>
        <v>0</v>
      </c>
      <c r="Q65" s="54" t="s">
        <v>149</v>
      </c>
      <c r="R65" s="54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262</v>
      </c>
      <c r="G66" s="33">
        <v>0</v>
      </c>
      <c r="J66" s="24">
        <v>50000</v>
      </c>
      <c r="M66" s="24">
        <v>50000</v>
      </c>
      <c r="O66" s="54" t="s">
        <v>149</v>
      </c>
      <c r="P66" s="54">
        <f>HEX2DEC(RIGHT(Table132321432[[#This Row],[h1]],8))</f>
        <v>0</v>
      </c>
      <c r="Q66" s="54" t="s">
        <v>149</v>
      </c>
      <c r="R66" s="54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263</v>
      </c>
      <c r="G67" s="33">
        <v>0</v>
      </c>
      <c r="J67" s="24">
        <v>50000</v>
      </c>
      <c r="M67" s="24">
        <v>50000</v>
      </c>
      <c r="O67" s="54" t="s">
        <v>149</v>
      </c>
      <c r="P67" s="54">
        <f>HEX2DEC(RIGHT(Table132321432[[#This Row],[h1]],8))</f>
        <v>0</v>
      </c>
      <c r="Q67" s="54" t="s">
        <v>149</v>
      </c>
      <c r="R67" s="54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264</v>
      </c>
      <c r="G68" s="33">
        <v>0</v>
      </c>
      <c r="J68" s="24">
        <v>50000</v>
      </c>
      <c r="M68" s="24">
        <v>50000</v>
      </c>
      <c r="O68" s="54" t="s">
        <v>149</v>
      </c>
      <c r="P68" s="54">
        <f>HEX2DEC(RIGHT(Table132321432[[#This Row],[h1]],8))</f>
        <v>0</v>
      </c>
      <c r="Q68" s="54" t="s">
        <v>149</v>
      </c>
      <c r="R68" s="54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265</v>
      </c>
      <c r="G69" s="33">
        <v>0</v>
      </c>
      <c r="J69" s="24">
        <v>50000</v>
      </c>
      <c r="M69" s="24">
        <v>50000</v>
      </c>
      <c r="O69" s="54" t="s">
        <v>149</v>
      </c>
      <c r="P69" s="54">
        <f>HEX2DEC(RIGHT(Table132321432[[#This Row],[h1]],8))</f>
        <v>0</v>
      </c>
      <c r="Q69" s="54" t="s">
        <v>149</v>
      </c>
      <c r="R69" s="54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266</v>
      </c>
      <c r="G70" s="33">
        <v>0</v>
      </c>
      <c r="J70" s="24">
        <v>50000</v>
      </c>
      <c r="M70" s="24">
        <v>50000</v>
      </c>
      <c r="O70" s="54" t="s">
        <v>149</v>
      </c>
      <c r="P70" s="54">
        <f>HEX2DEC(RIGHT(Table132321432[[#This Row],[h1]],8))</f>
        <v>0</v>
      </c>
      <c r="Q70" s="54" t="s">
        <v>149</v>
      </c>
      <c r="R70" s="54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267</v>
      </c>
      <c r="G71" s="33">
        <v>0</v>
      </c>
      <c r="J71" s="24">
        <v>50000</v>
      </c>
      <c r="M71" s="24">
        <v>50000</v>
      </c>
      <c r="O71" s="54" t="s">
        <v>149</v>
      </c>
      <c r="P71" s="54">
        <f>HEX2DEC(RIGHT(Table132321432[[#This Row],[h1]],8))</f>
        <v>0</v>
      </c>
      <c r="Q71" s="54" t="s">
        <v>149</v>
      </c>
      <c r="R71" s="54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268</v>
      </c>
      <c r="G72" s="33">
        <v>0</v>
      </c>
      <c r="J72" s="24">
        <v>50000</v>
      </c>
      <c r="M72" s="24">
        <v>50000</v>
      </c>
      <c r="O72" s="54" t="s">
        <v>149</v>
      </c>
      <c r="P72" s="54">
        <f>HEX2DEC(RIGHT(Table132321432[[#This Row],[h1]],8))</f>
        <v>0</v>
      </c>
      <c r="Q72" s="54" t="s">
        <v>149</v>
      </c>
      <c r="R72" s="54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4" t="s">
        <v>149</v>
      </c>
      <c r="P73" s="54">
        <f>HEX2DEC(RIGHT(Table132321432[[#This Row],[h1]],8))</f>
        <v>0</v>
      </c>
      <c r="Q73" s="54" t="s">
        <v>149</v>
      </c>
      <c r="R73" s="54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269</v>
      </c>
      <c r="G74" s="33">
        <v>0</v>
      </c>
      <c r="J74" s="24">
        <v>50000</v>
      </c>
      <c r="M74" s="24">
        <v>50000</v>
      </c>
      <c r="O74" s="54" t="s">
        <v>149</v>
      </c>
      <c r="P74" s="54">
        <f>HEX2DEC(RIGHT(Table132321432[[#This Row],[h1]],8))</f>
        <v>0</v>
      </c>
      <c r="Q74" s="54" t="s">
        <v>149</v>
      </c>
      <c r="R74" s="54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270</v>
      </c>
      <c r="G75" s="33">
        <v>0</v>
      </c>
      <c r="J75" s="24">
        <v>50000</v>
      </c>
      <c r="M75" s="24">
        <v>50000</v>
      </c>
      <c r="O75" s="54" t="s">
        <v>149</v>
      </c>
      <c r="P75" s="54">
        <f>HEX2DEC(RIGHT(Table132321432[[#This Row],[h1]],8))</f>
        <v>0</v>
      </c>
      <c r="Q75" s="54" t="s">
        <v>149</v>
      </c>
      <c r="R75" s="54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271</v>
      </c>
      <c r="G76" s="33">
        <v>0</v>
      </c>
      <c r="J76" s="24">
        <v>50000</v>
      </c>
      <c r="M76" s="24">
        <v>50000</v>
      </c>
      <c r="O76" s="54" t="s">
        <v>149</v>
      </c>
      <c r="P76" s="54">
        <f>HEX2DEC(RIGHT(Table132321432[[#This Row],[h1]],8))</f>
        <v>0</v>
      </c>
      <c r="Q76" s="54" t="s">
        <v>149</v>
      </c>
      <c r="R76" s="54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272</v>
      </c>
      <c r="G77" s="33">
        <v>0</v>
      </c>
      <c r="J77" s="24">
        <v>50000</v>
      </c>
      <c r="M77" s="24">
        <v>50000</v>
      </c>
      <c r="O77" s="54" t="s">
        <v>149</v>
      </c>
      <c r="P77" s="54">
        <f>HEX2DEC(RIGHT(Table132321432[[#This Row],[h1]],8))</f>
        <v>0</v>
      </c>
      <c r="Q77" s="54" t="s">
        <v>149</v>
      </c>
      <c r="R77" s="54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273</v>
      </c>
      <c r="G78" s="33">
        <v>0</v>
      </c>
      <c r="J78" s="24">
        <v>50000</v>
      </c>
      <c r="M78" s="24">
        <v>50000</v>
      </c>
      <c r="O78" s="54" t="s">
        <v>149</v>
      </c>
      <c r="P78" s="54">
        <f>HEX2DEC(RIGHT(Table132321432[[#This Row],[h1]],8))</f>
        <v>0</v>
      </c>
      <c r="Q78" s="54" t="s">
        <v>149</v>
      </c>
      <c r="R78" s="54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274</v>
      </c>
      <c r="G79" s="33">
        <v>0</v>
      </c>
      <c r="J79" s="24">
        <v>50000</v>
      </c>
      <c r="M79" s="24">
        <v>50000</v>
      </c>
      <c r="O79" s="54" t="s">
        <v>149</v>
      </c>
      <c r="P79" s="54">
        <f>HEX2DEC(RIGHT(Table132321432[[#This Row],[h1]],8))</f>
        <v>0</v>
      </c>
      <c r="Q79" s="54" t="s">
        <v>149</v>
      </c>
      <c r="R79" s="54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275</v>
      </c>
      <c r="G80" s="33">
        <v>0</v>
      </c>
      <c r="J80" s="24">
        <v>50000</v>
      </c>
      <c r="M80" s="24">
        <v>50000</v>
      </c>
      <c r="O80" s="54" t="s">
        <v>149</v>
      </c>
      <c r="P80" s="54">
        <f>HEX2DEC(RIGHT(Table132321432[[#This Row],[h1]],8))</f>
        <v>0</v>
      </c>
      <c r="Q80" s="54" t="s">
        <v>149</v>
      </c>
      <c r="R80" s="54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276</v>
      </c>
      <c r="G81" s="33">
        <v>0</v>
      </c>
      <c r="J81" s="24">
        <v>50000</v>
      </c>
      <c r="M81" s="24">
        <v>50000</v>
      </c>
      <c r="O81" s="54" t="s">
        <v>149</v>
      </c>
      <c r="P81" s="54">
        <f>HEX2DEC(RIGHT(Table132321432[[#This Row],[h1]],8))</f>
        <v>0</v>
      </c>
      <c r="Q81" s="54" t="s">
        <v>149</v>
      </c>
      <c r="R81" s="54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277</v>
      </c>
      <c r="G82" s="33">
        <v>0</v>
      </c>
      <c r="J82" s="24">
        <v>50000</v>
      </c>
      <c r="M82" s="24">
        <v>50000</v>
      </c>
      <c r="O82" s="54" t="s">
        <v>149</v>
      </c>
      <c r="P82" s="54">
        <f>HEX2DEC(RIGHT(Table132321432[[#This Row],[h1]],8))</f>
        <v>0</v>
      </c>
      <c r="Q82" s="54" t="s">
        <v>149</v>
      </c>
      <c r="R82" s="54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278</v>
      </c>
      <c r="G83" s="33">
        <v>0</v>
      </c>
      <c r="J83" s="24">
        <v>50000</v>
      </c>
      <c r="M83" s="24">
        <v>50000</v>
      </c>
      <c r="O83" s="54" t="s">
        <v>149</v>
      </c>
      <c r="P83" s="54">
        <f>HEX2DEC(RIGHT(Table132321432[[#This Row],[h1]],8))</f>
        <v>0</v>
      </c>
      <c r="Q83" s="54" t="s">
        <v>149</v>
      </c>
      <c r="R83" s="54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279</v>
      </c>
      <c r="G84" s="33">
        <v>0</v>
      </c>
      <c r="J84" s="24">
        <v>50000</v>
      </c>
      <c r="M84" s="24">
        <v>50000</v>
      </c>
      <c r="O84" s="54" t="s">
        <v>149</v>
      </c>
      <c r="P84" s="54">
        <f>HEX2DEC(RIGHT(Table132321432[[#This Row],[h1]],8))</f>
        <v>0</v>
      </c>
      <c r="Q84" s="54" t="s">
        <v>149</v>
      </c>
      <c r="R84" s="54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280</v>
      </c>
      <c r="G85" s="33">
        <v>0</v>
      </c>
      <c r="J85" s="24">
        <v>50000</v>
      </c>
      <c r="M85" s="24">
        <v>50000</v>
      </c>
      <c r="O85" s="54" t="s">
        <v>149</v>
      </c>
      <c r="P85" s="54">
        <f>HEX2DEC(RIGHT(Table132321432[[#This Row],[h1]],8))</f>
        <v>0</v>
      </c>
      <c r="Q85" s="54" t="s">
        <v>149</v>
      </c>
      <c r="R85" s="54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281</v>
      </c>
      <c r="G86" s="33">
        <v>0</v>
      </c>
      <c r="J86" s="24">
        <v>50000</v>
      </c>
      <c r="M86" s="24">
        <v>50000</v>
      </c>
      <c r="O86" s="54" t="s">
        <v>149</v>
      </c>
      <c r="P86" s="54">
        <f>HEX2DEC(RIGHT(Table132321432[[#This Row],[h1]],8))</f>
        <v>0</v>
      </c>
      <c r="Q86" s="54" t="s">
        <v>149</v>
      </c>
      <c r="R86" s="54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282</v>
      </c>
      <c r="G87" s="33">
        <v>0</v>
      </c>
      <c r="J87" s="24">
        <v>50000</v>
      </c>
      <c r="M87" s="24">
        <v>50000</v>
      </c>
      <c r="O87" s="54" t="s">
        <v>149</v>
      </c>
      <c r="P87" s="54">
        <f>HEX2DEC(RIGHT(Table132321432[[#This Row],[h1]],8))</f>
        <v>0</v>
      </c>
      <c r="Q87" s="54" t="s">
        <v>149</v>
      </c>
      <c r="R87" s="54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283</v>
      </c>
      <c r="G88" s="33">
        <v>0</v>
      </c>
      <c r="J88" s="24">
        <v>50000</v>
      </c>
      <c r="M88" s="24">
        <v>50000</v>
      </c>
      <c r="O88" s="54" t="s">
        <v>149</v>
      </c>
      <c r="P88" s="54">
        <f>HEX2DEC(RIGHT(Table132321432[[#This Row],[h1]],8))</f>
        <v>0</v>
      </c>
      <c r="Q88" s="54" t="s">
        <v>149</v>
      </c>
      <c r="R88" s="54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284</v>
      </c>
      <c r="G89" s="33">
        <v>0</v>
      </c>
      <c r="J89" s="24">
        <v>50000</v>
      </c>
      <c r="M89" s="24">
        <v>50000</v>
      </c>
      <c r="O89" s="54" t="s">
        <v>149</v>
      </c>
      <c r="P89" s="54">
        <f>HEX2DEC(RIGHT(Table132321432[[#This Row],[h1]],8))</f>
        <v>0</v>
      </c>
      <c r="Q89" s="54" t="s">
        <v>149</v>
      </c>
      <c r="R89" s="54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285</v>
      </c>
      <c r="G90" s="33">
        <v>0</v>
      </c>
      <c r="J90" s="24">
        <v>50000</v>
      </c>
      <c r="M90" s="24">
        <v>50000</v>
      </c>
      <c r="O90" s="54" t="s">
        <v>149</v>
      </c>
      <c r="P90" s="54">
        <f>HEX2DEC(RIGHT(Table132321432[[#This Row],[h1]],8))</f>
        <v>0</v>
      </c>
      <c r="Q90" s="54" t="s">
        <v>149</v>
      </c>
      <c r="R90" s="54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286</v>
      </c>
      <c r="G91" s="33">
        <v>0</v>
      </c>
      <c r="J91" s="24">
        <v>50000</v>
      </c>
      <c r="M91" s="24">
        <v>50000</v>
      </c>
      <c r="O91" s="54" t="s">
        <v>149</v>
      </c>
      <c r="P91" s="54">
        <f>HEX2DEC(RIGHT(Table132321432[[#This Row],[h1]],8))</f>
        <v>0</v>
      </c>
      <c r="Q91" s="54" t="s">
        <v>149</v>
      </c>
      <c r="R91" s="54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287</v>
      </c>
      <c r="G92" s="33">
        <v>0</v>
      </c>
      <c r="J92" s="24">
        <v>50000</v>
      </c>
      <c r="M92" s="24">
        <v>50000</v>
      </c>
      <c r="O92" s="54" t="s">
        <v>149</v>
      </c>
      <c r="P92" s="54">
        <f>HEX2DEC(RIGHT(Table132321432[[#This Row],[h1]],8))</f>
        <v>0</v>
      </c>
      <c r="Q92" s="54" t="s">
        <v>149</v>
      </c>
      <c r="R92" s="54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288</v>
      </c>
      <c r="G93" s="33">
        <v>0</v>
      </c>
      <c r="J93" s="24">
        <v>50000</v>
      </c>
      <c r="M93" s="24">
        <v>50000</v>
      </c>
      <c r="O93" s="54" t="s">
        <v>149</v>
      </c>
      <c r="P93" s="54">
        <f>HEX2DEC(RIGHT(Table132321432[[#This Row],[h1]],8))</f>
        <v>0</v>
      </c>
      <c r="Q93" s="54" t="s">
        <v>149</v>
      </c>
      <c r="R93" s="54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289</v>
      </c>
      <c r="G94" s="33">
        <v>0</v>
      </c>
      <c r="J94" s="24">
        <v>50000</v>
      </c>
      <c r="M94" s="24">
        <v>50000</v>
      </c>
      <c r="O94" s="54" t="s">
        <v>149</v>
      </c>
      <c r="P94" s="54">
        <f>HEX2DEC(RIGHT(Table132321432[[#This Row],[h1]],8))</f>
        <v>0</v>
      </c>
      <c r="Q94" s="54" t="s">
        <v>149</v>
      </c>
      <c r="R94" s="54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290</v>
      </c>
      <c r="G95" s="33">
        <v>0</v>
      </c>
      <c r="J95" s="24">
        <v>50000</v>
      </c>
      <c r="M95" s="24">
        <v>50000</v>
      </c>
      <c r="O95" s="54" t="s">
        <v>149</v>
      </c>
      <c r="P95" s="54">
        <f>HEX2DEC(RIGHT(Table132321432[[#This Row],[h1]],8))</f>
        <v>0</v>
      </c>
      <c r="Q95" s="54" t="s">
        <v>149</v>
      </c>
      <c r="R95" s="54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291</v>
      </c>
      <c r="G96" s="33">
        <v>0</v>
      </c>
      <c r="J96" s="24">
        <v>50000</v>
      </c>
      <c r="M96" s="24">
        <v>50000</v>
      </c>
      <c r="O96" s="54" t="s">
        <v>149</v>
      </c>
      <c r="P96" s="54">
        <f>HEX2DEC(RIGHT(Table132321432[[#This Row],[h1]],8))</f>
        <v>0</v>
      </c>
      <c r="Q96" s="54" t="s">
        <v>149</v>
      </c>
      <c r="R96" s="54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292</v>
      </c>
      <c r="G97" s="33">
        <v>0</v>
      </c>
      <c r="J97" s="24">
        <v>50000</v>
      </c>
      <c r="M97" s="24">
        <v>50000</v>
      </c>
      <c r="O97" s="54" t="s">
        <v>149</v>
      </c>
      <c r="P97" s="54">
        <f>HEX2DEC(RIGHT(Table132321432[[#This Row],[h1]],8))</f>
        <v>0</v>
      </c>
      <c r="Q97" s="54" t="s">
        <v>149</v>
      </c>
      <c r="R97" s="54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293</v>
      </c>
      <c r="G98" s="33">
        <v>0</v>
      </c>
      <c r="J98" s="24">
        <v>50000</v>
      </c>
      <c r="M98" s="24">
        <v>50000</v>
      </c>
      <c r="O98" s="54" t="s">
        <v>149</v>
      </c>
      <c r="P98" s="54">
        <f>HEX2DEC(RIGHT(Table132321432[[#This Row],[h1]],8))</f>
        <v>0</v>
      </c>
      <c r="Q98" s="54" t="s">
        <v>149</v>
      </c>
      <c r="R98" s="54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294</v>
      </c>
      <c r="G99" s="33">
        <v>0</v>
      </c>
      <c r="J99" s="24">
        <v>50000</v>
      </c>
      <c r="M99" s="24">
        <v>50000</v>
      </c>
      <c r="O99" s="54" t="s">
        <v>149</v>
      </c>
      <c r="P99" s="54">
        <f>HEX2DEC(RIGHT(Table132321432[[#This Row],[h1]],8))</f>
        <v>0</v>
      </c>
      <c r="Q99" s="54" t="s">
        <v>149</v>
      </c>
      <c r="R99" s="54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295</v>
      </c>
      <c r="G100" s="33">
        <v>0</v>
      </c>
      <c r="J100" s="24">
        <v>50000</v>
      </c>
      <c r="M100" s="24">
        <v>50000</v>
      </c>
      <c r="O100" s="54" t="s">
        <v>149</v>
      </c>
      <c r="P100" s="54">
        <f>HEX2DEC(RIGHT(Table132321432[[#This Row],[h1]],8))</f>
        <v>0</v>
      </c>
      <c r="Q100" s="54" t="s">
        <v>149</v>
      </c>
      <c r="R100" s="54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296</v>
      </c>
      <c r="G101" s="33">
        <v>0</v>
      </c>
      <c r="J101" s="24">
        <v>50000</v>
      </c>
      <c r="M101" s="24">
        <v>50000</v>
      </c>
      <c r="O101" s="54" t="s">
        <v>149</v>
      </c>
      <c r="P101" s="54">
        <f>HEX2DEC(RIGHT(Table132321432[[#This Row],[h1]],8))</f>
        <v>0</v>
      </c>
      <c r="Q101" s="54" t="s">
        <v>149</v>
      </c>
      <c r="R101" s="54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297</v>
      </c>
      <c r="G102" s="33">
        <v>0</v>
      </c>
      <c r="J102" s="24">
        <v>50000</v>
      </c>
      <c r="M102" s="24">
        <v>50000</v>
      </c>
      <c r="O102" s="54" t="s">
        <v>149</v>
      </c>
      <c r="P102" s="54">
        <f>HEX2DEC(RIGHT(Table132321432[[#This Row],[h1]],8))</f>
        <v>0</v>
      </c>
      <c r="Q102" s="54" t="s">
        <v>149</v>
      </c>
      <c r="R102" s="54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298</v>
      </c>
      <c r="G103" s="33">
        <v>0</v>
      </c>
      <c r="J103" s="24">
        <v>50000</v>
      </c>
      <c r="M103" s="24">
        <v>50000</v>
      </c>
      <c r="O103" s="54" t="s">
        <v>149</v>
      </c>
      <c r="P103" s="54">
        <f>HEX2DEC(RIGHT(Table132321432[[#This Row],[h1]],8))</f>
        <v>0</v>
      </c>
      <c r="Q103" s="54" t="s">
        <v>149</v>
      </c>
      <c r="R103" s="54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299</v>
      </c>
      <c r="G104" s="33">
        <v>0</v>
      </c>
      <c r="J104" s="24">
        <v>50000</v>
      </c>
      <c r="M104" s="24">
        <v>50000</v>
      </c>
      <c r="O104" s="54" t="s">
        <v>149</v>
      </c>
      <c r="P104" s="54">
        <f>HEX2DEC(RIGHT(Table132321432[[#This Row],[h1]],8))</f>
        <v>0</v>
      </c>
      <c r="Q104" s="54" t="s">
        <v>149</v>
      </c>
      <c r="R104" s="54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300</v>
      </c>
      <c r="G105" s="33">
        <v>0</v>
      </c>
      <c r="J105" s="24">
        <v>50000</v>
      </c>
      <c r="M105" s="24">
        <v>50000</v>
      </c>
      <c r="O105" s="54" t="s">
        <v>149</v>
      </c>
      <c r="P105" s="54">
        <f>HEX2DEC(RIGHT(Table132321432[[#This Row],[h1]],8))</f>
        <v>0</v>
      </c>
      <c r="Q105" s="54" t="s">
        <v>149</v>
      </c>
      <c r="R105" s="54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4" t="s">
        <v>149</v>
      </c>
      <c r="P106" s="54">
        <f>HEX2DEC(RIGHT(Table132321432[[#This Row],[h1]],8))</f>
        <v>0</v>
      </c>
      <c r="Q106" s="54" t="s">
        <v>149</v>
      </c>
      <c r="R106" s="54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301</v>
      </c>
      <c r="G107" s="33">
        <v>124999</v>
      </c>
      <c r="J107" s="24">
        <v>50000</v>
      </c>
      <c r="M107" s="24">
        <v>50000</v>
      </c>
      <c r="O107" s="54" t="s">
        <v>149</v>
      </c>
      <c r="P107" s="54">
        <f>HEX2DEC(RIGHT(Table132321432[[#This Row],[h1]],8))</f>
        <v>0</v>
      </c>
      <c r="Q107" s="54" t="s">
        <v>149</v>
      </c>
      <c r="R107" s="54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302</v>
      </c>
      <c r="G108" s="33">
        <v>124999</v>
      </c>
      <c r="J108" s="24">
        <v>50000</v>
      </c>
      <c r="M108" s="24">
        <v>50000</v>
      </c>
      <c r="O108" s="54" t="s">
        <v>149</v>
      </c>
      <c r="P108" s="54">
        <f>HEX2DEC(RIGHT(Table132321432[[#This Row],[h1]],8))</f>
        <v>0</v>
      </c>
      <c r="Q108" s="54" t="s">
        <v>149</v>
      </c>
      <c r="R108" s="54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303</v>
      </c>
      <c r="G109" s="33">
        <v>124999</v>
      </c>
      <c r="J109" s="24">
        <v>50000</v>
      </c>
      <c r="M109" s="24">
        <v>50000</v>
      </c>
      <c r="O109" s="54" t="s">
        <v>149</v>
      </c>
      <c r="P109" s="54">
        <f>HEX2DEC(RIGHT(Table132321432[[#This Row],[h1]],8))</f>
        <v>0</v>
      </c>
      <c r="Q109" s="54" t="s">
        <v>149</v>
      </c>
      <c r="R109" s="54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304</v>
      </c>
      <c r="G110" s="33">
        <v>124999</v>
      </c>
      <c r="J110" s="24">
        <v>50000</v>
      </c>
      <c r="M110" s="24">
        <v>50000</v>
      </c>
      <c r="O110" s="54" t="s">
        <v>149</v>
      </c>
      <c r="P110" s="54">
        <f>HEX2DEC(RIGHT(Table132321432[[#This Row],[h1]],8))</f>
        <v>0</v>
      </c>
      <c r="Q110" s="54" t="s">
        <v>149</v>
      </c>
      <c r="R110" s="54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305</v>
      </c>
      <c r="G111" s="33">
        <v>124999</v>
      </c>
      <c r="J111" s="24">
        <v>50000</v>
      </c>
      <c r="M111" s="24">
        <v>50000</v>
      </c>
      <c r="O111" s="54" t="s">
        <v>149</v>
      </c>
      <c r="P111" s="54">
        <f>HEX2DEC(RIGHT(Table132321432[[#This Row],[h1]],8))</f>
        <v>0</v>
      </c>
      <c r="Q111" s="54" t="s">
        <v>149</v>
      </c>
      <c r="R111" s="54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306</v>
      </c>
      <c r="G112" s="33">
        <v>124999</v>
      </c>
      <c r="J112" s="24">
        <v>50000</v>
      </c>
      <c r="M112" s="24">
        <v>50000</v>
      </c>
      <c r="O112" s="54" t="s">
        <v>149</v>
      </c>
      <c r="P112" s="54">
        <f>HEX2DEC(RIGHT(Table132321432[[#This Row],[h1]],8))</f>
        <v>0</v>
      </c>
      <c r="Q112" s="54" t="s">
        <v>149</v>
      </c>
      <c r="R112" s="54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307</v>
      </c>
      <c r="G113" s="33">
        <v>124999</v>
      </c>
      <c r="J113" s="24">
        <v>50000</v>
      </c>
      <c r="M113" s="24">
        <v>50000</v>
      </c>
      <c r="O113" s="54" t="s">
        <v>149</v>
      </c>
      <c r="P113" s="54">
        <f>HEX2DEC(RIGHT(Table132321432[[#This Row],[h1]],8))</f>
        <v>0</v>
      </c>
      <c r="Q113" s="54" t="s">
        <v>149</v>
      </c>
      <c r="R113" s="54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308</v>
      </c>
      <c r="G114" s="33">
        <v>124999</v>
      </c>
      <c r="J114" s="24">
        <v>50000</v>
      </c>
      <c r="M114" s="24">
        <v>50000</v>
      </c>
      <c r="O114" s="54" t="s">
        <v>149</v>
      </c>
      <c r="P114" s="54">
        <f>HEX2DEC(RIGHT(Table132321432[[#This Row],[h1]],8))</f>
        <v>0</v>
      </c>
      <c r="Q114" s="54" t="s">
        <v>149</v>
      </c>
      <c r="R114" s="54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309</v>
      </c>
      <c r="G115" s="33">
        <v>124999</v>
      </c>
      <c r="J115" s="24">
        <v>50000</v>
      </c>
      <c r="M115" s="24">
        <v>50000</v>
      </c>
      <c r="O115" s="54" t="s">
        <v>149</v>
      </c>
      <c r="P115" s="54">
        <f>HEX2DEC(RIGHT(Table132321432[[#This Row],[h1]],8))</f>
        <v>0</v>
      </c>
      <c r="Q115" s="54" t="s">
        <v>149</v>
      </c>
      <c r="R115" s="54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310</v>
      </c>
      <c r="G116" s="33">
        <v>124999</v>
      </c>
      <c r="J116" s="24">
        <v>50000</v>
      </c>
      <c r="M116" s="24">
        <v>50000</v>
      </c>
      <c r="O116" s="54" t="s">
        <v>149</v>
      </c>
      <c r="P116" s="54">
        <f>HEX2DEC(RIGHT(Table132321432[[#This Row],[h1]],8))</f>
        <v>0</v>
      </c>
      <c r="Q116" s="54" t="s">
        <v>149</v>
      </c>
      <c r="R116" s="54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311</v>
      </c>
      <c r="G117" s="33">
        <v>124999</v>
      </c>
      <c r="J117" s="24">
        <v>50000</v>
      </c>
      <c r="M117" s="24">
        <v>50000</v>
      </c>
      <c r="O117" s="54" t="s">
        <v>149</v>
      </c>
      <c r="P117" s="54">
        <f>HEX2DEC(RIGHT(Table132321432[[#This Row],[h1]],8))</f>
        <v>0</v>
      </c>
      <c r="Q117" s="54" t="s">
        <v>149</v>
      </c>
      <c r="R117" s="54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312</v>
      </c>
      <c r="G118" s="33">
        <v>124999</v>
      </c>
      <c r="J118" s="24">
        <v>50000</v>
      </c>
      <c r="M118" s="24">
        <v>50000</v>
      </c>
      <c r="O118" s="54" t="s">
        <v>149</v>
      </c>
      <c r="P118" s="54">
        <f>HEX2DEC(RIGHT(Table132321432[[#This Row],[h1]],8))</f>
        <v>0</v>
      </c>
      <c r="Q118" s="54" t="s">
        <v>149</v>
      </c>
      <c r="R118" s="54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313</v>
      </c>
      <c r="G119" s="33">
        <v>124999</v>
      </c>
      <c r="J119" s="24">
        <v>50000</v>
      </c>
      <c r="M119" s="24">
        <v>50000</v>
      </c>
      <c r="O119" s="54" t="s">
        <v>149</v>
      </c>
      <c r="P119" s="54">
        <f>HEX2DEC(RIGHT(Table132321432[[#This Row],[h1]],8))</f>
        <v>0</v>
      </c>
      <c r="Q119" s="54" t="s">
        <v>149</v>
      </c>
      <c r="R119" s="54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314</v>
      </c>
      <c r="G120" s="33">
        <v>124999</v>
      </c>
      <c r="J120" s="24">
        <v>50000</v>
      </c>
      <c r="M120" s="24">
        <v>50000</v>
      </c>
      <c r="O120" s="54" t="s">
        <v>149</v>
      </c>
      <c r="P120" s="54">
        <f>HEX2DEC(RIGHT(Table132321432[[#This Row],[h1]],8))</f>
        <v>0</v>
      </c>
      <c r="Q120" s="54" t="s">
        <v>149</v>
      </c>
      <c r="R120" s="54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315</v>
      </c>
      <c r="G121" s="33">
        <v>124999</v>
      </c>
      <c r="J121" s="24">
        <v>50000</v>
      </c>
      <c r="M121" s="24">
        <v>50000</v>
      </c>
      <c r="O121" s="54" t="s">
        <v>149</v>
      </c>
      <c r="P121" s="54">
        <f>HEX2DEC(RIGHT(Table132321432[[#This Row],[h1]],8))</f>
        <v>0</v>
      </c>
      <c r="Q121" s="54" t="s">
        <v>149</v>
      </c>
      <c r="R121" s="54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316</v>
      </c>
      <c r="G122" s="33">
        <v>124999</v>
      </c>
      <c r="J122" s="24">
        <v>50000</v>
      </c>
      <c r="M122" s="24">
        <v>50000</v>
      </c>
      <c r="O122" s="54" t="s">
        <v>149</v>
      </c>
      <c r="P122" s="54">
        <f>HEX2DEC(RIGHT(Table132321432[[#This Row],[h1]],8))</f>
        <v>0</v>
      </c>
      <c r="Q122" s="54" t="s">
        <v>149</v>
      </c>
      <c r="R122" s="54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317</v>
      </c>
      <c r="G123" s="33">
        <v>124999</v>
      </c>
      <c r="J123" s="24">
        <v>50000</v>
      </c>
      <c r="M123" s="24">
        <v>50000</v>
      </c>
      <c r="O123" s="54" t="s">
        <v>149</v>
      </c>
      <c r="P123" s="54">
        <f>HEX2DEC(RIGHT(Table132321432[[#This Row],[h1]],8))</f>
        <v>0</v>
      </c>
      <c r="Q123" s="54" t="s">
        <v>149</v>
      </c>
      <c r="R123" s="54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318</v>
      </c>
      <c r="G124" s="33">
        <v>124999</v>
      </c>
      <c r="J124" s="24">
        <v>50000</v>
      </c>
      <c r="M124" s="24">
        <v>50000</v>
      </c>
      <c r="O124" s="54" t="s">
        <v>149</v>
      </c>
      <c r="P124" s="54">
        <f>HEX2DEC(RIGHT(Table132321432[[#This Row],[h1]],8))</f>
        <v>0</v>
      </c>
      <c r="Q124" s="54" t="s">
        <v>149</v>
      </c>
      <c r="R124" s="54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319</v>
      </c>
      <c r="G125" s="33">
        <v>124999</v>
      </c>
      <c r="J125" s="24">
        <v>50000</v>
      </c>
      <c r="M125" s="24">
        <v>50000</v>
      </c>
      <c r="O125" s="54" t="s">
        <v>149</v>
      </c>
      <c r="P125" s="54">
        <f>HEX2DEC(RIGHT(Table132321432[[#This Row],[h1]],8))</f>
        <v>0</v>
      </c>
      <c r="Q125" s="54" t="s">
        <v>149</v>
      </c>
      <c r="R125" s="54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320</v>
      </c>
      <c r="G126" s="33">
        <v>124999</v>
      </c>
      <c r="J126" s="24">
        <v>50000</v>
      </c>
      <c r="M126" s="24">
        <v>50000</v>
      </c>
      <c r="O126" s="54" t="s">
        <v>149</v>
      </c>
      <c r="P126" s="54">
        <f>HEX2DEC(RIGHT(Table132321432[[#This Row],[h1]],8))</f>
        <v>0</v>
      </c>
      <c r="Q126" s="54" t="s">
        <v>149</v>
      </c>
      <c r="R126" s="54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321</v>
      </c>
      <c r="G127" s="33">
        <v>124999</v>
      </c>
      <c r="J127" s="24">
        <v>50000</v>
      </c>
      <c r="M127" s="24">
        <v>50000</v>
      </c>
      <c r="O127" s="54" t="s">
        <v>149</v>
      </c>
      <c r="P127" s="54">
        <f>HEX2DEC(RIGHT(Table132321432[[#This Row],[h1]],8))</f>
        <v>0</v>
      </c>
      <c r="Q127" s="54" t="s">
        <v>149</v>
      </c>
      <c r="R127" s="54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322</v>
      </c>
      <c r="G128" s="33">
        <v>124999</v>
      </c>
      <c r="J128" s="24">
        <v>50000</v>
      </c>
      <c r="M128" s="24">
        <v>50000</v>
      </c>
      <c r="O128" s="54" t="s">
        <v>149</v>
      </c>
      <c r="P128" s="54">
        <f>HEX2DEC(RIGHT(Table132321432[[#This Row],[h1]],8))</f>
        <v>0</v>
      </c>
      <c r="Q128" s="54" t="s">
        <v>149</v>
      </c>
      <c r="R128" s="54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323</v>
      </c>
      <c r="G129" s="33">
        <v>124999</v>
      </c>
      <c r="J129" s="24">
        <v>50000</v>
      </c>
      <c r="M129" s="24">
        <v>50000</v>
      </c>
      <c r="O129" s="54" t="s">
        <v>149</v>
      </c>
      <c r="P129" s="54">
        <f>HEX2DEC(RIGHT(Table132321432[[#This Row],[h1]],8))</f>
        <v>0</v>
      </c>
      <c r="Q129" s="54" t="s">
        <v>149</v>
      </c>
      <c r="R129" s="54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324</v>
      </c>
      <c r="G130" s="33">
        <v>124999</v>
      </c>
      <c r="J130" s="24">
        <v>50000</v>
      </c>
      <c r="M130" s="24">
        <v>50000</v>
      </c>
      <c r="O130" s="54" t="s">
        <v>149</v>
      </c>
      <c r="P130" s="54">
        <f>HEX2DEC(RIGHT(Table132321432[[#This Row],[h1]],8))</f>
        <v>0</v>
      </c>
      <c r="Q130" s="54" t="s">
        <v>149</v>
      </c>
      <c r="R130" s="54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325</v>
      </c>
      <c r="G131" s="33">
        <v>124999</v>
      </c>
      <c r="J131" s="24">
        <v>50000</v>
      </c>
      <c r="M131" s="24">
        <v>50000</v>
      </c>
      <c r="O131" s="54" t="s">
        <v>149</v>
      </c>
      <c r="P131" s="54">
        <f>HEX2DEC(RIGHT(Table132321432[[#This Row],[h1]],8))</f>
        <v>0</v>
      </c>
      <c r="Q131" s="54" t="s">
        <v>149</v>
      </c>
      <c r="R131" s="54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326</v>
      </c>
      <c r="G132" s="33">
        <v>124999</v>
      </c>
      <c r="J132" s="24">
        <v>50000</v>
      </c>
      <c r="M132" s="24">
        <v>50000</v>
      </c>
      <c r="O132" s="54" t="s">
        <v>149</v>
      </c>
      <c r="P132" s="54">
        <f>HEX2DEC(RIGHT(Table132321432[[#This Row],[h1]],8))</f>
        <v>0</v>
      </c>
      <c r="Q132" s="54" t="s">
        <v>149</v>
      </c>
      <c r="R132" s="54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327</v>
      </c>
      <c r="G133" s="33">
        <v>124999</v>
      </c>
      <c r="J133" s="24">
        <v>50000</v>
      </c>
      <c r="M133" s="24">
        <v>50000</v>
      </c>
      <c r="O133" s="54" t="s">
        <v>149</v>
      </c>
      <c r="P133" s="54">
        <f>HEX2DEC(RIGHT(Table132321432[[#This Row],[h1]],8))</f>
        <v>0</v>
      </c>
      <c r="Q133" s="54" t="s">
        <v>149</v>
      </c>
      <c r="R133" s="54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328</v>
      </c>
      <c r="F134" s="22"/>
      <c r="G134" s="33">
        <v>124999</v>
      </c>
      <c r="J134" s="24">
        <v>50000</v>
      </c>
      <c r="M134" s="24">
        <v>50000</v>
      </c>
      <c r="O134" s="54" t="s">
        <v>149</v>
      </c>
      <c r="P134" s="54">
        <f>HEX2DEC(RIGHT(Table132321432[[#This Row],[h1]],8))</f>
        <v>0</v>
      </c>
      <c r="Q134" s="54" t="s">
        <v>149</v>
      </c>
      <c r="R134" s="54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329</v>
      </c>
      <c r="F135" s="22"/>
      <c r="G135" s="33">
        <v>124999</v>
      </c>
      <c r="J135" s="24">
        <v>50000</v>
      </c>
      <c r="M135" s="24">
        <v>50000</v>
      </c>
      <c r="O135" s="54" t="s">
        <v>149</v>
      </c>
      <c r="P135" s="54">
        <f>HEX2DEC(RIGHT(Table132321432[[#This Row],[h1]],8))</f>
        <v>0</v>
      </c>
      <c r="Q135" s="54" t="s">
        <v>149</v>
      </c>
      <c r="R135" s="54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330</v>
      </c>
      <c r="F136" s="22"/>
      <c r="G136" s="33">
        <v>124999</v>
      </c>
      <c r="J136" s="24">
        <v>50000</v>
      </c>
      <c r="M136" s="24">
        <v>50000</v>
      </c>
      <c r="O136" s="54" t="s">
        <v>149</v>
      </c>
      <c r="P136" s="54">
        <f>HEX2DEC(RIGHT(Table132321432[[#This Row],[h1]],8))</f>
        <v>0</v>
      </c>
      <c r="Q136" s="54" t="s">
        <v>149</v>
      </c>
      <c r="R136" s="54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331</v>
      </c>
      <c r="F137" s="22"/>
      <c r="G137" s="33">
        <v>124999</v>
      </c>
      <c r="J137" s="24">
        <v>50000</v>
      </c>
      <c r="M137" s="24">
        <v>50000</v>
      </c>
      <c r="O137" s="54" t="s">
        <v>149</v>
      </c>
      <c r="P137" s="54">
        <f>HEX2DEC(RIGHT(Table132321432[[#This Row],[h1]],8))</f>
        <v>0</v>
      </c>
      <c r="Q137" s="54" t="s">
        <v>149</v>
      </c>
      <c r="R137" s="54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332</v>
      </c>
      <c r="F138" s="22"/>
      <c r="G138" s="33">
        <v>124999</v>
      </c>
      <c r="J138" s="24">
        <v>50000</v>
      </c>
      <c r="M138" s="24">
        <v>50000</v>
      </c>
      <c r="O138" s="54" t="s">
        <v>149</v>
      </c>
      <c r="P138" s="54">
        <f>HEX2DEC(RIGHT(Table132321432[[#This Row],[h1]],8))</f>
        <v>0</v>
      </c>
      <c r="Q138" s="54" t="s">
        <v>149</v>
      </c>
      <c r="R138" s="54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4" t="s">
        <v>149</v>
      </c>
      <c r="P139" s="54">
        <f>HEX2DEC(RIGHT(Table132321432[[#This Row],[h1]],8))</f>
        <v>0</v>
      </c>
      <c r="Q139" s="54" t="s">
        <v>149</v>
      </c>
      <c r="R139" s="54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333</v>
      </c>
      <c r="F140" s="22"/>
      <c r="G140" s="36">
        <v>1</v>
      </c>
      <c r="J140" s="24">
        <v>50000</v>
      </c>
      <c r="M140" s="24">
        <v>50000</v>
      </c>
      <c r="O140" s="54" t="s">
        <v>149</v>
      </c>
      <c r="P140" s="54">
        <f>HEX2DEC(RIGHT(Table132321432[[#This Row],[h1]],8))</f>
        <v>0</v>
      </c>
      <c r="Q140" s="54" t="s">
        <v>149</v>
      </c>
      <c r="R140" s="54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333</v>
      </c>
      <c r="F141" s="22"/>
      <c r="G141" s="36">
        <v>0</v>
      </c>
      <c r="J141" s="24">
        <v>50000</v>
      </c>
      <c r="M141" s="24">
        <v>50000</v>
      </c>
      <c r="O141" s="54" t="s">
        <v>149</v>
      </c>
      <c r="P141" s="54">
        <f>HEX2DEC(RIGHT(Table132321432[[#This Row],[h1]],8))</f>
        <v>0</v>
      </c>
      <c r="Q141" s="54" t="s">
        <v>149</v>
      </c>
      <c r="R141" s="54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4" t="s">
        <v>149</v>
      </c>
      <c r="P142" s="54">
        <f>HEX2DEC(RIGHT(Table132321432[[#This Row],[h1]],8))</f>
        <v>0</v>
      </c>
      <c r="Q142" s="54" t="s">
        <v>149</v>
      </c>
      <c r="R142" s="54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334</v>
      </c>
      <c r="F143" s="22"/>
      <c r="G143" s="32">
        <v>0</v>
      </c>
      <c r="J143" s="24">
        <v>50000</v>
      </c>
      <c r="M143" s="24">
        <v>50000</v>
      </c>
      <c r="O143" s="54" t="s">
        <v>149</v>
      </c>
      <c r="P143" s="54">
        <f>HEX2DEC(RIGHT(Table132321432[[#This Row],[h1]],8))</f>
        <v>0</v>
      </c>
      <c r="Q143" s="54" t="s">
        <v>149</v>
      </c>
      <c r="R143" s="54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335</v>
      </c>
      <c r="F144" s="22"/>
      <c r="G144" s="32">
        <v>0</v>
      </c>
      <c r="J144" s="24">
        <v>50000</v>
      </c>
      <c r="M144" s="24">
        <v>50000</v>
      </c>
      <c r="O144" s="54" t="s">
        <v>149</v>
      </c>
      <c r="P144" s="54">
        <f>HEX2DEC(RIGHT(Table132321432[[#This Row],[h1]],8))</f>
        <v>0</v>
      </c>
      <c r="Q144" s="54" t="s">
        <v>149</v>
      </c>
      <c r="R144" s="54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336</v>
      </c>
      <c r="F145" s="22"/>
      <c r="G145" s="32">
        <v>0</v>
      </c>
      <c r="J145" s="24">
        <v>50000</v>
      </c>
      <c r="M145" s="24">
        <v>50000</v>
      </c>
      <c r="O145" s="54" t="s">
        <v>149</v>
      </c>
      <c r="P145" s="54">
        <f>HEX2DEC(RIGHT(Table132321432[[#This Row],[h1]],8))</f>
        <v>0</v>
      </c>
      <c r="Q145" s="54" t="s">
        <v>149</v>
      </c>
      <c r="R145" s="54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4" t="s">
        <v>149</v>
      </c>
      <c r="P146" s="54">
        <f>HEX2DEC(RIGHT(Table132321432[[#This Row],[h1]],8))</f>
        <v>0</v>
      </c>
      <c r="Q146" s="54" t="s">
        <v>149</v>
      </c>
      <c r="R146" s="54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337</v>
      </c>
      <c r="F147" s="22"/>
      <c r="G147" s="32">
        <v>1</v>
      </c>
      <c r="J147" s="24">
        <v>50000</v>
      </c>
      <c r="M147" s="24">
        <v>50000</v>
      </c>
      <c r="O147" s="54" t="s">
        <v>149</v>
      </c>
      <c r="P147" s="54">
        <f>HEX2DEC(RIGHT(Table132321432[[#This Row],[h1]],8))</f>
        <v>0</v>
      </c>
      <c r="Q147" s="54" t="s">
        <v>149</v>
      </c>
      <c r="R147" s="54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338</v>
      </c>
      <c r="F148" s="22"/>
      <c r="G148" s="32">
        <v>1</v>
      </c>
      <c r="J148" s="24">
        <v>50000</v>
      </c>
      <c r="M148" s="24">
        <v>50000</v>
      </c>
      <c r="O148" s="54" t="s">
        <v>149</v>
      </c>
      <c r="P148" s="54">
        <f>HEX2DEC(RIGHT(Table132321432[[#This Row],[h1]],8))</f>
        <v>0</v>
      </c>
      <c r="Q148" s="54" t="s">
        <v>149</v>
      </c>
      <c r="R148" s="54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339</v>
      </c>
      <c r="F149" s="22"/>
      <c r="G149" s="32">
        <v>1</v>
      </c>
      <c r="J149" s="24">
        <v>50000</v>
      </c>
      <c r="M149" s="24">
        <v>50000</v>
      </c>
      <c r="O149" s="54" t="s">
        <v>149</v>
      </c>
      <c r="P149" s="54">
        <f>HEX2DEC(RIGHT(Table132321432[[#This Row],[h1]],8))</f>
        <v>0</v>
      </c>
      <c r="Q149" s="54" t="s">
        <v>149</v>
      </c>
      <c r="R149" s="54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701</v>
      </c>
      <c r="F150" s="22"/>
      <c r="G150" s="32">
        <v>1</v>
      </c>
      <c r="J150" s="24">
        <v>50000</v>
      </c>
      <c r="M150" s="24">
        <v>50000</v>
      </c>
      <c r="O150" s="54" t="s">
        <v>149</v>
      </c>
      <c r="P150" s="54">
        <f>HEX2DEC(RIGHT(Table132321432[[#This Row],[h1]],8))</f>
        <v>0</v>
      </c>
      <c r="Q150" s="54" t="s">
        <v>149</v>
      </c>
      <c r="R150" s="54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4" t="s">
        <v>149</v>
      </c>
      <c r="P151" s="54">
        <f>HEX2DEC(RIGHT(Table132321432[[#This Row],[h1]],8))</f>
        <v>0</v>
      </c>
      <c r="Q151" s="54" t="s">
        <v>149</v>
      </c>
      <c r="R151" s="54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344</v>
      </c>
      <c r="E152" s="56">
        <v>1</v>
      </c>
      <c r="F152" s="57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4" t="s">
        <v>149</v>
      </c>
      <c r="P152" s="54">
        <f>HEX2DEC(RIGHT(Table132321432[[#This Row],[h1]],8))</f>
        <v>0</v>
      </c>
      <c r="Q152" s="54" t="s">
        <v>149</v>
      </c>
      <c r="R152" s="54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345</v>
      </c>
      <c r="E153" s="56">
        <v>10</v>
      </c>
      <c r="F153" s="57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4" t="s">
        <v>149</v>
      </c>
      <c r="P153" s="54">
        <f>HEX2DEC(RIGHT(Table132321432[[#This Row],[h1]],8))</f>
        <v>0</v>
      </c>
      <c r="Q153" s="54" t="s">
        <v>149</v>
      </c>
      <c r="R153" s="54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346</v>
      </c>
      <c r="E154" s="56">
        <v>100</v>
      </c>
      <c r="F154" s="57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4" t="s">
        <v>149</v>
      </c>
      <c r="P154" s="54">
        <f>HEX2DEC(RIGHT(Table132321432[[#This Row],[h1]],8))</f>
        <v>0</v>
      </c>
      <c r="Q154" s="54" t="s">
        <v>149</v>
      </c>
      <c r="R154" s="54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347</v>
      </c>
      <c r="E155" s="56">
        <v>1000</v>
      </c>
      <c r="F155" s="57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4" t="s">
        <v>149</v>
      </c>
      <c r="P155" s="54">
        <f>HEX2DEC(RIGHT(Table132321432[[#This Row],[h1]],8))</f>
        <v>0</v>
      </c>
      <c r="Q155" s="54" t="s">
        <v>149</v>
      </c>
      <c r="R155" s="54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348</v>
      </c>
      <c r="E156" s="56">
        <v>10000</v>
      </c>
      <c r="F156" s="57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4" t="s">
        <v>149</v>
      </c>
      <c r="P156" s="54">
        <f>HEX2DEC(RIGHT(Table132321432[[#This Row],[h1]],8))</f>
        <v>0</v>
      </c>
      <c r="Q156" s="54" t="s">
        <v>149</v>
      </c>
      <c r="R156" s="54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349</v>
      </c>
      <c r="E157" s="56">
        <v>100000</v>
      </c>
      <c r="F157" s="57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4" t="s">
        <v>149</v>
      </c>
      <c r="P157" s="54">
        <f>HEX2DEC(RIGHT(Table132321432[[#This Row],[h1]],8))</f>
        <v>0</v>
      </c>
      <c r="Q157" s="54" t="s">
        <v>149</v>
      </c>
      <c r="R157" s="54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350</v>
      </c>
      <c r="E158" s="56">
        <v>200000</v>
      </c>
      <c r="F158" s="57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4" t="s">
        <v>149</v>
      </c>
      <c r="P158" s="54">
        <f>HEX2DEC(RIGHT(Table132321432[[#This Row],[h1]],8))</f>
        <v>0</v>
      </c>
      <c r="Q158" s="54" t="s">
        <v>149</v>
      </c>
      <c r="R158" s="54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351</v>
      </c>
      <c r="E159" s="56">
        <v>300000</v>
      </c>
      <c r="F159" s="57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4" t="s">
        <v>149</v>
      </c>
      <c r="P159" s="54">
        <f>HEX2DEC(RIGHT(Table132321432[[#This Row],[h1]],8))</f>
        <v>0</v>
      </c>
      <c r="Q159" s="54" t="s">
        <v>149</v>
      </c>
      <c r="R159" s="54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352</v>
      </c>
      <c r="E160" s="56">
        <v>400000</v>
      </c>
      <c r="F160" s="57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4" t="s">
        <v>149</v>
      </c>
      <c r="P160" s="54">
        <f>HEX2DEC(RIGHT(Table132321432[[#This Row],[h1]],8))</f>
        <v>0</v>
      </c>
      <c r="Q160" s="54" t="s">
        <v>149</v>
      </c>
      <c r="R160" s="54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353</v>
      </c>
      <c r="E161" s="56">
        <v>500000</v>
      </c>
      <c r="F161" s="57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4" t="s">
        <v>149</v>
      </c>
      <c r="P161" s="54">
        <f>HEX2DEC(RIGHT(Table132321432[[#This Row],[h1]],8))</f>
        <v>0</v>
      </c>
      <c r="Q161" s="54" t="s">
        <v>149</v>
      </c>
      <c r="R161" s="54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354</v>
      </c>
      <c r="E162" s="56">
        <v>600000</v>
      </c>
      <c r="F162" s="57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4" t="s">
        <v>149</v>
      </c>
      <c r="P162" s="54">
        <f>HEX2DEC(RIGHT(Table132321432[[#This Row],[h1]],8))</f>
        <v>0</v>
      </c>
      <c r="Q162" s="54" t="s">
        <v>149</v>
      </c>
      <c r="R162" s="54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355</v>
      </c>
      <c r="E163" s="56">
        <v>700000</v>
      </c>
      <c r="F163" s="57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4" t="s">
        <v>149</v>
      </c>
      <c r="P163" s="54">
        <f>HEX2DEC(RIGHT(Table132321432[[#This Row],[h1]],8))</f>
        <v>0</v>
      </c>
      <c r="Q163" s="54" t="s">
        <v>149</v>
      </c>
      <c r="R163" s="54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356</v>
      </c>
      <c r="E164" s="56">
        <v>800000</v>
      </c>
      <c r="F164" s="57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4" t="s">
        <v>149</v>
      </c>
      <c r="P164" s="54">
        <f>HEX2DEC(RIGHT(Table132321432[[#This Row],[h1]],8))</f>
        <v>0</v>
      </c>
      <c r="Q164" s="54" t="s">
        <v>149</v>
      </c>
      <c r="R164" s="54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357</v>
      </c>
      <c r="E165" s="56">
        <v>900000</v>
      </c>
      <c r="F165" s="57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4" t="s">
        <v>149</v>
      </c>
      <c r="P165" s="54">
        <f>HEX2DEC(RIGHT(Table132321432[[#This Row],[h1]],8))</f>
        <v>0</v>
      </c>
      <c r="Q165" s="54" t="s">
        <v>149</v>
      </c>
      <c r="R165" s="54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4" t="s">
        <v>149</v>
      </c>
      <c r="P166" s="54">
        <f>HEX2DEC(RIGHT(Table132321432[[#This Row],[h1]],8))</f>
        <v>0</v>
      </c>
      <c r="Q166" s="54" t="s">
        <v>149</v>
      </c>
      <c r="R166" s="54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358</v>
      </c>
      <c r="G167" s="54" t="s">
        <v>94</v>
      </c>
      <c r="J167" s="24">
        <v>50000</v>
      </c>
      <c r="M167" s="24">
        <v>50000</v>
      </c>
      <c r="O167" s="54" t="s">
        <v>149</v>
      </c>
      <c r="P167" s="54">
        <f>HEX2DEC(RIGHT(Table132321432[[#This Row],[h1]],8))</f>
        <v>0</v>
      </c>
      <c r="Q167" s="54" t="s">
        <v>149</v>
      </c>
      <c r="R167" s="54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359</v>
      </c>
      <c r="G168" s="54" t="s">
        <v>94</v>
      </c>
      <c r="J168" s="24">
        <v>50000</v>
      </c>
      <c r="M168" s="24">
        <v>50000</v>
      </c>
      <c r="O168" s="54" t="s">
        <v>149</v>
      </c>
      <c r="P168" s="54">
        <f>HEX2DEC(RIGHT(Table132321432[[#This Row],[h1]],8))</f>
        <v>0</v>
      </c>
      <c r="Q168" s="54" t="s">
        <v>149</v>
      </c>
      <c r="R168" s="54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360</v>
      </c>
      <c r="G169" s="54" t="s">
        <v>94</v>
      </c>
      <c r="J169" s="24">
        <v>50000</v>
      </c>
      <c r="M169" s="24">
        <v>50000</v>
      </c>
      <c r="O169" s="54" t="s">
        <v>149</v>
      </c>
      <c r="P169" s="54">
        <f>HEX2DEC(RIGHT(Table132321432[[#This Row],[h1]],8))</f>
        <v>0</v>
      </c>
      <c r="Q169" s="54" t="s">
        <v>149</v>
      </c>
      <c r="R169" s="54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361</v>
      </c>
      <c r="G170" s="54" t="s">
        <v>94</v>
      </c>
      <c r="J170" s="24">
        <v>50000</v>
      </c>
      <c r="M170" s="24">
        <v>50000</v>
      </c>
      <c r="O170" s="54" t="s">
        <v>149</v>
      </c>
      <c r="P170" s="54">
        <f>HEX2DEC(RIGHT(Table132321432[[#This Row],[h1]],8))</f>
        <v>0</v>
      </c>
      <c r="Q170" s="54" t="s">
        <v>149</v>
      </c>
      <c r="R170" s="54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362</v>
      </c>
      <c r="G171" s="54" t="s">
        <v>94</v>
      </c>
      <c r="J171" s="24">
        <v>50000</v>
      </c>
      <c r="M171" s="24">
        <v>50000</v>
      </c>
      <c r="O171" s="54" t="s">
        <v>149</v>
      </c>
      <c r="P171" s="54">
        <f>HEX2DEC(RIGHT(Table132321432[[#This Row],[h1]],8))</f>
        <v>0</v>
      </c>
      <c r="Q171" s="54" t="s">
        <v>149</v>
      </c>
      <c r="R171" s="54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363</v>
      </c>
      <c r="G172" s="54" t="s">
        <v>94</v>
      </c>
      <c r="J172" s="24">
        <v>50000</v>
      </c>
      <c r="M172" s="24">
        <v>50000</v>
      </c>
      <c r="O172" s="54" t="s">
        <v>149</v>
      </c>
      <c r="P172" s="54">
        <f>HEX2DEC(RIGHT(Table132321432[[#This Row],[h1]],8))</f>
        <v>0</v>
      </c>
      <c r="Q172" s="54" t="s">
        <v>149</v>
      </c>
      <c r="R172" s="54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364</v>
      </c>
      <c r="G173" s="54" t="s">
        <v>94</v>
      </c>
      <c r="J173" s="24">
        <v>50000</v>
      </c>
      <c r="M173" s="24">
        <v>50000</v>
      </c>
      <c r="O173" s="54" t="s">
        <v>149</v>
      </c>
      <c r="P173" s="54">
        <f>HEX2DEC(RIGHT(Table132321432[[#This Row],[h1]],8))</f>
        <v>0</v>
      </c>
      <c r="Q173" s="54" t="s">
        <v>149</v>
      </c>
      <c r="R173" s="54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365</v>
      </c>
      <c r="G174" s="54" t="s">
        <v>94</v>
      </c>
      <c r="J174" s="24">
        <v>50000</v>
      </c>
      <c r="M174" s="24">
        <v>50000</v>
      </c>
      <c r="O174" s="54" t="s">
        <v>149</v>
      </c>
      <c r="P174" s="54">
        <f>HEX2DEC(RIGHT(Table132321432[[#This Row],[h1]],8))</f>
        <v>0</v>
      </c>
      <c r="Q174" s="54" t="s">
        <v>149</v>
      </c>
      <c r="R174" s="54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4"/>
      <c r="J175" s="24">
        <v>50000</v>
      </c>
      <c r="M175" s="24">
        <v>50000</v>
      </c>
      <c r="O175" s="54" t="s">
        <v>149</v>
      </c>
      <c r="P175" s="54">
        <f>HEX2DEC(RIGHT(Table132321432[[#This Row],[h1]],8))</f>
        <v>0</v>
      </c>
      <c r="Q175" s="54" t="s">
        <v>149</v>
      </c>
      <c r="R175" s="54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366</v>
      </c>
      <c r="G176" s="54" t="s">
        <v>94</v>
      </c>
      <c r="J176" s="24">
        <v>50000</v>
      </c>
      <c r="M176" s="24">
        <v>50000</v>
      </c>
      <c r="O176" s="54" t="s">
        <v>149</v>
      </c>
      <c r="P176" s="54">
        <f>HEX2DEC(RIGHT(Table132321432[[#This Row],[h1]],8))</f>
        <v>0</v>
      </c>
      <c r="Q176" s="54" t="s">
        <v>149</v>
      </c>
      <c r="R176" s="54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367</v>
      </c>
      <c r="G177" s="54" t="s">
        <v>94</v>
      </c>
      <c r="J177" s="24">
        <v>50000</v>
      </c>
      <c r="M177" s="24">
        <v>50000</v>
      </c>
      <c r="O177" s="54" t="s">
        <v>149</v>
      </c>
      <c r="P177" s="54">
        <f>HEX2DEC(RIGHT(Table132321432[[#This Row],[h1]],8))</f>
        <v>0</v>
      </c>
      <c r="Q177" s="54" t="s">
        <v>149</v>
      </c>
      <c r="R177" s="54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368</v>
      </c>
      <c r="G178" s="54" t="s">
        <v>94</v>
      </c>
      <c r="J178" s="24">
        <v>50000</v>
      </c>
      <c r="M178" s="24">
        <v>50000</v>
      </c>
      <c r="O178" s="54" t="s">
        <v>149</v>
      </c>
      <c r="P178" s="54">
        <f>HEX2DEC(RIGHT(Table132321432[[#This Row],[h1]],8))</f>
        <v>0</v>
      </c>
      <c r="Q178" s="54" t="s">
        <v>149</v>
      </c>
      <c r="R178" s="54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369</v>
      </c>
      <c r="G179" s="54" t="s">
        <v>94</v>
      </c>
      <c r="J179" s="24">
        <v>50000</v>
      </c>
      <c r="M179" s="24">
        <v>50000</v>
      </c>
      <c r="O179" s="54" t="s">
        <v>149</v>
      </c>
      <c r="P179" s="54">
        <f>HEX2DEC(RIGHT(Table132321432[[#This Row],[h1]],8))</f>
        <v>0</v>
      </c>
      <c r="Q179" s="54" t="s">
        <v>149</v>
      </c>
      <c r="R179" s="54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370</v>
      </c>
      <c r="G180" s="54" t="s">
        <v>94</v>
      </c>
      <c r="J180" s="24">
        <v>50000</v>
      </c>
      <c r="M180" s="24">
        <v>50000</v>
      </c>
      <c r="O180" s="54" t="s">
        <v>149</v>
      </c>
      <c r="P180" s="54">
        <f>HEX2DEC(RIGHT(Table132321432[[#This Row],[h1]],8))</f>
        <v>0</v>
      </c>
      <c r="Q180" s="54" t="s">
        <v>149</v>
      </c>
      <c r="R180" s="54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371</v>
      </c>
      <c r="G181" s="54" t="s">
        <v>94</v>
      </c>
      <c r="J181" s="24">
        <v>50000</v>
      </c>
      <c r="M181" s="24">
        <v>50000</v>
      </c>
      <c r="O181" s="54" t="s">
        <v>149</v>
      </c>
      <c r="P181" s="54">
        <f>HEX2DEC(RIGHT(Table132321432[[#This Row],[h1]],8))</f>
        <v>0</v>
      </c>
      <c r="Q181" s="54" t="s">
        <v>149</v>
      </c>
      <c r="R181" s="54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372</v>
      </c>
      <c r="G182" s="54" t="s">
        <v>94</v>
      </c>
      <c r="J182" s="24">
        <v>50000</v>
      </c>
      <c r="M182" s="24">
        <v>50000</v>
      </c>
      <c r="O182" s="54" t="s">
        <v>149</v>
      </c>
      <c r="P182" s="54">
        <f>HEX2DEC(RIGHT(Table132321432[[#This Row],[h1]],8))</f>
        <v>0</v>
      </c>
      <c r="Q182" s="54" t="s">
        <v>149</v>
      </c>
      <c r="R182" s="54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373</v>
      </c>
      <c r="G183" s="54" t="s">
        <v>94</v>
      </c>
      <c r="J183" s="24">
        <v>50000</v>
      </c>
      <c r="M183" s="24">
        <v>50000</v>
      </c>
      <c r="O183" s="54" t="s">
        <v>149</v>
      </c>
      <c r="P183" s="54">
        <f>HEX2DEC(RIGHT(Table132321432[[#This Row],[h1]],8))</f>
        <v>0</v>
      </c>
      <c r="Q183" s="54" t="s">
        <v>149</v>
      </c>
      <c r="R183" s="54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374</v>
      </c>
      <c r="G184" s="54" t="s">
        <v>94</v>
      </c>
      <c r="J184" s="24">
        <v>50000</v>
      </c>
      <c r="M184" s="24">
        <v>50000</v>
      </c>
      <c r="O184" s="54" t="s">
        <v>149</v>
      </c>
      <c r="P184" s="54">
        <f>HEX2DEC(RIGHT(Table132321432[[#This Row],[h1]],8))</f>
        <v>0</v>
      </c>
      <c r="Q184" s="54" t="s">
        <v>149</v>
      </c>
      <c r="R184" s="54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375</v>
      </c>
      <c r="G185" s="54" t="s">
        <v>94</v>
      </c>
      <c r="J185" s="24">
        <v>50000</v>
      </c>
      <c r="M185" s="24">
        <v>50000</v>
      </c>
      <c r="O185" s="54" t="s">
        <v>149</v>
      </c>
      <c r="P185" s="54">
        <f>HEX2DEC(RIGHT(Table132321432[[#This Row],[h1]],8))</f>
        <v>0</v>
      </c>
      <c r="Q185" s="54" t="s">
        <v>149</v>
      </c>
      <c r="R185" s="54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376</v>
      </c>
      <c r="G186" s="54" t="s">
        <v>94</v>
      </c>
      <c r="J186" s="24">
        <v>50000</v>
      </c>
      <c r="M186" s="24">
        <v>50000</v>
      </c>
      <c r="O186" s="54" t="s">
        <v>149</v>
      </c>
      <c r="P186" s="54">
        <f>HEX2DEC(RIGHT(Table132321432[[#This Row],[h1]],8))</f>
        <v>0</v>
      </c>
      <c r="Q186" s="54" t="s">
        <v>149</v>
      </c>
      <c r="R186" s="54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377</v>
      </c>
      <c r="G187" s="54" t="s">
        <v>94</v>
      </c>
      <c r="J187" s="24">
        <v>50000</v>
      </c>
      <c r="M187" s="24">
        <v>50000</v>
      </c>
      <c r="O187" s="54" t="s">
        <v>149</v>
      </c>
      <c r="P187" s="54">
        <f>HEX2DEC(RIGHT(Table132321432[[#This Row],[h1]],8))</f>
        <v>0</v>
      </c>
      <c r="Q187" s="54" t="s">
        <v>149</v>
      </c>
      <c r="R187" s="54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378</v>
      </c>
      <c r="G188" s="54" t="s">
        <v>94</v>
      </c>
      <c r="J188" s="24">
        <v>50000</v>
      </c>
      <c r="M188" s="24">
        <v>50000</v>
      </c>
      <c r="O188" s="54" t="s">
        <v>149</v>
      </c>
      <c r="P188" s="54">
        <f>HEX2DEC(RIGHT(Table132321432[[#This Row],[h1]],8))</f>
        <v>0</v>
      </c>
      <c r="Q188" s="54" t="s">
        <v>149</v>
      </c>
      <c r="R188" s="54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379</v>
      </c>
      <c r="G189" s="54" t="s">
        <v>94</v>
      </c>
      <c r="J189" s="24">
        <v>50000</v>
      </c>
      <c r="M189" s="24">
        <v>50000</v>
      </c>
      <c r="O189" s="54" t="s">
        <v>149</v>
      </c>
      <c r="P189" s="54">
        <f>HEX2DEC(RIGHT(Table132321432[[#This Row],[h1]],8))</f>
        <v>0</v>
      </c>
      <c r="Q189" s="54" t="s">
        <v>149</v>
      </c>
      <c r="R189" s="54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380</v>
      </c>
      <c r="G190" s="54" t="s">
        <v>94</v>
      </c>
      <c r="J190" s="24">
        <v>50000</v>
      </c>
      <c r="M190" s="24">
        <v>50000</v>
      </c>
      <c r="O190" s="54" t="s">
        <v>149</v>
      </c>
      <c r="P190" s="54">
        <f>HEX2DEC(RIGHT(Table132321432[[#This Row],[h1]],8))</f>
        <v>0</v>
      </c>
      <c r="Q190" s="54" t="s">
        <v>149</v>
      </c>
      <c r="R190" s="54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381</v>
      </c>
      <c r="E191" s="27"/>
      <c r="F191" s="27"/>
      <c r="G191" s="54" t="s">
        <v>94</v>
      </c>
      <c r="J191" s="24">
        <v>50000</v>
      </c>
      <c r="M191" s="24">
        <v>50000</v>
      </c>
      <c r="O191" s="54" t="s">
        <v>149</v>
      </c>
      <c r="P191" s="54">
        <f>HEX2DEC(RIGHT(Table132321432[[#This Row],[h1]],8))</f>
        <v>0</v>
      </c>
      <c r="Q191" s="54" t="s">
        <v>149</v>
      </c>
      <c r="R191" s="54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382</v>
      </c>
      <c r="G192" s="54" t="s">
        <v>94</v>
      </c>
      <c r="J192" s="24">
        <v>50000</v>
      </c>
      <c r="M192" s="24">
        <v>50000</v>
      </c>
      <c r="O192" s="54" t="s">
        <v>149</v>
      </c>
      <c r="P192" s="54">
        <f>HEX2DEC(RIGHT(Table132321432[[#This Row],[h1]],8))</f>
        <v>0</v>
      </c>
      <c r="Q192" s="54" t="s">
        <v>149</v>
      </c>
      <c r="R192" s="54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383</v>
      </c>
      <c r="G193" s="54" t="s">
        <v>94</v>
      </c>
      <c r="J193" s="24">
        <v>50000</v>
      </c>
      <c r="M193" s="24">
        <v>50000</v>
      </c>
      <c r="O193" s="54" t="s">
        <v>149</v>
      </c>
      <c r="P193" s="54">
        <f>HEX2DEC(RIGHT(Table132321432[[#This Row],[h1]],8))</f>
        <v>0</v>
      </c>
      <c r="Q193" s="54" t="s">
        <v>149</v>
      </c>
      <c r="R193" s="54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384</v>
      </c>
      <c r="G194" s="54" t="s">
        <v>94</v>
      </c>
      <c r="J194" s="24">
        <v>50000</v>
      </c>
      <c r="M194" s="24">
        <v>50000</v>
      </c>
      <c r="O194" s="54" t="s">
        <v>149</v>
      </c>
      <c r="P194" s="54">
        <f>HEX2DEC(RIGHT(Table132321432[[#This Row],[h1]],8))</f>
        <v>0</v>
      </c>
      <c r="Q194" s="54" t="s">
        <v>149</v>
      </c>
      <c r="R194" s="54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385</v>
      </c>
      <c r="G195" s="54" t="s">
        <v>94</v>
      </c>
      <c r="J195" s="24">
        <v>50000</v>
      </c>
      <c r="M195" s="24">
        <v>50000</v>
      </c>
      <c r="O195" s="54" t="s">
        <v>149</v>
      </c>
      <c r="P195" s="54">
        <f>HEX2DEC(RIGHT(Table132321432[[#This Row],[h1]],8))</f>
        <v>0</v>
      </c>
      <c r="Q195" s="54" t="s">
        <v>149</v>
      </c>
      <c r="R195" s="54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386</v>
      </c>
      <c r="G196" s="54" t="s">
        <v>94</v>
      </c>
      <c r="J196" s="24">
        <v>50000</v>
      </c>
      <c r="M196" s="24">
        <v>50000</v>
      </c>
      <c r="O196" s="54" t="s">
        <v>149</v>
      </c>
      <c r="P196" s="54">
        <f>HEX2DEC(RIGHT(Table132321432[[#This Row],[h1]],8))</f>
        <v>0</v>
      </c>
      <c r="Q196" s="54" t="s">
        <v>149</v>
      </c>
      <c r="R196" s="54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387</v>
      </c>
      <c r="G197" s="54" t="s">
        <v>94</v>
      </c>
      <c r="J197" s="24">
        <v>50000</v>
      </c>
      <c r="M197" s="24">
        <v>50000</v>
      </c>
      <c r="O197" s="54" t="s">
        <v>149</v>
      </c>
      <c r="P197" s="54">
        <f>HEX2DEC(RIGHT(Table132321432[[#This Row],[h1]],8))</f>
        <v>0</v>
      </c>
      <c r="Q197" s="54" t="s">
        <v>149</v>
      </c>
      <c r="R197" s="54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388</v>
      </c>
      <c r="G198" s="54" t="s">
        <v>94</v>
      </c>
      <c r="J198" s="24">
        <v>50000</v>
      </c>
      <c r="M198" s="24">
        <v>50000</v>
      </c>
      <c r="O198" s="54" t="s">
        <v>149</v>
      </c>
      <c r="P198" s="54">
        <f>HEX2DEC(RIGHT(Table132321432[[#This Row],[h1]],8))</f>
        <v>0</v>
      </c>
      <c r="Q198" s="54" t="s">
        <v>149</v>
      </c>
      <c r="R198" s="54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389</v>
      </c>
      <c r="G199" s="54" t="s">
        <v>94</v>
      </c>
      <c r="J199" s="24">
        <v>50000</v>
      </c>
      <c r="M199" s="24">
        <v>50000</v>
      </c>
      <c r="O199" s="54" t="s">
        <v>149</v>
      </c>
      <c r="P199" s="54">
        <f>HEX2DEC(RIGHT(Table132321432[[#This Row],[h1]],8))</f>
        <v>0</v>
      </c>
      <c r="Q199" s="54" t="s">
        <v>149</v>
      </c>
      <c r="R199" s="54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390</v>
      </c>
      <c r="G200" s="54" t="s">
        <v>94</v>
      </c>
      <c r="J200" s="24">
        <v>50000</v>
      </c>
      <c r="M200" s="24">
        <v>50000</v>
      </c>
      <c r="O200" s="54" t="s">
        <v>149</v>
      </c>
      <c r="P200" s="54">
        <f>HEX2DEC(RIGHT(Table132321432[[#This Row],[h1]],8))</f>
        <v>0</v>
      </c>
      <c r="Q200" s="54" t="s">
        <v>149</v>
      </c>
      <c r="R200" s="54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391</v>
      </c>
      <c r="G201" s="54" t="s">
        <v>94</v>
      </c>
      <c r="J201" s="24">
        <v>50000</v>
      </c>
      <c r="M201" s="24">
        <v>50000</v>
      </c>
      <c r="O201" s="54" t="s">
        <v>149</v>
      </c>
      <c r="P201" s="54">
        <f>HEX2DEC(RIGHT(Table132321432[[#This Row],[h1]],8))</f>
        <v>0</v>
      </c>
      <c r="Q201" s="54" t="s">
        <v>149</v>
      </c>
      <c r="R201" s="54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392</v>
      </c>
      <c r="G202" s="54" t="s">
        <v>94</v>
      </c>
      <c r="J202" s="24">
        <v>50000</v>
      </c>
      <c r="M202" s="24">
        <v>50000</v>
      </c>
      <c r="O202" s="54" t="s">
        <v>149</v>
      </c>
      <c r="P202" s="54">
        <f>HEX2DEC(RIGHT(Table132321432[[#This Row],[h1]],8))</f>
        <v>0</v>
      </c>
      <c r="Q202" s="54" t="s">
        <v>149</v>
      </c>
      <c r="R202" s="54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393</v>
      </c>
      <c r="G203" s="54" t="s">
        <v>94</v>
      </c>
      <c r="J203" s="24">
        <v>50000</v>
      </c>
      <c r="M203" s="24">
        <v>50000</v>
      </c>
      <c r="O203" s="54" t="s">
        <v>149</v>
      </c>
      <c r="P203" s="54">
        <f>HEX2DEC(RIGHT(Table132321432[[#This Row],[h1]],8))</f>
        <v>0</v>
      </c>
      <c r="Q203" s="54" t="s">
        <v>149</v>
      </c>
      <c r="R203" s="54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394</v>
      </c>
      <c r="G204" s="54" t="s">
        <v>94</v>
      </c>
      <c r="J204" s="24">
        <v>50000</v>
      </c>
      <c r="M204" s="24">
        <v>50000</v>
      </c>
      <c r="O204" s="54" t="s">
        <v>149</v>
      </c>
      <c r="P204" s="54">
        <f>HEX2DEC(RIGHT(Table132321432[[#This Row],[h1]],8))</f>
        <v>0</v>
      </c>
      <c r="Q204" s="54" t="s">
        <v>149</v>
      </c>
      <c r="R204" s="54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395</v>
      </c>
      <c r="G205" s="54" t="s">
        <v>94</v>
      </c>
      <c r="J205" s="24">
        <v>50000</v>
      </c>
      <c r="M205" s="24">
        <v>50000</v>
      </c>
      <c r="O205" s="54" t="s">
        <v>149</v>
      </c>
      <c r="P205" s="54">
        <f>HEX2DEC(RIGHT(Table132321432[[#This Row],[h1]],8))</f>
        <v>0</v>
      </c>
      <c r="Q205" s="54" t="s">
        <v>149</v>
      </c>
      <c r="R205" s="54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396</v>
      </c>
      <c r="G206" s="54" t="s">
        <v>94</v>
      </c>
      <c r="J206" s="24">
        <v>50000</v>
      </c>
      <c r="M206" s="24">
        <v>50000</v>
      </c>
      <c r="O206" s="54" t="s">
        <v>149</v>
      </c>
      <c r="P206" s="54">
        <f>HEX2DEC(RIGHT(Table132321432[[#This Row],[h1]],8))</f>
        <v>0</v>
      </c>
      <c r="Q206" s="54" t="s">
        <v>149</v>
      </c>
      <c r="R206" s="54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4" t="s">
        <v>149</v>
      </c>
      <c r="P207" s="54">
        <f>HEX2DEC(RIGHT(Table132321432[[#This Row],[h1]],8))</f>
        <v>0</v>
      </c>
      <c r="Q207" s="54" t="s">
        <v>149</v>
      </c>
      <c r="R207" s="54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397</v>
      </c>
      <c r="G208" s="54">
        <v>1</v>
      </c>
      <c r="J208" s="24">
        <v>50000</v>
      </c>
      <c r="M208" s="24">
        <v>50000</v>
      </c>
      <c r="O208" s="54" t="s">
        <v>149</v>
      </c>
      <c r="P208" s="54">
        <f>HEX2DEC(RIGHT(Table132321432[[#This Row],[h1]],8))</f>
        <v>0</v>
      </c>
      <c r="Q208" s="54" t="s">
        <v>149</v>
      </c>
      <c r="R208" s="54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398</v>
      </c>
      <c r="G209" s="54">
        <v>0</v>
      </c>
      <c r="J209" s="24">
        <v>50000</v>
      </c>
      <c r="M209" s="24">
        <v>50000</v>
      </c>
      <c r="O209" s="54" t="s">
        <v>149</v>
      </c>
      <c r="P209" s="54">
        <f>HEX2DEC(RIGHT(Table132321432[[#This Row],[h1]],8))</f>
        <v>0</v>
      </c>
      <c r="Q209" s="54" t="s">
        <v>149</v>
      </c>
      <c r="R209" s="54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399</v>
      </c>
      <c r="G210" s="54">
        <v>0</v>
      </c>
      <c r="J210" s="24">
        <v>50000</v>
      </c>
      <c r="M210" s="24">
        <v>50000</v>
      </c>
      <c r="O210" s="54" t="s">
        <v>149</v>
      </c>
      <c r="P210" s="54">
        <f>HEX2DEC(RIGHT(Table132321432[[#This Row],[h1]],8))</f>
        <v>0</v>
      </c>
      <c r="Q210" s="54" t="s">
        <v>149</v>
      </c>
      <c r="R210" s="54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400</v>
      </c>
      <c r="G211" s="54">
        <v>0</v>
      </c>
      <c r="J211" s="24">
        <v>50000</v>
      </c>
      <c r="M211" s="24">
        <v>50000</v>
      </c>
      <c r="O211" s="54" t="s">
        <v>149</v>
      </c>
      <c r="P211" s="54">
        <f>HEX2DEC(RIGHT(Table132321432[[#This Row],[h1]],8))</f>
        <v>0</v>
      </c>
      <c r="Q211" s="54" t="s">
        <v>149</v>
      </c>
      <c r="R211" s="54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401</v>
      </c>
      <c r="G212" s="54">
        <v>0</v>
      </c>
      <c r="J212" s="24">
        <v>50000</v>
      </c>
      <c r="M212" s="24">
        <v>50000</v>
      </c>
      <c r="O212" s="54" t="s">
        <v>149</v>
      </c>
      <c r="P212" s="54">
        <f>HEX2DEC(RIGHT(Table132321432[[#This Row],[h1]],8))</f>
        <v>0</v>
      </c>
      <c r="Q212" s="54" t="s">
        <v>149</v>
      </c>
      <c r="R212" s="54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402</v>
      </c>
      <c r="G213" s="54">
        <v>0</v>
      </c>
      <c r="J213" s="24">
        <v>50000</v>
      </c>
      <c r="M213" s="24">
        <v>50000</v>
      </c>
      <c r="O213" s="54" t="s">
        <v>149</v>
      </c>
      <c r="P213" s="54">
        <f>HEX2DEC(RIGHT(Table132321432[[#This Row],[h1]],8))</f>
        <v>0</v>
      </c>
      <c r="Q213" s="54" t="s">
        <v>149</v>
      </c>
      <c r="R213" s="54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403</v>
      </c>
      <c r="G214" s="54">
        <v>0</v>
      </c>
      <c r="J214" s="24">
        <v>50000</v>
      </c>
      <c r="M214" s="24">
        <v>50000</v>
      </c>
      <c r="O214" s="54" t="s">
        <v>149</v>
      </c>
      <c r="P214" s="54">
        <f>HEX2DEC(RIGHT(Table132321432[[#This Row],[h1]],8))</f>
        <v>0</v>
      </c>
      <c r="Q214" s="54" t="s">
        <v>149</v>
      </c>
      <c r="R214" s="54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404</v>
      </c>
      <c r="G215" s="54">
        <v>0</v>
      </c>
      <c r="J215" s="24">
        <v>50000</v>
      </c>
      <c r="M215" s="24">
        <v>50000</v>
      </c>
      <c r="O215" s="54" t="s">
        <v>149</v>
      </c>
      <c r="P215" s="54">
        <f>HEX2DEC(RIGHT(Table132321432[[#This Row],[h1]],8))</f>
        <v>0</v>
      </c>
      <c r="Q215" s="54" t="s">
        <v>149</v>
      </c>
      <c r="R215" s="54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405</v>
      </c>
      <c r="G216" s="54">
        <v>0</v>
      </c>
      <c r="J216" s="24">
        <v>50000</v>
      </c>
      <c r="M216" s="24">
        <v>50000</v>
      </c>
      <c r="O216" s="54" t="s">
        <v>149</v>
      </c>
      <c r="P216" s="54">
        <f>HEX2DEC(RIGHT(Table132321432[[#This Row],[h1]],8))</f>
        <v>0</v>
      </c>
      <c r="Q216" s="54" t="s">
        <v>149</v>
      </c>
      <c r="R216" s="54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406</v>
      </c>
      <c r="G217" s="54">
        <v>0</v>
      </c>
      <c r="J217" s="24">
        <v>50000</v>
      </c>
      <c r="M217" s="24">
        <v>50000</v>
      </c>
      <c r="O217" s="54" t="s">
        <v>149</v>
      </c>
      <c r="P217" s="54">
        <f>HEX2DEC(RIGHT(Table132321432[[#This Row],[h1]],8))</f>
        <v>0</v>
      </c>
      <c r="Q217" s="54" t="s">
        <v>149</v>
      </c>
      <c r="R217" s="54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407</v>
      </c>
      <c r="G218" s="54">
        <v>0</v>
      </c>
      <c r="J218" s="24">
        <v>50000</v>
      </c>
      <c r="M218" s="24">
        <v>50000</v>
      </c>
      <c r="O218" s="54" t="s">
        <v>149</v>
      </c>
      <c r="P218" s="54">
        <f>HEX2DEC(RIGHT(Table132321432[[#This Row],[h1]],8))</f>
        <v>0</v>
      </c>
      <c r="Q218" s="54" t="s">
        <v>149</v>
      </c>
      <c r="R218" s="54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408</v>
      </c>
      <c r="G219" s="54">
        <v>0</v>
      </c>
      <c r="J219" s="24">
        <v>50000</v>
      </c>
      <c r="M219" s="24">
        <v>50000</v>
      </c>
      <c r="O219" s="54" t="s">
        <v>149</v>
      </c>
      <c r="P219" s="54">
        <f>HEX2DEC(RIGHT(Table132321432[[#This Row],[h1]],8))</f>
        <v>0</v>
      </c>
      <c r="Q219" s="54" t="s">
        <v>149</v>
      </c>
      <c r="R219" s="54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409</v>
      </c>
      <c r="G220" s="54">
        <v>0</v>
      </c>
      <c r="J220" s="24">
        <v>50000</v>
      </c>
      <c r="M220" s="24">
        <v>50000</v>
      </c>
      <c r="O220" s="54" t="s">
        <v>149</v>
      </c>
      <c r="P220" s="54">
        <f>HEX2DEC(RIGHT(Table132321432[[#This Row],[h1]],8))</f>
        <v>0</v>
      </c>
      <c r="Q220" s="54" t="s">
        <v>149</v>
      </c>
      <c r="R220" s="54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410</v>
      </c>
      <c r="G221" s="54">
        <v>0</v>
      </c>
      <c r="J221" s="24">
        <v>50000</v>
      </c>
      <c r="M221" s="24">
        <v>50000</v>
      </c>
      <c r="O221" s="54" t="s">
        <v>149</v>
      </c>
      <c r="P221" s="54">
        <f>HEX2DEC(RIGHT(Table132321432[[#This Row],[h1]],8))</f>
        <v>0</v>
      </c>
      <c r="Q221" s="54" t="s">
        <v>149</v>
      </c>
      <c r="R221" s="54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411</v>
      </c>
      <c r="G222" s="54">
        <v>0</v>
      </c>
      <c r="J222" s="24">
        <v>50000</v>
      </c>
      <c r="M222" s="24">
        <v>50000</v>
      </c>
      <c r="O222" s="54" t="s">
        <v>149</v>
      </c>
      <c r="P222" s="54">
        <f>HEX2DEC(RIGHT(Table132321432[[#This Row],[h1]],8))</f>
        <v>0</v>
      </c>
      <c r="Q222" s="54" t="s">
        <v>149</v>
      </c>
      <c r="R222" s="54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412</v>
      </c>
      <c r="G223" s="54">
        <v>0</v>
      </c>
      <c r="J223" s="24">
        <v>50000</v>
      </c>
      <c r="M223" s="24">
        <v>50000</v>
      </c>
      <c r="O223" s="54" t="s">
        <v>149</v>
      </c>
      <c r="P223" s="54">
        <f>HEX2DEC(RIGHT(Table132321432[[#This Row],[h1]],8))</f>
        <v>0</v>
      </c>
      <c r="Q223" s="54" t="s">
        <v>149</v>
      </c>
      <c r="R223" s="54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413</v>
      </c>
      <c r="G224" s="54">
        <v>0</v>
      </c>
      <c r="J224" s="24">
        <v>50000</v>
      </c>
      <c r="M224" s="24">
        <v>50000</v>
      </c>
      <c r="O224" s="54" t="s">
        <v>149</v>
      </c>
      <c r="P224" s="54">
        <f>HEX2DEC(RIGHT(Table132321432[[#This Row],[h1]],8))</f>
        <v>0</v>
      </c>
      <c r="Q224" s="54" t="s">
        <v>149</v>
      </c>
      <c r="R224" s="54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414</v>
      </c>
      <c r="G225" s="54">
        <v>0</v>
      </c>
      <c r="J225" s="24">
        <v>50000</v>
      </c>
      <c r="M225" s="24">
        <v>50000</v>
      </c>
      <c r="O225" s="54" t="s">
        <v>149</v>
      </c>
      <c r="P225" s="54">
        <f>HEX2DEC(RIGHT(Table132321432[[#This Row],[h1]],8))</f>
        <v>0</v>
      </c>
      <c r="Q225" s="54" t="s">
        <v>149</v>
      </c>
      <c r="R225" s="54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415</v>
      </c>
      <c r="G226" s="54">
        <v>0</v>
      </c>
      <c r="J226" s="24">
        <v>50000</v>
      </c>
      <c r="M226" s="24">
        <v>50000</v>
      </c>
      <c r="O226" s="54" t="s">
        <v>149</v>
      </c>
      <c r="P226" s="54">
        <f>HEX2DEC(RIGHT(Table132321432[[#This Row],[h1]],8))</f>
        <v>0</v>
      </c>
      <c r="Q226" s="54" t="s">
        <v>149</v>
      </c>
      <c r="R226" s="54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416</v>
      </c>
      <c r="G227" s="54">
        <v>0</v>
      </c>
      <c r="J227" s="24">
        <v>50000</v>
      </c>
      <c r="M227" s="24">
        <v>50000</v>
      </c>
      <c r="O227" s="54" t="s">
        <v>149</v>
      </c>
      <c r="P227" s="54">
        <f>HEX2DEC(RIGHT(Table132321432[[#This Row],[h1]],8))</f>
        <v>0</v>
      </c>
      <c r="Q227" s="54" t="s">
        <v>149</v>
      </c>
      <c r="R227" s="54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417</v>
      </c>
      <c r="G228" s="54">
        <v>0</v>
      </c>
      <c r="J228" s="24">
        <v>50000</v>
      </c>
      <c r="M228" s="24">
        <v>50000</v>
      </c>
      <c r="O228" s="54" t="s">
        <v>149</v>
      </c>
      <c r="P228" s="54">
        <f>HEX2DEC(RIGHT(Table132321432[[#This Row],[h1]],8))</f>
        <v>0</v>
      </c>
      <c r="Q228" s="54" t="s">
        <v>149</v>
      </c>
      <c r="R228" s="54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418</v>
      </c>
      <c r="G229" s="54">
        <v>0</v>
      </c>
      <c r="J229" s="24">
        <v>50000</v>
      </c>
      <c r="M229" s="24">
        <v>50000</v>
      </c>
      <c r="O229" s="54" t="s">
        <v>149</v>
      </c>
      <c r="P229" s="54">
        <f>HEX2DEC(RIGHT(Table132321432[[#This Row],[h1]],8))</f>
        <v>0</v>
      </c>
      <c r="Q229" s="54" t="s">
        <v>149</v>
      </c>
      <c r="R229" s="54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419</v>
      </c>
      <c r="G230" s="54">
        <v>0</v>
      </c>
      <c r="J230" s="24">
        <v>50000</v>
      </c>
      <c r="M230" s="24">
        <v>50000</v>
      </c>
      <c r="O230" s="54" t="s">
        <v>149</v>
      </c>
      <c r="P230" s="54">
        <f>HEX2DEC(RIGHT(Table132321432[[#This Row],[h1]],8))</f>
        <v>0</v>
      </c>
      <c r="Q230" s="54" t="s">
        <v>149</v>
      </c>
      <c r="R230" s="54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420</v>
      </c>
      <c r="G231" s="54">
        <v>0</v>
      </c>
      <c r="J231" s="24">
        <v>50000</v>
      </c>
      <c r="M231" s="24">
        <v>50000</v>
      </c>
      <c r="O231" s="54" t="s">
        <v>149</v>
      </c>
      <c r="P231" s="54">
        <f>HEX2DEC(RIGHT(Table132321432[[#This Row],[h1]],8))</f>
        <v>0</v>
      </c>
      <c r="Q231" s="54" t="s">
        <v>149</v>
      </c>
      <c r="R231" s="54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421</v>
      </c>
      <c r="G232" s="54">
        <v>0</v>
      </c>
      <c r="J232" s="24">
        <v>50000</v>
      </c>
      <c r="M232" s="24">
        <v>50000</v>
      </c>
      <c r="O232" s="54" t="s">
        <v>149</v>
      </c>
      <c r="P232" s="54">
        <f>HEX2DEC(RIGHT(Table132321432[[#This Row],[h1]],8))</f>
        <v>0</v>
      </c>
      <c r="Q232" s="54" t="s">
        <v>149</v>
      </c>
      <c r="R232" s="54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422</v>
      </c>
      <c r="G233" s="54">
        <v>0</v>
      </c>
      <c r="J233" s="24">
        <v>50000</v>
      </c>
      <c r="M233" s="24">
        <v>50000</v>
      </c>
      <c r="O233" s="54" t="s">
        <v>149</v>
      </c>
      <c r="P233" s="54">
        <f>HEX2DEC(RIGHT(Table132321432[[#This Row],[h1]],8))</f>
        <v>0</v>
      </c>
      <c r="Q233" s="54" t="s">
        <v>149</v>
      </c>
      <c r="R233" s="54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423</v>
      </c>
      <c r="G234" s="54">
        <v>0</v>
      </c>
      <c r="J234" s="24">
        <v>50000</v>
      </c>
      <c r="M234" s="24">
        <v>50000</v>
      </c>
      <c r="O234" s="54" t="s">
        <v>149</v>
      </c>
      <c r="P234" s="54">
        <f>HEX2DEC(RIGHT(Table132321432[[#This Row],[h1]],8))</f>
        <v>0</v>
      </c>
      <c r="Q234" s="54" t="s">
        <v>149</v>
      </c>
      <c r="R234" s="54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424</v>
      </c>
      <c r="G235" s="54">
        <v>0</v>
      </c>
      <c r="J235" s="24">
        <v>50000</v>
      </c>
      <c r="M235" s="24">
        <v>50000</v>
      </c>
      <c r="O235" s="54" t="s">
        <v>149</v>
      </c>
      <c r="P235" s="54">
        <f>HEX2DEC(RIGHT(Table132321432[[#This Row],[h1]],8))</f>
        <v>0</v>
      </c>
      <c r="Q235" s="54" t="s">
        <v>149</v>
      </c>
      <c r="R235" s="54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425</v>
      </c>
      <c r="G236" s="54">
        <v>0</v>
      </c>
      <c r="J236" s="24">
        <v>50000</v>
      </c>
      <c r="M236" s="24">
        <v>50000</v>
      </c>
      <c r="O236" s="54" t="s">
        <v>149</v>
      </c>
      <c r="P236" s="54">
        <f>HEX2DEC(RIGHT(Table132321432[[#This Row],[h1]],8))</f>
        <v>0</v>
      </c>
      <c r="Q236" s="54" t="s">
        <v>149</v>
      </c>
      <c r="R236" s="54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426</v>
      </c>
      <c r="G237" s="54">
        <v>0</v>
      </c>
      <c r="J237" s="24">
        <v>50000</v>
      </c>
      <c r="M237" s="24">
        <v>50000</v>
      </c>
      <c r="O237" s="54" t="s">
        <v>149</v>
      </c>
      <c r="P237" s="54">
        <f>HEX2DEC(RIGHT(Table132321432[[#This Row],[h1]],8))</f>
        <v>0</v>
      </c>
      <c r="Q237" s="54" t="s">
        <v>149</v>
      </c>
      <c r="R237" s="54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427</v>
      </c>
      <c r="G238" s="54">
        <v>0</v>
      </c>
      <c r="J238" s="24">
        <v>50000</v>
      </c>
      <c r="M238" s="24">
        <v>50000</v>
      </c>
      <c r="O238" s="54" t="s">
        <v>149</v>
      </c>
      <c r="P238" s="54">
        <f>HEX2DEC(RIGHT(Table132321432[[#This Row],[h1]],8))</f>
        <v>0</v>
      </c>
      <c r="Q238" s="54" t="s">
        <v>149</v>
      </c>
      <c r="R238" s="54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4" t="s">
        <v>149</v>
      </c>
      <c r="P239" s="54">
        <f>HEX2DEC(RIGHT(Table132321432[[#This Row],[h1]],8))</f>
        <v>0</v>
      </c>
      <c r="Q239" s="54" t="s">
        <v>149</v>
      </c>
      <c r="R239" s="54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4" t="s">
        <v>149</v>
      </c>
      <c r="P240" s="54">
        <f>HEX2DEC(RIGHT(Table132321432[[#This Row],[h1]],8))</f>
        <v>0</v>
      </c>
      <c r="Q240" s="54" t="s">
        <v>149</v>
      </c>
      <c r="R240" s="54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46</v>
      </c>
      <c r="J241" s="24">
        <v>50000</v>
      </c>
      <c r="M241" s="24">
        <v>50000</v>
      </c>
      <c r="O241" s="54" t="s">
        <v>149</v>
      </c>
      <c r="P241" s="54">
        <f>HEX2DEC(RIGHT(Table132321432[[#This Row],[h1]],8))</f>
        <v>0</v>
      </c>
      <c r="Q241" s="54" t="s">
        <v>149</v>
      </c>
      <c r="R241" s="54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101</v>
      </c>
      <c r="J242" s="24">
        <v>50000</v>
      </c>
      <c r="M242" s="24">
        <v>50000</v>
      </c>
      <c r="O242" s="54" t="s">
        <v>149</v>
      </c>
      <c r="P242" s="54">
        <f>HEX2DEC(RIGHT(Table132321432[[#This Row],[h1]],8))</f>
        <v>0</v>
      </c>
      <c r="Q242" s="54" t="s">
        <v>149</v>
      </c>
      <c r="R242" s="54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428</v>
      </c>
      <c r="F243" s="26"/>
      <c r="G243" s="15">
        <v>-1</v>
      </c>
      <c r="J243" s="24">
        <v>50000</v>
      </c>
      <c r="M243" s="24">
        <v>50000</v>
      </c>
      <c r="O243" s="54" t="s">
        <v>149</v>
      </c>
      <c r="P243" s="54">
        <f>HEX2DEC(RIGHT(Table132321432[[#This Row],[h1]],8))</f>
        <v>0</v>
      </c>
      <c r="Q243" s="54" t="s">
        <v>149</v>
      </c>
      <c r="R243" s="54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429</v>
      </c>
      <c r="G244" s="15">
        <v>1000</v>
      </c>
      <c r="J244" s="24">
        <v>50000</v>
      </c>
      <c r="M244" s="24">
        <v>50000</v>
      </c>
      <c r="O244" s="54" t="s">
        <v>149</v>
      </c>
      <c r="P244" s="54">
        <f>HEX2DEC(RIGHT(Table132321432[[#This Row],[h1]],8))</f>
        <v>0</v>
      </c>
      <c r="Q244" s="54" t="s">
        <v>149</v>
      </c>
      <c r="R244" s="54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4" t="s">
        <v>149</v>
      </c>
      <c r="P245" s="54">
        <f>HEX2DEC(RIGHT(Table132321432[[#This Row],[h1]],8))</f>
        <v>0</v>
      </c>
      <c r="Q245" s="54" t="s">
        <v>149</v>
      </c>
      <c r="R245" s="54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4" t="s">
        <v>149</v>
      </c>
      <c r="P246" s="54">
        <f>HEX2DEC(RIGHT(Table132321432[[#This Row],[h1]],8))</f>
        <v>0</v>
      </c>
      <c r="Q246" s="54" t="s">
        <v>149</v>
      </c>
      <c r="R246" s="54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430</v>
      </c>
      <c r="G247" s="15" t="s">
        <v>154</v>
      </c>
      <c r="J247" s="24">
        <v>50000</v>
      </c>
      <c r="M247" s="24">
        <v>50000</v>
      </c>
      <c r="O247" s="54" t="s">
        <v>149</v>
      </c>
      <c r="P247" s="54">
        <f>HEX2DEC(RIGHT(Table132321432[[#This Row],[h1]],8))</f>
        <v>0</v>
      </c>
      <c r="Q247" s="54" t="s">
        <v>149</v>
      </c>
      <c r="R247" s="54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431</v>
      </c>
      <c r="G248" s="15" t="s">
        <v>146</v>
      </c>
      <c r="J248" s="24">
        <v>50000</v>
      </c>
      <c r="M248" s="24">
        <v>50000</v>
      </c>
      <c r="O248" s="54" t="s">
        <v>149</v>
      </c>
      <c r="P248" s="54">
        <f>HEX2DEC(RIGHT(Table132321432[[#This Row],[h1]],8))</f>
        <v>0</v>
      </c>
      <c r="Q248" s="54" t="s">
        <v>149</v>
      </c>
      <c r="R248" s="54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4" t="s">
        <v>149</v>
      </c>
      <c r="P249" s="54">
        <f>HEX2DEC(RIGHT(Table132321432[[#This Row],[h1]],8))</f>
        <v>0</v>
      </c>
      <c r="Q249" s="54" t="s">
        <v>149</v>
      </c>
      <c r="R249" s="54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4" t="s">
        <v>149</v>
      </c>
      <c r="P250" s="54">
        <f>HEX2DEC(RIGHT(Table132321432[[#This Row],[h1]],8))</f>
        <v>0</v>
      </c>
      <c r="Q250" s="54" t="s">
        <v>149</v>
      </c>
      <c r="R250" s="54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45</v>
      </c>
      <c r="J251" s="24">
        <v>50000</v>
      </c>
      <c r="M251" s="24">
        <v>50000</v>
      </c>
      <c r="O251" s="54" t="s">
        <v>149</v>
      </c>
      <c r="P251" s="54">
        <f>HEX2DEC(RIGHT(Table132321432[[#This Row],[h1]],8))</f>
        <v>0</v>
      </c>
      <c r="Q251" s="54" t="s">
        <v>149</v>
      </c>
      <c r="R251" s="54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432</v>
      </c>
      <c r="E252" s="15" t="s">
        <v>106</v>
      </c>
      <c r="G252" s="15">
        <f>IF(Table1319230[[#This Row],[dec val]]="",0,1)</f>
        <v>0</v>
      </c>
      <c r="J252" s="24">
        <v>50000</v>
      </c>
      <c r="M252" s="24">
        <v>50000</v>
      </c>
      <c r="O252" s="54" t="s">
        <v>149</v>
      </c>
      <c r="P252" s="54">
        <f>HEX2DEC(RIGHT(Table132321432[[#This Row],[h1]],8))</f>
        <v>0</v>
      </c>
      <c r="Q252" s="54" t="s">
        <v>149</v>
      </c>
      <c r="R252" s="54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433</v>
      </c>
      <c r="E253" s="15" t="s">
        <v>107</v>
      </c>
      <c r="G253" s="15">
        <f>IF(Table1319230[[#This Row],[dec val]]="",0,1)</f>
        <v>0</v>
      </c>
      <c r="J253" s="24">
        <v>50000</v>
      </c>
      <c r="M253" s="24">
        <v>50000</v>
      </c>
      <c r="O253" s="54" t="s">
        <v>149</v>
      </c>
      <c r="P253" s="54">
        <f>HEX2DEC(RIGHT(Table132321432[[#This Row],[h1]],8))</f>
        <v>0</v>
      </c>
      <c r="Q253" s="54" t="s">
        <v>149</v>
      </c>
      <c r="R253" s="54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434</v>
      </c>
      <c r="E254" s="15" t="s">
        <v>108</v>
      </c>
      <c r="G254" s="15">
        <f>IF(Table1319230[[#This Row],[dec val]]="",0,1)</f>
        <v>0</v>
      </c>
      <c r="J254" s="24">
        <v>50000</v>
      </c>
      <c r="M254" s="24">
        <v>50000</v>
      </c>
      <c r="O254" s="54" t="s">
        <v>149</v>
      </c>
      <c r="P254" s="54">
        <f>HEX2DEC(RIGHT(Table132321432[[#This Row],[h1]],8))</f>
        <v>0</v>
      </c>
      <c r="Q254" s="54" t="s">
        <v>149</v>
      </c>
      <c r="R254" s="54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435</v>
      </c>
      <c r="E255" s="15" t="s">
        <v>109</v>
      </c>
      <c r="G255" s="15">
        <f>IF(Table1319230[[#This Row],[dec val]]="",0,1)</f>
        <v>0</v>
      </c>
      <c r="J255" s="24">
        <v>50000</v>
      </c>
      <c r="M255" s="24">
        <v>50000</v>
      </c>
      <c r="O255" s="54" t="s">
        <v>149</v>
      </c>
      <c r="P255" s="54">
        <f>HEX2DEC(RIGHT(Table132321432[[#This Row],[h1]],8))</f>
        <v>0</v>
      </c>
      <c r="Q255" s="54" t="s">
        <v>149</v>
      </c>
      <c r="R255" s="54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436</v>
      </c>
      <c r="E256" s="15" t="s">
        <v>110</v>
      </c>
      <c r="G256" s="15">
        <f>IF(Table1319230[[#This Row],[dec val]]="",0,1)</f>
        <v>0</v>
      </c>
      <c r="J256" s="24">
        <v>50000</v>
      </c>
      <c r="M256" s="24">
        <v>50000</v>
      </c>
      <c r="O256" s="54" t="s">
        <v>149</v>
      </c>
      <c r="P256" s="54">
        <f>HEX2DEC(RIGHT(Table132321432[[#This Row],[h1]],8))</f>
        <v>0</v>
      </c>
      <c r="Q256" s="54" t="s">
        <v>149</v>
      </c>
      <c r="R256" s="54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437</v>
      </c>
      <c r="E257" s="15" t="s">
        <v>111</v>
      </c>
      <c r="G257" s="15">
        <f>IF(Table1319230[[#This Row],[dec val]]="",0,1)</f>
        <v>0</v>
      </c>
      <c r="J257" s="24">
        <v>50000</v>
      </c>
      <c r="M257" s="24">
        <v>50000</v>
      </c>
      <c r="O257" s="54" t="s">
        <v>149</v>
      </c>
      <c r="P257" s="54">
        <f>HEX2DEC(RIGHT(Table132321432[[#This Row],[h1]],8))</f>
        <v>0</v>
      </c>
      <c r="Q257" s="54" t="s">
        <v>149</v>
      </c>
      <c r="R257" s="54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438</v>
      </c>
      <c r="E258" s="15" t="s">
        <v>112</v>
      </c>
      <c r="G258" s="15">
        <f>IF(Table1319230[[#This Row],[dec val]]="",0,1)</f>
        <v>0</v>
      </c>
      <c r="J258" s="24">
        <v>50000</v>
      </c>
      <c r="M258" s="24">
        <v>50000</v>
      </c>
      <c r="O258" s="54" t="s">
        <v>149</v>
      </c>
      <c r="P258" s="54">
        <f>HEX2DEC(RIGHT(Table132321432[[#This Row],[h1]],8))</f>
        <v>0</v>
      </c>
      <c r="Q258" s="54" t="s">
        <v>149</v>
      </c>
      <c r="R258" s="54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439</v>
      </c>
      <c r="E259" s="15" t="s">
        <v>113</v>
      </c>
      <c r="G259" s="15">
        <f>IF(Table1319230[[#This Row],[dec val]]="",0,1)</f>
        <v>0</v>
      </c>
      <c r="J259" s="24">
        <v>50000</v>
      </c>
      <c r="M259" s="24">
        <v>50000</v>
      </c>
      <c r="O259" s="54" t="s">
        <v>149</v>
      </c>
      <c r="P259" s="54">
        <f>HEX2DEC(RIGHT(Table132321432[[#This Row],[h1]],8))</f>
        <v>0</v>
      </c>
      <c r="Q259" s="54" t="s">
        <v>149</v>
      </c>
      <c r="R259" s="54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440</v>
      </c>
      <c r="E260" s="15" t="s">
        <v>114</v>
      </c>
      <c r="G260" s="15">
        <f>IF(Table1319230[[#This Row],[dec val]]="",0,1)</f>
        <v>0</v>
      </c>
      <c r="J260" s="24">
        <v>50000</v>
      </c>
      <c r="M260" s="24">
        <v>50000</v>
      </c>
      <c r="O260" s="54" t="s">
        <v>149</v>
      </c>
      <c r="P260" s="54">
        <f>HEX2DEC(RIGHT(Table132321432[[#This Row],[h1]],8))</f>
        <v>0</v>
      </c>
      <c r="Q260" s="54" t="s">
        <v>149</v>
      </c>
      <c r="R260" s="54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441</v>
      </c>
      <c r="E261" s="15" t="s">
        <v>115</v>
      </c>
      <c r="G261" s="15">
        <f>IF(Table1319230[[#This Row],[dec val]]="",0,1)</f>
        <v>0</v>
      </c>
      <c r="J261" s="24">
        <v>50000</v>
      </c>
      <c r="M261" s="24">
        <v>50000</v>
      </c>
      <c r="O261" s="54" t="s">
        <v>149</v>
      </c>
      <c r="P261" s="54">
        <f>HEX2DEC(RIGHT(Table132321432[[#This Row],[h1]],8))</f>
        <v>0</v>
      </c>
      <c r="Q261" s="54" t="s">
        <v>149</v>
      </c>
      <c r="R261" s="54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442</v>
      </c>
      <c r="E262" s="15" t="s">
        <v>116</v>
      </c>
      <c r="G262" s="15">
        <f>IF(Table1319230[[#This Row],[dec val]]="",0,1)</f>
        <v>0</v>
      </c>
      <c r="J262" s="24">
        <v>50000</v>
      </c>
      <c r="M262" s="24">
        <v>50000</v>
      </c>
      <c r="O262" s="54" t="s">
        <v>149</v>
      </c>
      <c r="P262" s="54">
        <f>HEX2DEC(RIGHT(Table132321432[[#This Row],[h1]],8))</f>
        <v>0</v>
      </c>
      <c r="Q262" s="54" t="s">
        <v>149</v>
      </c>
      <c r="R262" s="54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443</v>
      </c>
      <c r="E263" s="15" t="s">
        <v>117</v>
      </c>
      <c r="G263" s="15">
        <f>IF(Table1319230[[#This Row],[dec val]]="",0,1)</f>
        <v>0</v>
      </c>
      <c r="J263" s="24">
        <v>50000</v>
      </c>
      <c r="M263" s="24">
        <v>50000</v>
      </c>
      <c r="O263" s="54" t="s">
        <v>149</v>
      </c>
      <c r="P263" s="54">
        <f>HEX2DEC(RIGHT(Table132321432[[#This Row],[h1]],8))</f>
        <v>0</v>
      </c>
      <c r="Q263" s="54" t="s">
        <v>149</v>
      </c>
      <c r="R263" s="54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444</v>
      </c>
      <c r="E264" s="15" t="s">
        <v>118</v>
      </c>
      <c r="G264" s="15">
        <f>IF(Table1319230[[#This Row],[dec val]]="",0,1)</f>
        <v>0</v>
      </c>
      <c r="J264" s="24">
        <v>50000</v>
      </c>
      <c r="M264" s="24">
        <v>50000</v>
      </c>
      <c r="O264" s="54" t="s">
        <v>149</v>
      </c>
      <c r="P264" s="54">
        <f>HEX2DEC(RIGHT(Table132321432[[#This Row],[h1]],8))</f>
        <v>0</v>
      </c>
      <c r="Q264" s="54" t="s">
        <v>149</v>
      </c>
      <c r="R264" s="54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445</v>
      </c>
      <c r="E265" s="15" t="s">
        <v>119</v>
      </c>
      <c r="G265" s="15">
        <f>IF(Table1319230[[#This Row],[dec val]]="",0,1)</f>
        <v>0</v>
      </c>
      <c r="J265" s="24">
        <v>50000</v>
      </c>
      <c r="M265" s="24">
        <v>50000</v>
      </c>
      <c r="O265" s="54" t="s">
        <v>149</v>
      </c>
      <c r="P265" s="54">
        <f>HEX2DEC(RIGHT(Table132321432[[#This Row],[h1]],8))</f>
        <v>0</v>
      </c>
      <c r="Q265" s="54" t="s">
        <v>149</v>
      </c>
      <c r="R265" s="54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446</v>
      </c>
      <c r="E266" s="15" t="s">
        <v>120</v>
      </c>
      <c r="G266" s="15">
        <f>IF(Table1319230[[#This Row],[dec val]]="",0,1)</f>
        <v>0</v>
      </c>
      <c r="J266" s="24">
        <v>50000</v>
      </c>
      <c r="M266" s="24">
        <v>50000</v>
      </c>
      <c r="O266" s="54" t="s">
        <v>149</v>
      </c>
      <c r="P266" s="54">
        <f>HEX2DEC(RIGHT(Table132321432[[#This Row],[h1]],8))</f>
        <v>0</v>
      </c>
      <c r="Q266" s="54" t="s">
        <v>149</v>
      </c>
      <c r="R266" s="54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447</v>
      </c>
      <c r="E267" s="15" t="s">
        <v>121</v>
      </c>
      <c r="G267" s="15">
        <f>IF(Table1319230[[#This Row],[dec val]]="",0,1)</f>
        <v>0</v>
      </c>
      <c r="J267" s="24">
        <v>50000</v>
      </c>
      <c r="M267" s="24">
        <v>50000</v>
      </c>
      <c r="O267" s="54" t="s">
        <v>149</v>
      </c>
      <c r="P267" s="54">
        <f>HEX2DEC(RIGHT(Table132321432[[#This Row],[h1]],8))</f>
        <v>0</v>
      </c>
      <c r="Q267" s="54" t="s">
        <v>149</v>
      </c>
      <c r="R267" s="54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448</v>
      </c>
      <c r="E268" s="15" t="s">
        <v>122</v>
      </c>
      <c r="G268" s="15">
        <f>IF(Table1319230[[#This Row],[dec val]]="",0,1)</f>
        <v>0</v>
      </c>
      <c r="J268" s="24">
        <v>50000</v>
      </c>
      <c r="M268" s="24">
        <v>50000</v>
      </c>
      <c r="O268" s="54" t="s">
        <v>149</v>
      </c>
      <c r="P268" s="54">
        <f>HEX2DEC(RIGHT(Table132321432[[#This Row],[h1]],8))</f>
        <v>0</v>
      </c>
      <c r="Q268" s="54" t="s">
        <v>149</v>
      </c>
      <c r="R268" s="54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449</v>
      </c>
      <c r="E269" s="15" t="s">
        <v>123</v>
      </c>
      <c r="G269" s="15">
        <f>IF(Table1319230[[#This Row],[dec val]]="",0,1)</f>
        <v>0</v>
      </c>
      <c r="J269" s="24">
        <v>50000</v>
      </c>
      <c r="M269" s="24">
        <v>50000</v>
      </c>
      <c r="O269" s="54" t="s">
        <v>149</v>
      </c>
      <c r="P269" s="54">
        <f>HEX2DEC(RIGHT(Table132321432[[#This Row],[h1]],8))</f>
        <v>0</v>
      </c>
      <c r="Q269" s="54" t="s">
        <v>149</v>
      </c>
      <c r="R269" s="54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450</v>
      </c>
      <c r="E270" s="15" t="s">
        <v>124</v>
      </c>
      <c r="G270" s="15">
        <f>IF(Table1319230[[#This Row],[dec val]]="",0,1)</f>
        <v>0</v>
      </c>
      <c r="J270" s="24">
        <v>50000</v>
      </c>
      <c r="M270" s="24">
        <v>50000</v>
      </c>
      <c r="O270" s="54" t="s">
        <v>149</v>
      </c>
      <c r="P270" s="54">
        <f>HEX2DEC(RIGHT(Table132321432[[#This Row],[h1]],8))</f>
        <v>0</v>
      </c>
      <c r="Q270" s="54" t="s">
        <v>149</v>
      </c>
      <c r="R270" s="54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451</v>
      </c>
      <c r="E271" s="15" t="s">
        <v>125</v>
      </c>
      <c r="G271" s="15">
        <f>IF(Table1319230[[#This Row],[dec val]]="",0,1)</f>
        <v>0</v>
      </c>
      <c r="J271" s="24">
        <v>50000</v>
      </c>
      <c r="M271" s="24">
        <v>50000</v>
      </c>
      <c r="O271" s="54" t="s">
        <v>149</v>
      </c>
      <c r="P271" s="54">
        <f>HEX2DEC(RIGHT(Table132321432[[#This Row],[h1]],8))</f>
        <v>0</v>
      </c>
      <c r="Q271" s="54" t="s">
        <v>149</v>
      </c>
      <c r="R271" s="54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452</v>
      </c>
      <c r="E272" s="15" t="s">
        <v>126</v>
      </c>
      <c r="G272" s="15">
        <f>IF(Table1319230[[#This Row],[dec val]]="",0,1)</f>
        <v>0</v>
      </c>
      <c r="J272" s="24">
        <v>50000</v>
      </c>
      <c r="M272" s="24">
        <v>50000</v>
      </c>
      <c r="O272" s="54" t="s">
        <v>149</v>
      </c>
      <c r="P272" s="54">
        <f>HEX2DEC(RIGHT(Table132321432[[#This Row],[h1]],8))</f>
        <v>0</v>
      </c>
      <c r="Q272" s="54" t="s">
        <v>149</v>
      </c>
      <c r="R272" s="54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453</v>
      </c>
      <c r="E273" s="15" t="s">
        <v>127</v>
      </c>
      <c r="G273" s="15">
        <f>IF(Table1319230[[#This Row],[dec val]]="",0,1)</f>
        <v>0</v>
      </c>
      <c r="J273" s="24">
        <v>50000</v>
      </c>
      <c r="M273" s="24">
        <v>50000</v>
      </c>
      <c r="O273" s="54" t="s">
        <v>149</v>
      </c>
      <c r="P273" s="54">
        <f>HEX2DEC(RIGHT(Table132321432[[#This Row],[h1]],8))</f>
        <v>0</v>
      </c>
      <c r="Q273" s="54" t="s">
        <v>149</v>
      </c>
      <c r="R273" s="54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454</v>
      </c>
      <c r="E274" s="15" t="s">
        <v>128</v>
      </c>
      <c r="G274" s="15">
        <f>IF(Table1319230[[#This Row],[dec val]]="",0,1)</f>
        <v>0</v>
      </c>
      <c r="J274" s="24">
        <v>50000</v>
      </c>
      <c r="M274" s="24">
        <v>50000</v>
      </c>
      <c r="O274" s="54" t="s">
        <v>149</v>
      </c>
      <c r="P274" s="54">
        <f>HEX2DEC(RIGHT(Table132321432[[#This Row],[h1]],8))</f>
        <v>0</v>
      </c>
      <c r="Q274" s="54" t="s">
        <v>149</v>
      </c>
      <c r="R274" s="54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455</v>
      </c>
      <c r="E275" s="15" t="s">
        <v>129</v>
      </c>
      <c r="G275" s="15">
        <f>IF(Table1319230[[#This Row],[dec val]]="",0,1)</f>
        <v>0</v>
      </c>
      <c r="J275" s="24">
        <v>50000</v>
      </c>
      <c r="M275" s="24">
        <v>50000</v>
      </c>
      <c r="O275" s="54" t="s">
        <v>149</v>
      </c>
      <c r="P275" s="54">
        <f>HEX2DEC(RIGHT(Table132321432[[#This Row],[h1]],8))</f>
        <v>0</v>
      </c>
      <c r="Q275" s="54" t="s">
        <v>149</v>
      </c>
      <c r="R275" s="54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456</v>
      </c>
      <c r="E276" s="15" t="s">
        <v>130</v>
      </c>
      <c r="G276" s="15">
        <f>IF(Table1319230[[#This Row],[dec val]]="",0,1)</f>
        <v>0</v>
      </c>
      <c r="J276" s="24">
        <v>50000</v>
      </c>
      <c r="M276" s="24">
        <v>50000</v>
      </c>
      <c r="O276" s="54" t="s">
        <v>149</v>
      </c>
      <c r="P276" s="54">
        <f>HEX2DEC(RIGHT(Table132321432[[#This Row],[h1]],8))</f>
        <v>0</v>
      </c>
      <c r="Q276" s="54" t="s">
        <v>149</v>
      </c>
      <c r="R276" s="54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457</v>
      </c>
      <c r="E277" s="15" t="s">
        <v>131</v>
      </c>
      <c r="G277" s="15">
        <f>IF(Table1319230[[#This Row],[dec val]]="",0,1)</f>
        <v>0</v>
      </c>
      <c r="J277" s="24">
        <v>50000</v>
      </c>
      <c r="M277" s="24">
        <v>50000</v>
      </c>
      <c r="O277" s="54" t="s">
        <v>149</v>
      </c>
      <c r="P277" s="54">
        <f>HEX2DEC(RIGHT(Table132321432[[#This Row],[h1]],8))</f>
        <v>0</v>
      </c>
      <c r="Q277" s="54" t="s">
        <v>149</v>
      </c>
      <c r="R277" s="54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458</v>
      </c>
      <c r="E278" s="15" t="s">
        <v>132</v>
      </c>
      <c r="G278" s="15">
        <f>IF(Table1319230[[#This Row],[dec val]]="",0,1)</f>
        <v>0</v>
      </c>
      <c r="J278" s="24">
        <v>50000</v>
      </c>
      <c r="M278" s="24">
        <v>50000</v>
      </c>
      <c r="O278" s="54" t="s">
        <v>149</v>
      </c>
      <c r="P278" s="54">
        <f>HEX2DEC(RIGHT(Table132321432[[#This Row],[h1]],8))</f>
        <v>0</v>
      </c>
      <c r="Q278" s="54" t="s">
        <v>149</v>
      </c>
      <c r="R278" s="54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459</v>
      </c>
      <c r="E279" s="15" t="s">
        <v>133</v>
      </c>
      <c r="G279" s="15">
        <f>IF(Table1319230[[#This Row],[dec val]]="",0,1)</f>
        <v>0</v>
      </c>
      <c r="J279" s="24">
        <v>50000</v>
      </c>
      <c r="M279" s="24">
        <v>50000</v>
      </c>
      <c r="O279" s="54" t="s">
        <v>149</v>
      </c>
      <c r="P279" s="54">
        <f>HEX2DEC(RIGHT(Table132321432[[#This Row],[h1]],8))</f>
        <v>0</v>
      </c>
      <c r="Q279" s="54" t="s">
        <v>149</v>
      </c>
      <c r="R279" s="54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460</v>
      </c>
      <c r="E280" s="15" t="s">
        <v>134</v>
      </c>
      <c r="G280" s="15">
        <f>IF(Table1319230[[#This Row],[dec val]]="",0,1)</f>
        <v>0</v>
      </c>
      <c r="J280" s="24">
        <v>50000</v>
      </c>
      <c r="M280" s="24">
        <v>50000</v>
      </c>
      <c r="O280" s="54" t="s">
        <v>149</v>
      </c>
      <c r="P280" s="54">
        <f>HEX2DEC(RIGHT(Table132321432[[#This Row],[h1]],8))</f>
        <v>0</v>
      </c>
      <c r="Q280" s="54" t="s">
        <v>149</v>
      </c>
      <c r="R280" s="54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461</v>
      </c>
      <c r="E281" s="15" t="s">
        <v>135</v>
      </c>
      <c r="G281" s="15">
        <f>IF(Table1319230[[#This Row],[dec val]]="",0,1)</f>
        <v>0</v>
      </c>
      <c r="J281" s="24">
        <v>50000</v>
      </c>
      <c r="M281" s="24">
        <v>50000</v>
      </c>
      <c r="O281" s="54" t="s">
        <v>149</v>
      </c>
      <c r="P281" s="54">
        <f>HEX2DEC(RIGHT(Table132321432[[#This Row],[h1]],8))</f>
        <v>0</v>
      </c>
      <c r="Q281" s="54" t="s">
        <v>149</v>
      </c>
      <c r="R281" s="54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462</v>
      </c>
      <c r="E282" s="15" t="s">
        <v>136</v>
      </c>
      <c r="G282" s="15">
        <f>IF(Table1319230[[#This Row],[dec val]]="",0,1)</f>
        <v>0</v>
      </c>
      <c r="J282" s="24">
        <v>50000</v>
      </c>
      <c r="M282" s="24">
        <v>50000</v>
      </c>
      <c r="O282" s="54" t="s">
        <v>149</v>
      </c>
      <c r="P282" s="54">
        <f>HEX2DEC(RIGHT(Table132321432[[#This Row],[h1]],8))</f>
        <v>0</v>
      </c>
      <c r="Q282" s="54" t="s">
        <v>149</v>
      </c>
      <c r="R282" s="54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4" t="s">
        <v>149</v>
      </c>
      <c r="P283" s="54">
        <f>HEX2DEC(RIGHT(Table132321432[[#This Row],[h1]],8))</f>
        <v>0</v>
      </c>
      <c r="Q283" s="54" t="s">
        <v>149</v>
      </c>
      <c r="R283" s="54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463</v>
      </c>
      <c r="E284" s="15" t="s">
        <v>106</v>
      </c>
      <c r="G284" s="15">
        <f>IF(Table1319230[[#This Row],[dec val]]="",0,1)</f>
        <v>0</v>
      </c>
      <c r="J284" s="24">
        <v>50000</v>
      </c>
      <c r="M284" s="24">
        <v>50000</v>
      </c>
      <c r="O284" s="54" t="s">
        <v>149</v>
      </c>
      <c r="P284" s="54">
        <f>HEX2DEC(RIGHT(Table132321432[[#This Row],[h1]],8))</f>
        <v>0</v>
      </c>
      <c r="Q284" s="54" t="s">
        <v>149</v>
      </c>
      <c r="R284" s="54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464</v>
      </c>
      <c r="E285" s="15" t="s">
        <v>107</v>
      </c>
      <c r="G285" s="15">
        <f>IF(Table1319230[[#This Row],[dec val]]="",0,1)</f>
        <v>0</v>
      </c>
      <c r="J285" s="24">
        <v>50000</v>
      </c>
      <c r="M285" s="24">
        <v>50000</v>
      </c>
      <c r="O285" s="54" t="s">
        <v>149</v>
      </c>
      <c r="P285" s="54">
        <f>HEX2DEC(RIGHT(Table132321432[[#This Row],[h1]],8))</f>
        <v>0</v>
      </c>
      <c r="Q285" s="54" t="s">
        <v>149</v>
      </c>
      <c r="R285" s="54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465</v>
      </c>
      <c r="E286" s="15" t="s">
        <v>108</v>
      </c>
      <c r="G286" s="15">
        <f>IF(Table1319230[[#This Row],[dec val]]="",0,1)</f>
        <v>0</v>
      </c>
      <c r="J286" s="24">
        <v>50000</v>
      </c>
      <c r="M286" s="24">
        <v>50000</v>
      </c>
      <c r="O286" s="54" t="s">
        <v>149</v>
      </c>
      <c r="P286" s="54">
        <f>HEX2DEC(RIGHT(Table132321432[[#This Row],[h1]],8))</f>
        <v>0</v>
      </c>
      <c r="Q286" s="54" t="s">
        <v>149</v>
      </c>
      <c r="R286" s="54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466</v>
      </c>
      <c r="E287" s="15" t="s">
        <v>109</v>
      </c>
      <c r="G287" s="15">
        <f>IF(Table1319230[[#This Row],[dec val]]="",0,1)</f>
        <v>0</v>
      </c>
      <c r="J287" s="24">
        <v>50000</v>
      </c>
      <c r="M287" s="24">
        <v>50000</v>
      </c>
      <c r="O287" s="54" t="s">
        <v>149</v>
      </c>
      <c r="P287" s="54">
        <f>HEX2DEC(RIGHT(Table132321432[[#This Row],[h1]],8))</f>
        <v>0</v>
      </c>
      <c r="Q287" s="54" t="s">
        <v>149</v>
      </c>
      <c r="R287" s="54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467</v>
      </c>
      <c r="E288" s="15" t="s">
        <v>110</v>
      </c>
      <c r="G288" s="15">
        <f>IF(Table1319230[[#This Row],[dec val]]="",0,1)</f>
        <v>0</v>
      </c>
      <c r="J288" s="24">
        <v>50000</v>
      </c>
      <c r="M288" s="24">
        <v>50000</v>
      </c>
      <c r="O288" s="54" t="s">
        <v>149</v>
      </c>
      <c r="P288" s="54">
        <f>HEX2DEC(RIGHT(Table132321432[[#This Row],[h1]],8))</f>
        <v>0</v>
      </c>
      <c r="Q288" s="54" t="s">
        <v>149</v>
      </c>
      <c r="R288" s="54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468</v>
      </c>
      <c r="E289" s="15" t="s">
        <v>111</v>
      </c>
      <c r="G289" s="15">
        <f>IF(Table1319230[[#This Row],[dec val]]="",0,1)</f>
        <v>0</v>
      </c>
      <c r="J289" s="24">
        <v>50000</v>
      </c>
      <c r="M289" s="24">
        <v>50000</v>
      </c>
      <c r="O289" s="54" t="s">
        <v>149</v>
      </c>
      <c r="P289" s="54">
        <f>HEX2DEC(RIGHT(Table132321432[[#This Row],[h1]],8))</f>
        <v>0</v>
      </c>
      <c r="Q289" s="54" t="s">
        <v>149</v>
      </c>
      <c r="R289" s="54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469</v>
      </c>
      <c r="E290" s="15" t="s">
        <v>112</v>
      </c>
      <c r="G290" s="15">
        <f>IF(Table1319230[[#This Row],[dec val]]="",0,1)</f>
        <v>0</v>
      </c>
      <c r="J290" s="24">
        <v>50000</v>
      </c>
      <c r="M290" s="24">
        <v>50000</v>
      </c>
      <c r="O290" s="54" t="s">
        <v>149</v>
      </c>
      <c r="P290" s="54">
        <f>HEX2DEC(RIGHT(Table132321432[[#This Row],[h1]],8))</f>
        <v>0</v>
      </c>
      <c r="Q290" s="54" t="s">
        <v>149</v>
      </c>
      <c r="R290" s="54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470</v>
      </c>
      <c r="E291" s="15" t="s">
        <v>113</v>
      </c>
      <c r="G291" s="15">
        <f>IF(Table1319230[[#This Row],[dec val]]="",0,1)</f>
        <v>0</v>
      </c>
      <c r="J291" s="24">
        <v>50000</v>
      </c>
      <c r="M291" s="24">
        <v>50000</v>
      </c>
      <c r="O291" s="54" t="s">
        <v>149</v>
      </c>
      <c r="P291" s="54">
        <f>HEX2DEC(RIGHT(Table132321432[[#This Row],[h1]],8))</f>
        <v>0</v>
      </c>
      <c r="Q291" s="54" t="s">
        <v>149</v>
      </c>
      <c r="R291" s="54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471</v>
      </c>
      <c r="E292" s="15" t="s">
        <v>114</v>
      </c>
      <c r="G292" s="15">
        <f>IF(Table1319230[[#This Row],[dec val]]="",0,1)</f>
        <v>0</v>
      </c>
      <c r="J292" s="24">
        <v>50000</v>
      </c>
      <c r="M292" s="24">
        <v>50000</v>
      </c>
      <c r="O292" s="54" t="s">
        <v>149</v>
      </c>
      <c r="P292" s="54">
        <f>HEX2DEC(RIGHT(Table132321432[[#This Row],[h1]],8))</f>
        <v>0</v>
      </c>
      <c r="Q292" s="54" t="s">
        <v>149</v>
      </c>
      <c r="R292" s="54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472</v>
      </c>
      <c r="E293" s="15" t="s">
        <v>115</v>
      </c>
      <c r="G293" s="15">
        <f>IF(Table1319230[[#This Row],[dec val]]="",0,1)</f>
        <v>0</v>
      </c>
      <c r="J293" s="24">
        <v>50000</v>
      </c>
      <c r="M293" s="24">
        <v>50000</v>
      </c>
      <c r="O293" s="54" t="s">
        <v>149</v>
      </c>
      <c r="P293" s="54">
        <f>HEX2DEC(RIGHT(Table132321432[[#This Row],[h1]],8))</f>
        <v>0</v>
      </c>
      <c r="Q293" s="54" t="s">
        <v>149</v>
      </c>
      <c r="R293" s="54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473</v>
      </c>
      <c r="E294" s="15" t="s">
        <v>116</v>
      </c>
      <c r="G294" s="15">
        <f>IF(Table1319230[[#This Row],[dec val]]="",0,1)</f>
        <v>0</v>
      </c>
      <c r="J294" s="24">
        <v>50000</v>
      </c>
      <c r="M294" s="24">
        <v>50000</v>
      </c>
      <c r="O294" s="54" t="s">
        <v>149</v>
      </c>
      <c r="P294" s="54">
        <f>HEX2DEC(RIGHT(Table132321432[[#This Row],[h1]],8))</f>
        <v>0</v>
      </c>
      <c r="Q294" s="54" t="s">
        <v>149</v>
      </c>
      <c r="R294" s="54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474</v>
      </c>
      <c r="E295" s="15" t="s">
        <v>117</v>
      </c>
      <c r="G295" s="15">
        <f>IF(Table1319230[[#This Row],[dec val]]="",0,1)</f>
        <v>0</v>
      </c>
      <c r="J295" s="24">
        <v>50000</v>
      </c>
      <c r="M295" s="24">
        <v>50000</v>
      </c>
      <c r="O295" s="54" t="s">
        <v>149</v>
      </c>
      <c r="P295" s="54">
        <f>HEX2DEC(RIGHT(Table132321432[[#This Row],[h1]],8))</f>
        <v>0</v>
      </c>
      <c r="Q295" s="54" t="s">
        <v>149</v>
      </c>
      <c r="R295" s="54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475</v>
      </c>
      <c r="E296" s="15" t="s">
        <v>118</v>
      </c>
      <c r="G296" s="15">
        <f>IF(Table1319230[[#This Row],[dec val]]="",0,1)</f>
        <v>0</v>
      </c>
      <c r="J296" s="24">
        <v>50000</v>
      </c>
      <c r="M296" s="24">
        <v>50000</v>
      </c>
      <c r="O296" s="54" t="s">
        <v>149</v>
      </c>
      <c r="P296" s="54">
        <f>HEX2DEC(RIGHT(Table132321432[[#This Row],[h1]],8))</f>
        <v>0</v>
      </c>
      <c r="Q296" s="54" t="s">
        <v>149</v>
      </c>
      <c r="R296" s="54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476</v>
      </c>
      <c r="E297" s="15" t="s">
        <v>119</v>
      </c>
      <c r="G297" s="15">
        <f>IF(Table1319230[[#This Row],[dec val]]="",0,1)</f>
        <v>0</v>
      </c>
      <c r="J297" s="24">
        <v>50000</v>
      </c>
      <c r="M297" s="24">
        <v>50000</v>
      </c>
      <c r="O297" s="54" t="s">
        <v>149</v>
      </c>
      <c r="P297" s="54">
        <f>HEX2DEC(RIGHT(Table132321432[[#This Row],[h1]],8))</f>
        <v>0</v>
      </c>
      <c r="Q297" s="54" t="s">
        <v>149</v>
      </c>
      <c r="R297" s="54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477</v>
      </c>
      <c r="E298" s="15" t="s">
        <v>120</v>
      </c>
      <c r="G298" s="15">
        <f>IF(Table1319230[[#This Row],[dec val]]="",0,1)</f>
        <v>0</v>
      </c>
      <c r="J298" s="24">
        <v>50000</v>
      </c>
      <c r="M298" s="24">
        <v>50000</v>
      </c>
      <c r="O298" s="54" t="s">
        <v>149</v>
      </c>
      <c r="P298" s="54">
        <f>HEX2DEC(RIGHT(Table132321432[[#This Row],[h1]],8))</f>
        <v>0</v>
      </c>
      <c r="Q298" s="54" t="s">
        <v>149</v>
      </c>
      <c r="R298" s="54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478</v>
      </c>
      <c r="E299" s="15" t="s">
        <v>121</v>
      </c>
      <c r="G299" s="15">
        <f>IF(Table1319230[[#This Row],[dec val]]="",0,1)</f>
        <v>0</v>
      </c>
      <c r="J299" s="24">
        <v>50000</v>
      </c>
      <c r="M299" s="24">
        <v>50000</v>
      </c>
      <c r="O299" s="54" t="s">
        <v>149</v>
      </c>
      <c r="P299" s="54">
        <f>HEX2DEC(RIGHT(Table132321432[[#This Row],[h1]],8))</f>
        <v>0</v>
      </c>
      <c r="Q299" s="54" t="s">
        <v>149</v>
      </c>
      <c r="R299" s="54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479</v>
      </c>
      <c r="E300" s="15" t="s">
        <v>122</v>
      </c>
      <c r="G300" s="15">
        <f>IF(Table1319230[[#This Row],[dec val]]="",0,1)</f>
        <v>0</v>
      </c>
      <c r="J300" s="24">
        <v>50000</v>
      </c>
      <c r="M300" s="24">
        <v>50000</v>
      </c>
      <c r="O300" s="54" t="s">
        <v>149</v>
      </c>
      <c r="P300" s="54">
        <f>HEX2DEC(RIGHT(Table132321432[[#This Row],[h1]],8))</f>
        <v>0</v>
      </c>
      <c r="Q300" s="54" t="s">
        <v>149</v>
      </c>
      <c r="R300" s="54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480</v>
      </c>
      <c r="E301" s="15" t="s">
        <v>123</v>
      </c>
      <c r="G301" s="15">
        <f>IF(Table1319230[[#This Row],[dec val]]="",0,1)</f>
        <v>0</v>
      </c>
      <c r="J301" s="24">
        <v>50000</v>
      </c>
      <c r="M301" s="24">
        <v>50000</v>
      </c>
      <c r="O301" s="54" t="s">
        <v>149</v>
      </c>
      <c r="P301" s="54">
        <f>HEX2DEC(RIGHT(Table132321432[[#This Row],[h1]],8))</f>
        <v>0</v>
      </c>
      <c r="Q301" s="54" t="s">
        <v>149</v>
      </c>
      <c r="R301" s="54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481</v>
      </c>
      <c r="E302" s="15" t="s">
        <v>124</v>
      </c>
      <c r="G302" s="15">
        <f>IF(Table1319230[[#This Row],[dec val]]="",0,1)</f>
        <v>0</v>
      </c>
      <c r="J302" s="24">
        <v>50000</v>
      </c>
      <c r="M302" s="24">
        <v>50000</v>
      </c>
      <c r="O302" s="54" t="s">
        <v>149</v>
      </c>
      <c r="P302" s="54">
        <f>HEX2DEC(RIGHT(Table132321432[[#This Row],[h1]],8))</f>
        <v>0</v>
      </c>
      <c r="Q302" s="54" t="s">
        <v>149</v>
      </c>
      <c r="R302" s="54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482</v>
      </c>
      <c r="E303" s="15" t="s">
        <v>125</v>
      </c>
      <c r="G303" s="15">
        <f>IF(Table1319230[[#This Row],[dec val]]="",0,1)</f>
        <v>0</v>
      </c>
      <c r="J303" s="24">
        <v>50000</v>
      </c>
      <c r="M303" s="24">
        <v>50000</v>
      </c>
      <c r="O303" s="54" t="s">
        <v>149</v>
      </c>
      <c r="P303" s="54">
        <f>HEX2DEC(RIGHT(Table132321432[[#This Row],[h1]],8))</f>
        <v>0</v>
      </c>
      <c r="Q303" s="54" t="s">
        <v>149</v>
      </c>
      <c r="R303" s="54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483</v>
      </c>
      <c r="E304" s="15" t="s">
        <v>126</v>
      </c>
      <c r="G304" s="15">
        <f>IF(Table1319230[[#This Row],[dec val]]="",0,1)</f>
        <v>0</v>
      </c>
      <c r="J304" s="24">
        <v>50000</v>
      </c>
      <c r="M304" s="24">
        <v>50000</v>
      </c>
      <c r="O304" s="54" t="s">
        <v>149</v>
      </c>
      <c r="P304" s="54">
        <f>HEX2DEC(RIGHT(Table132321432[[#This Row],[h1]],8))</f>
        <v>0</v>
      </c>
      <c r="Q304" s="54" t="s">
        <v>149</v>
      </c>
      <c r="R304" s="54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484</v>
      </c>
      <c r="E305" s="15" t="s">
        <v>127</v>
      </c>
      <c r="G305" s="15">
        <f>IF(Table1319230[[#This Row],[dec val]]="",0,1)</f>
        <v>0</v>
      </c>
      <c r="J305" s="24">
        <v>50000</v>
      </c>
      <c r="M305" s="24">
        <v>50000</v>
      </c>
      <c r="O305" s="54" t="s">
        <v>149</v>
      </c>
      <c r="P305" s="54">
        <f>HEX2DEC(RIGHT(Table132321432[[#This Row],[h1]],8))</f>
        <v>0</v>
      </c>
      <c r="Q305" s="54" t="s">
        <v>149</v>
      </c>
      <c r="R305" s="54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485</v>
      </c>
      <c r="E306" s="15" t="s">
        <v>128</v>
      </c>
      <c r="G306" s="15">
        <f>IF(Table1319230[[#This Row],[dec val]]="",0,1)</f>
        <v>0</v>
      </c>
      <c r="J306" s="24">
        <v>50000</v>
      </c>
      <c r="M306" s="24">
        <v>50000</v>
      </c>
      <c r="O306" s="54" t="s">
        <v>149</v>
      </c>
      <c r="P306" s="54">
        <f>HEX2DEC(RIGHT(Table132321432[[#This Row],[h1]],8))</f>
        <v>0</v>
      </c>
      <c r="Q306" s="54" t="s">
        <v>149</v>
      </c>
      <c r="R306" s="54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486</v>
      </c>
      <c r="E307" s="15" t="s">
        <v>129</v>
      </c>
      <c r="G307" s="15">
        <f>IF(Table1319230[[#This Row],[dec val]]="",0,1)</f>
        <v>0</v>
      </c>
      <c r="J307" s="24">
        <v>50000</v>
      </c>
      <c r="M307" s="24">
        <v>50000</v>
      </c>
      <c r="O307" s="54" t="s">
        <v>149</v>
      </c>
      <c r="P307" s="54">
        <f>HEX2DEC(RIGHT(Table132321432[[#This Row],[h1]],8))</f>
        <v>0</v>
      </c>
      <c r="Q307" s="54" t="s">
        <v>149</v>
      </c>
      <c r="R307" s="54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487</v>
      </c>
      <c r="E308" s="15" t="s">
        <v>130</v>
      </c>
      <c r="G308" s="15">
        <f>IF(Table1319230[[#This Row],[dec val]]="",0,1)</f>
        <v>0</v>
      </c>
      <c r="J308" s="24">
        <v>50000</v>
      </c>
      <c r="M308" s="24">
        <v>50000</v>
      </c>
      <c r="O308" s="54" t="s">
        <v>149</v>
      </c>
      <c r="P308" s="54">
        <f>HEX2DEC(RIGHT(Table132321432[[#This Row],[h1]],8))</f>
        <v>0</v>
      </c>
      <c r="Q308" s="54" t="s">
        <v>149</v>
      </c>
      <c r="R308" s="54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488</v>
      </c>
      <c r="E309" s="15" t="s">
        <v>131</v>
      </c>
      <c r="G309" s="15">
        <f>IF(Table1319230[[#This Row],[dec val]]="",0,1)</f>
        <v>0</v>
      </c>
      <c r="J309" s="24">
        <v>50000</v>
      </c>
      <c r="M309" s="24">
        <v>50000</v>
      </c>
      <c r="O309" s="54" t="s">
        <v>149</v>
      </c>
      <c r="P309" s="54">
        <f>HEX2DEC(RIGHT(Table132321432[[#This Row],[h1]],8))</f>
        <v>0</v>
      </c>
      <c r="Q309" s="54" t="s">
        <v>149</v>
      </c>
      <c r="R309" s="54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489</v>
      </c>
      <c r="E310" s="15" t="s">
        <v>132</v>
      </c>
      <c r="G310" s="15">
        <f>IF(Table1319230[[#This Row],[dec val]]="",0,1)</f>
        <v>0</v>
      </c>
      <c r="J310" s="24">
        <v>50000</v>
      </c>
      <c r="M310" s="24">
        <v>50000</v>
      </c>
      <c r="O310" s="54" t="s">
        <v>149</v>
      </c>
      <c r="P310" s="54">
        <f>HEX2DEC(RIGHT(Table132321432[[#This Row],[h1]],8))</f>
        <v>0</v>
      </c>
      <c r="Q310" s="54" t="s">
        <v>149</v>
      </c>
      <c r="R310" s="54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490</v>
      </c>
      <c r="E311" s="15" t="s">
        <v>133</v>
      </c>
      <c r="G311" s="15">
        <f>IF(Table1319230[[#This Row],[dec val]]="",0,1)</f>
        <v>0</v>
      </c>
      <c r="J311" s="24">
        <v>50000</v>
      </c>
      <c r="M311" s="24">
        <v>50000</v>
      </c>
      <c r="O311" s="54" t="s">
        <v>149</v>
      </c>
      <c r="P311" s="54">
        <f>HEX2DEC(RIGHT(Table132321432[[#This Row],[h1]],8))</f>
        <v>0</v>
      </c>
      <c r="Q311" s="54" t="s">
        <v>149</v>
      </c>
      <c r="R311" s="54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491</v>
      </c>
      <c r="E312" s="15" t="s">
        <v>134</v>
      </c>
      <c r="G312" s="15">
        <f>IF(Table1319230[[#This Row],[dec val]]="",0,1)</f>
        <v>0</v>
      </c>
      <c r="J312" s="24">
        <v>50000</v>
      </c>
      <c r="M312" s="24">
        <v>50000</v>
      </c>
      <c r="O312" s="54" t="s">
        <v>149</v>
      </c>
      <c r="P312" s="54">
        <f>HEX2DEC(RIGHT(Table132321432[[#This Row],[h1]],8))</f>
        <v>0</v>
      </c>
      <c r="Q312" s="54" t="s">
        <v>149</v>
      </c>
      <c r="R312" s="54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492</v>
      </c>
      <c r="E313" s="15" t="s">
        <v>135</v>
      </c>
      <c r="G313" s="15">
        <f>IF(Table1319230[[#This Row],[dec val]]="",0,1)</f>
        <v>0</v>
      </c>
      <c r="J313" s="24">
        <v>50000</v>
      </c>
      <c r="M313" s="24">
        <v>50000</v>
      </c>
      <c r="O313" s="54" t="s">
        <v>149</v>
      </c>
      <c r="P313" s="54">
        <f>HEX2DEC(RIGHT(Table132321432[[#This Row],[h1]],8))</f>
        <v>0</v>
      </c>
      <c r="Q313" s="54" t="s">
        <v>149</v>
      </c>
      <c r="R313" s="54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493</v>
      </c>
      <c r="E314" s="15" t="s">
        <v>136</v>
      </c>
      <c r="G314" s="15">
        <f>IF(Table1319230[[#This Row],[dec val]]="",0,1)</f>
        <v>0</v>
      </c>
      <c r="J314" s="24">
        <v>50000</v>
      </c>
      <c r="M314" s="24">
        <v>50000</v>
      </c>
      <c r="O314" s="54" t="s">
        <v>149</v>
      </c>
      <c r="P314" s="54">
        <f>HEX2DEC(RIGHT(Table132321432[[#This Row],[h1]],8))</f>
        <v>0</v>
      </c>
      <c r="Q314" s="54" t="s">
        <v>149</v>
      </c>
      <c r="R314" s="54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4" t="s">
        <v>149</v>
      </c>
      <c r="P315" s="54">
        <f>HEX2DEC(RIGHT(Table132321432[[#This Row],[h1]],8))</f>
        <v>0</v>
      </c>
      <c r="Q315" s="54" t="s">
        <v>149</v>
      </c>
      <c r="R315" s="54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494</v>
      </c>
      <c r="E316" s="15" t="s">
        <v>106</v>
      </c>
      <c r="G316" s="15">
        <f>IF(Table1319230[[#This Row],[dec val]]="",0,1)</f>
        <v>0</v>
      </c>
      <c r="J316" s="24">
        <v>50000</v>
      </c>
      <c r="M316" s="24">
        <v>50000</v>
      </c>
      <c r="O316" s="54" t="s">
        <v>149</v>
      </c>
      <c r="P316" s="54">
        <f>HEX2DEC(RIGHT(Table132321432[[#This Row],[h1]],8))</f>
        <v>0</v>
      </c>
      <c r="Q316" s="54" t="s">
        <v>149</v>
      </c>
      <c r="R316" s="54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495</v>
      </c>
      <c r="E317" s="15" t="s">
        <v>107</v>
      </c>
      <c r="G317" s="15">
        <f>IF(Table1319230[[#This Row],[dec val]]="",0,1)</f>
        <v>0</v>
      </c>
      <c r="J317" s="24">
        <v>50000</v>
      </c>
      <c r="M317" s="24">
        <v>50000</v>
      </c>
      <c r="O317" s="54" t="s">
        <v>149</v>
      </c>
      <c r="P317" s="54">
        <f>HEX2DEC(RIGHT(Table132321432[[#This Row],[h1]],8))</f>
        <v>0</v>
      </c>
      <c r="Q317" s="54" t="s">
        <v>149</v>
      </c>
      <c r="R317" s="54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496</v>
      </c>
      <c r="E318" s="15" t="s">
        <v>108</v>
      </c>
      <c r="G318" s="15">
        <f>IF(Table1319230[[#This Row],[dec val]]="",0,1)</f>
        <v>0</v>
      </c>
      <c r="J318" s="24">
        <v>50000</v>
      </c>
      <c r="M318" s="24">
        <v>50000</v>
      </c>
      <c r="O318" s="54" t="s">
        <v>149</v>
      </c>
      <c r="P318" s="54">
        <f>HEX2DEC(RIGHT(Table132321432[[#This Row],[h1]],8))</f>
        <v>0</v>
      </c>
      <c r="Q318" s="54" t="s">
        <v>149</v>
      </c>
      <c r="R318" s="54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497</v>
      </c>
      <c r="E319" s="15" t="s">
        <v>109</v>
      </c>
      <c r="G319" s="15">
        <f>IF(Table1319230[[#This Row],[dec val]]="",0,1)</f>
        <v>0</v>
      </c>
      <c r="J319" s="24">
        <v>50000</v>
      </c>
      <c r="M319" s="24">
        <v>50000</v>
      </c>
      <c r="O319" s="54" t="s">
        <v>149</v>
      </c>
      <c r="P319" s="54">
        <f>HEX2DEC(RIGHT(Table132321432[[#This Row],[h1]],8))</f>
        <v>0</v>
      </c>
      <c r="Q319" s="54" t="s">
        <v>149</v>
      </c>
      <c r="R319" s="54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498</v>
      </c>
      <c r="E320" s="15" t="s">
        <v>110</v>
      </c>
      <c r="G320" s="15">
        <f>IF(Table1319230[[#This Row],[dec val]]="",0,1)</f>
        <v>0</v>
      </c>
      <c r="J320" s="24">
        <v>50000</v>
      </c>
      <c r="M320" s="24">
        <v>50000</v>
      </c>
      <c r="O320" s="54" t="s">
        <v>149</v>
      </c>
      <c r="P320" s="54">
        <f>HEX2DEC(RIGHT(Table132321432[[#This Row],[h1]],8))</f>
        <v>0</v>
      </c>
      <c r="Q320" s="54" t="s">
        <v>149</v>
      </c>
      <c r="R320" s="54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499</v>
      </c>
      <c r="E321" s="15" t="s">
        <v>111</v>
      </c>
      <c r="G321" s="15">
        <f>IF(Table1319230[[#This Row],[dec val]]="",0,1)</f>
        <v>0</v>
      </c>
      <c r="J321" s="24">
        <v>50000</v>
      </c>
      <c r="M321" s="24">
        <v>50000</v>
      </c>
      <c r="O321" s="54" t="s">
        <v>149</v>
      </c>
      <c r="P321" s="54">
        <f>HEX2DEC(RIGHT(Table132321432[[#This Row],[h1]],8))</f>
        <v>0</v>
      </c>
      <c r="Q321" s="54" t="s">
        <v>149</v>
      </c>
      <c r="R321" s="54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500</v>
      </c>
      <c r="E322" s="15" t="s">
        <v>112</v>
      </c>
      <c r="G322" s="15">
        <f>IF(Table1319230[[#This Row],[dec val]]="",0,1)</f>
        <v>0</v>
      </c>
      <c r="J322" s="24">
        <v>50000</v>
      </c>
      <c r="M322" s="24">
        <v>50000</v>
      </c>
      <c r="O322" s="54" t="s">
        <v>149</v>
      </c>
      <c r="P322" s="54">
        <f>HEX2DEC(RIGHT(Table132321432[[#This Row],[h1]],8))</f>
        <v>0</v>
      </c>
      <c r="Q322" s="54" t="s">
        <v>149</v>
      </c>
      <c r="R322" s="54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501</v>
      </c>
      <c r="E323" s="15" t="s">
        <v>113</v>
      </c>
      <c r="G323" s="15">
        <f>IF(Table1319230[[#This Row],[dec val]]="",0,1)</f>
        <v>0</v>
      </c>
      <c r="J323" s="24">
        <v>50000</v>
      </c>
      <c r="M323" s="24">
        <v>50000</v>
      </c>
      <c r="O323" s="54" t="s">
        <v>149</v>
      </c>
      <c r="P323" s="54">
        <f>HEX2DEC(RIGHT(Table132321432[[#This Row],[h1]],8))</f>
        <v>0</v>
      </c>
      <c r="Q323" s="54" t="s">
        <v>149</v>
      </c>
      <c r="R323" s="54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502</v>
      </c>
      <c r="E324" s="15" t="s">
        <v>114</v>
      </c>
      <c r="G324" s="15">
        <f>IF(Table1319230[[#This Row],[dec val]]="",0,1)</f>
        <v>0</v>
      </c>
      <c r="J324" s="24">
        <v>50000</v>
      </c>
      <c r="M324" s="24">
        <v>50000</v>
      </c>
      <c r="O324" s="54" t="s">
        <v>149</v>
      </c>
      <c r="P324" s="54">
        <f>HEX2DEC(RIGHT(Table132321432[[#This Row],[h1]],8))</f>
        <v>0</v>
      </c>
      <c r="Q324" s="54" t="s">
        <v>149</v>
      </c>
      <c r="R324" s="54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503</v>
      </c>
      <c r="E325" s="15" t="s">
        <v>115</v>
      </c>
      <c r="G325" s="15">
        <f>IF(Table1319230[[#This Row],[dec val]]="",0,1)</f>
        <v>0</v>
      </c>
      <c r="J325" s="24">
        <v>50000</v>
      </c>
      <c r="M325" s="24">
        <v>50000</v>
      </c>
      <c r="O325" s="54" t="s">
        <v>149</v>
      </c>
      <c r="P325" s="54">
        <f>HEX2DEC(RIGHT(Table132321432[[#This Row],[h1]],8))</f>
        <v>0</v>
      </c>
      <c r="Q325" s="54" t="s">
        <v>149</v>
      </c>
      <c r="R325" s="54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504</v>
      </c>
      <c r="E326" s="15" t="s">
        <v>116</v>
      </c>
      <c r="G326" s="15">
        <f>IF(Table1319230[[#This Row],[dec val]]="",0,1)</f>
        <v>0</v>
      </c>
      <c r="J326" s="24">
        <v>50000</v>
      </c>
      <c r="M326" s="24">
        <v>50000</v>
      </c>
      <c r="O326" s="54" t="s">
        <v>149</v>
      </c>
      <c r="P326" s="54">
        <f>HEX2DEC(RIGHT(Table132321432[[#This Row],[h1]],8))</f>
        <v>0</v>
      </c>
      <c r="Q326" s="54" t="s">
        <v>149</v>
      </c>
      <c r="R326" s="54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505</v>
      </c>
      <c r="E327" s="15" t="s">
        <v>117</v>
      </c>
      <c r="G327" s="15">
        <f>IF(Table1319230[[#This Row],[dec val]]="",0,1)</f>
        <v>0</v>
      </c>
      <c r="J327" s="24">
        <v>50000</v>
      </c>
      <c r="M327" s="24">
        <v>50000</v>
      </c>
      <c r="O327" s="54" t="s">
        <v>149</v>
      </c>
      <c r="P327" s="54">
        <f>HEX2DEC(RIGHT(Table132321432[[#This Row],[h1]],8))</f>
        <v>0</v>
      </c>
      <c r="Q327" s="54" t="s">
        <v>149</v>
      </c>
      <c r="R327" s="54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506</v>
      </c>
      <c r="E328" s="15" t="s">
        <v>118</v>
      </c>
      <c r="G328" s="15">
        <f>IF(Table1319230[[#This Row],[dec val]]="",0,1)</f>
        <v>0</v>
      </c>
      <c r="J328" s="24">
        <v>50000</v>
      </c>
      <c r="M328" s="24">
        <v>50000</v>
      </c>
      <c r="O328" s="54" t="s">
        <v>149</v>
      </c>
      <c r="P328" s="54">
        <f>HEX2DEC(RIGHT(Table132321432[[#This Row],[h1]],8))</f>
        <v>0</v>
      </c>
      <c r="Q328" s="54" t="s">
        <v>149</v>
      </c>
      <c r="R328" s="54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507</v>
      </c>
      <c r="E329" s="15" t="s">
        <v>119</v>
      </c>
      <c r="G329" s="15">
        <f>IF(Table1319230[[#This Row],[dec val]]="",0,1)</f>
        <v>0</v>
      </c>
      <c r="J329" s="24">
        <v>50000</v>
      </c>
      <c r="M329" s="24">
        <v>50000</v>
      </c>
      <c r="O329" s="54" t="s">
        <v>149</v>
      </c>
      <c r="P329" s="54">
        <f>HEX2DEC(RIGHT(Table132321432[[#This Row],[h1]],8))</f>
        <v>0</v>
      </c>
      <c r="Q329" s="54" t="s">
        <v>149</v>
      </c>
      <c r="R329" s="54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508</v>
      </c>
      <c r="E330" s="15" t="s">
        <v>120</v>
      </c>
      <c r="G330" s="15">
        <f>IF(Table1319230[[#This Row],[dec val]]="",0,1)</f>
        <v>0</v>
      </c>
      <c r="J330" s="24">
        <v>50000</v>
      </c>
      <c r="M330" s="24">
        <v>50000</v>
      </c>
      <c r="O330" s="54" t="s">
        <v>149</v>
      </c>
      <c r="P330" s="54">
        <f>HEX2DEC(RIGHT(Table132321432[[#This Row],[h1]],8))</f>
        <v>0</v>
      </c>
      <c r="Q330" s="54" t="s">
        <v>149</v>
      </c>
      <c r="R330" s="54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509</v>
      </c>
      <c r="E331" s="15" t="s">
        <v>121</v>
      </c>
      <c r="G331" s="15">
        <f>IF(Table1319230[[#This Row],[dec val]]="",0,1)</f>
        <v>0</v>
      </c>
      <c r="J331" s="24">
        <v>50000</v>
      </c>
      <c r="M331" s="24">
        <v>50000</v>
      </c>
      <c r="O331" s="54" t="s">
        <v>149</v>
      </c>
      <c r="P331" s="54">
        <f>HEX2DEC(RIGHT(Table132321432[[#This Row],[h1]],8))</f>
        <v>0</v>
      </c>
      <c r="Q331" s="54" t="s">
        <v>149</v>
      </c>
      <c r="R331" s="54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510</v>
      </c>
      <c r="E332" s="15" t="s">
        <v>122</v>
      </c>
      <c r="G332" s="15">
        <f>IF(Table1319230[[#This Row],[dec val]]="",0,1)</f>
        <v>0</v>
      </c>
      <c r="J332" s="24">
        <v>50000</v>
      </c>
      <c r="M332" s="24">
        <v>50000</v>
      </c>
      <c r="O332" s="54" t="s">
        <v>149</v>
      </c>
      <c r="P332" s="54">
        <f>HEX2DEC(RIGHT(Table132321432[[#This Row],[h1]],8))</f>
        <v>0</v>
      </c>
      <c r="Q332" s="54" t="s">
        <v>149</v>
      </c>
      <c r="R332" s="54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511</v>
      </c>
      <c r="E333" s="15" t="s">
        <v>123</v>
      </c>
      <c r="G333" s="15">
        <f>IF(Table1319230[[#This Row],[dec val]]="",0,1)</f>
        <v>0</v>
      </c>
      <c r="J333" s="24">
        <v>50000</v>
      </c>
      <c r="M333" s="24">
        <v>50000</v>
      </c>
      <c r="O333" s="54" t="s">
        <v>149</v>
      </c>
      <c r="P333" s="54">
        <f>HEX2DEC(RIGHT(Table132321432[[#This Row],[h1]],8))</f>
        <v>0</v>
      </c>
      <c r="Q333" s="54" t="s">
        <v>149</v>
      </c>
      <c r="R333" s="54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512</v>
      </c>
      <c r="E334" s="15" t="s">
        <v>124</v>
      </c>
      <c r="G334" s="15">
        <f>IF(Table1319230[[#This Row],[dec val]]="",0,1)</f>
        <v>0</v>
      </c>
      <c r="J334" s="24">
        <v>50000</v>
      </c>
      <c r="M334" s="24">
        <v>50000</v>
      </c>
      <c r="O334" s="54" t="s">
        <v>149</v>
      </c>
      <c r="P334" s="54">
        <f>HEX2DEC(RIGHT(Table132321432[[#This Row],[h1]],8))</f>
        <v>0</v>
      </c>
      <c r="Q334" s="54" t="s">
        <v>149</v>
      </c>
      <c r="R334" s="54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513</v>
      </c>
      <c r="E335" s="15" t="s">
        <v>125</v>
      </c>
      <c r="G335" s="15">
        <f>IF(Table1319230[[#This Row],[dec val]]="",0,1)</f>
        <v>0</v>
      </c>
      <c r="J335" s="24">
        <v>50000</v>
      </c>
      <c r="M335" s="24">
        <v>50000</v>
      </c>
      <c r="O335" s="54" t="s">
        <v>149</v>
      </c>
      <c r="P335" s="54">
        <f>HEX2DEC(RIGHT(Table132321432[[#This Row],[h1]],8))</f>
        <v>0</v>
      </c>
      <c r="Q335" s="54" t="s">
        <v>149</v>
      </c>
      <c r="R335" s="54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514</v>
      </c>
      <c r="E336" s="15" t="s">
        <v>126</v>
      </c>
      <c r="G336" s="15">
        <f>IF(Table1319230[[#This Row],[dec val]]="",0,1)</f>
        <v>0</v>
      </c>
      <c r="J336" s="24">
        <v>50000</v>
      </c>
      <c r="M336" s="24">
        <v>50000</v>
      </c>
      <c r="O336" s="54" t="s">
        <v>149</v>
      </c>
      <c r="P336" s="54">
        <f>HEX2DEC(RIGHT(Table132321432[[#This Row],[h1]],8))</f>
        <v>0</v>
      </c>
      <c r="Q336" s="54" t="s">
        <v>149</v>
      </c>
      <c r="R336" s="54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515</v>
      </c>
      <c r="E337" s="15" t="s">
        <v>127</v>
      </c>
      <c r="G337" s="15">
        <f>IF(Table1319230[[#This Row],[dec val]]="",0,1)</f>
        <v>0</v>
      </c>
      <c r="J337" s="24">
        <v>50000</v>
      </c>
      <c r="M337" s="24">
        <v>50000</v>
      </c>
      <c r="O337" s="54" t="s">
        <v>149</v>
      </c>
      <c r="P337" s="54">
        <f>HEX2DEC(RIGHT(Table132321432[[#This Row],[h1]],8))</f>
        <v>0</v>
      </c>
      <c r="Q337" s="54" t="s">
        <v>149</v>
      </c>
      <c r="R337" s="54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516</v>
      </c>
      <c r="E338" s="15" t="s">
        <v>128</v>
      </c>
      <c r="G338" s="15">
        <f>IF(Table1319230[[#This Row],[dec val]]="",0,1)</f>
        <v>0</v>
      </c>
      <c r="J338" s="24">
        <v>50000</v>
      </c>
      <c r="M338" s="24">
        <v>50000</v>
      </c>
      <c r="O338" s="54" t="s">
        <v>149</v>
      </c>
      <c r="P338" s="54">
        <f>HEX2DEC(RIGHT(Table132321432[[#This Row],[h1]],8))</f>
        <v>0</v>
      </c>
      <c r="Q338" s="54" t="s">
        <v>149</v>
      </c>
      <c r="R338" s="54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517</v>
      </c>
      <c r="E339" s="15" t="s">
        <v>129</v>
      </c>
      <c r="G339" s="15">
        <f>IF(Table1319230[[#This Row],[dec val]]="",0,1)</f>
        <v>0</v>
      </c>
      <c r="J339" s="24">
        <v>50000</v>
      </c>
      <c r="M339" s="24">
        <v>50000</v>
      </c>
      <c r="O339" s="54" t="s">
        <v>149</v>
      </c>
      <c r="P339" s="54">
        <f>HEX2DEC(RIGHT(Table132321432[[#This Row],[h1]],8))</f>
        <v>0</v>
      </c>
      <c r="Q339" s="54" t="s">
        <v>149</v>
      </c>
      <c r="R339" s="54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518</v>
      </c>
      <c r="E340" s="15" t="s">
        <v>130</v>
      </c>
      <c r="G340" s="15">
        <f>IF(Table1319230[[#This Row],[dec val]]="",0,1)</f>
        <v>0</v>
      </c>
      <c r="J340" s="24">
        <v>50000</v>
      </c>
      <c r="M340" s="24">
        <v>50000</v>
      </c>
      <c r="O340" s="54" t="s">
        <v>149</v>
      </c>
      <c r="P340" s="54">
        <f>HEX2DEC(RIGHT(Table132321432[[#This Row],[h1]],8))</f>
        <v>0</v>
      </c>
      <c r="Q340" s="54" t="s">
        <v>149</v>
      </c>
      <c r="R340" s="54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519</v>
      </c>
      <c r="E341" s="15" t="s">
        <v>131</v>
      </c>
      <c r="G341" s="15">
        <f>IF(Table1319230[[#This Row],[dec val]]="",0,1)</f>
        <v>0</v>
      </c>
      <c r="J341" s="24">
        <v>50000</v>
      </c>
      <c r="M341" s="24">
        <v>50000</v>
      </c>
      <c r="O341" s="54" t="s">
        <v>149</v>
      </c>
      <c r="P341" s="54">
        <f>HEX2DEC(RIGHT(Table132321432[[#This Row],[h1]],8))</f>
        <v>0</v>
      </c>
      <c r="Q341" s="54" t="s">
        <v>149</v>
      </c>
      <c r="R341" s="54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520</v>
      </c>
      <c r="E342" s="15" t="s">
        <v>132</v>
      </c>
      <c r="G342" s="15">
        <f>IF(Table1319230[[#This Row],[dec val]]="",0,1)</f>
        <v>0</v>
      </c>
      <c r="J342" s="24">
        <v>50000</v>
      </c>
      <c r="M342" s="24">
        <v>50000</v>
      </c>
      <c r="O342" s="54" t="s">
        <v>149</v>
      </c>
      <c r="P342" s="54">
        <f>HEX2DEC(RIGHT(Table132321432[[#This Row],[h1]],8))</f>
        <v>0</v>
      </c>
      <c r="Q342" s="54" t="s">
        <v>149</v>
      </c>
      <c r="R342" s="54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521</v>
      </c>
      <c r="E343" s="15" t="s">
        <v>133</v>
      </c>
      <c r="G343" s="15">
        <f>IF(Table1319230[[#This Row],[dec val]]="",0,1)</f>
        <v>0</v>
      </c>
      <c r="J343" s="24">
        <v>50000</v>
      </c>
      <c r="M343" s="24">
        <v>50000</v>
      </c>
      <c r="O343" s="54" t="s">
        <v>149</v>
      </c>
      <c r="P343" s="54">
        <f>HEX2DEC(RIGHT(Table132321432[[#This Row],[h1]],8))</f>
        <v>0</v>
      </c>
      <c r="Q343" s="54" t="s">
        <v>149</v>
      </c>
      <c r="R343" s="54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522</v>
      </c>
      <c r="E344" s="15" t="s">
        <v>134</v>
      </c>
      <c r="G344" s="15">
        <f>IF(Table1319230[[#This Row],[dec val]]="",0,1)</f>
        <v>0</v>
      </c>
      <c r="J344" s="24">
        <v>50000</v>
      </c>
      <c r="M344" s="24">
        <v>50000</v>
      </c>
      <c r="O344" s="54" t="s">
        <v>149</v>
      </c>
      <c r="P344" s="54">
        <f>HEX2DEC(RIGHT(Table132321432[[#This Row],[h1]],8))</f>
        <v>0</v>
      </c>
      <c r="Q344" s="54" t="s">
        <v>149</v>
      </c>
      <c r="R344" s="54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523</v>
      </c>
      <c r="E345" s="15" t="s">
        <v>135</v>
      </c>
      <c r="G345" s="15">
        <f>IF(Table1319230[[#This Row],[dec val]]="",0,1)</f>
        <v>0</v>
      </c>
      <c r="J345" s="24">
        <v>50000</v>
      </c>
      <c r="M345" s="24">
        <v>50000</v>
      </c>
      <c r="O345" s="54" t="s">
        <v>149</v>
      </c>
      <c r="P345" s="54">
        <f>HEX2DEC(RIGHT(Table132321432[[#This Row],[h1]],8))</f>
        <v>0</v>
      </c>
      <c r="Q345" s="54" t="s">
        <v>149</v>
      </c>
      <c r="R345" s="54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524</v>
      </c>
      <c r="E346" s="15" t="s">
        <v>136</v>
      </c>
      <c r="G346" s="15">
        <f>IF(Table1319230[[#This Row],[dec val]]="",0,1)</f>
        <v>0</v>
      </c>
      <c r="J346" s="24">
        <v>50000</v>
      </c>
      <c r="M346" s="24">
        <v>50000</v>
      </c>
      <c r="O346" s="54" t="s">
        <v>149</v>
      </c>
      <c r="P346" s="54">
        <f>HEX2DEC(RIGHT(Table132321432[[#This Row],[h1]],8))</f>
        <v>0</v>
      </c>
      <c r="Q346" s="54" t="s">
        <v>149</v>
      </c>
      <c r="R346" s="54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4" t="s">
        <v>149</v>
      </c>
      <c r="P347" s="54">
        <f>HEX2DEC(RIGHT(Table132321432[[#This Row],[h1]],8))</f>
        <v>0</v>
      </c>
      <c r="Q347" s="54" t="s">
        <v>149</v>
      </c>
      <c r="R347" s="54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525</v>
      </c>
      <c r="E348" s="15" t="s">
        <v>106</v>
      </c>
      <c r="G348" s="15">
        <f>IF(Table1319230[[#This Row],[dec val]]="",0,1)</f>
        <v>0</v>
      </c>
      <c r="J348" s="24">
        <v>50000</v>
      </c>
      <c r="M348" s="24">
        <v>50000</v>
      </c>
      <c r="O348" s="54" t="s">
        <v>149</v>
      </c>
      <c r="P348" s="54">
        <f>HEX2DEC(RIGHT(Table132321432[[#This Row],[h1]],8))</f>
        <v>0</v>
      </c>
      <c r="Q348" s="54" t="s">
        <v>149</v>
      </c>
      <c r="R348" s="54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526</v>
      </c>
      <c r="E349" s="15" t="s">
        <v>107</v>
      </c>
      <c r="G349" s="15">
        <f>IF(Table1319230[[#This Row],[dec val]]="",0,1)</f>
        <v>0</v>
      </c>
      <c r="J349" s="24">
        <v>50000</v>
      </c>
      <c r="M349" s="24">
        <v>50000</v>
      </c>
      <c r="O349" s="54" t="s">
        <v>149</v>
      </c>
      <c r="P349" s="54">
        <f>HEX2DEC(RIGHT(Table132321432[[#This Row],[h1]],8))</f>
        <v>0</v>
      </c>
      <c r="Q349" s="54" t="s">
        <v>149</v>
      </c>
      <c r="R349" s="54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527</v>
      </c>
      <c r="E350" s="15" t="s">
        <v>108</v>
      </c>
      <c r="G350" s="15">
        <f>IF(Table1319230[[#This Row],[dec val]]="",0,1)</f>
        <v>0</v>
      </c>
      <c r="J350" s="24">
        <v>50000</v>
      </c>
      <c r="M350" s="24">
        <v>50000</v>
      </c>
      <c r="O350" s="54" t="s">
        <v>149</v>
      </c>
      <c r="P350" s="54">
        <f>HEX2DEC(RIGHT(Table132321432[[#This Row],[h1]],8))</f>
        <v>0</v>
      </c>
      <c r="Q350" s="54" t="s">
        <v>149</v>
      </c>
      <c r="R350" s="54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528</v>
      </c>
      <c r="E351" s="15" t="s">
        <v>109</v>
      </c>
      <c r="G351" s="15">
        <f>IF(Table1319230[[#This Row],[dec val]]="",0,1)</f>
        <v>0</v>
      </c>
      <c r="J351" s="24">
        <v>50000</v>
      </c>
      <c r="M351" s="24">
        <v>50000</v>
      </c>
      <c r="O351" s="54" t="s">
        <v>149</v>
      </c>
      <c r="P351" s="54">
        <f>HEX2DEC(RIGHT(Table132321432[[#This Row],[h1]],8))</f>
        <v>0</v>
      </c>
      <c r="Q351" s="54" t="s">
        <v>149</v>
      </c>
      <c r="R351" s="54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529</v>
      </c>
      <c r="E352" s="15" t="s">
        <v>110</v>
      </c>
      <c r="G352" s="15">
        <f>IF(Table1319230[[#This Row],[dec val]]="",0,1)</f>
        <v>0</v>
      </c>
      <c r="J352" s="24">
        <v>50000</v>
      </c>
      <c r="M352" s="24">
        <v>50000</v>
      </c>
      <c r="O352" s="54" t="s">
        <v>149</v>
      </c>
      <c r="P352" s="54">
        <f>HEX2DEC(RIGHT(Table132321432[[#This Row],[h1]],8))</f>
        <v>0</v>
      </c>
      <c r="Q352" s="54" t="s">
        <v>149</v>
      </c>
      <c r="R352" s="54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530</v>
      </c>
      <c r="E353" s="15" t="s">
        <v>111</v>
      </c>
      <c r="G353" s="15">
        <f>IF(Table1319230[[#This Row],[dec val]]="",0,1)</f>
        <v>0</v>
      </c>
      <c r="J353" s="24">
        <v>50000</v>
      </c>
      <c r="M353" s="24">
        <v>50000</v>
      </c>
      <c r="O353" s="54" t="s">
        <v>149</v>
      </c>
      <c r="P353" s="54">
        <f>HEX2DEC(RIGHT(Table132321432[[#This Row],[h1]],8))</f>
        <v>0</v>
      </c>
      <c r="Q353" s="54" t="s">
        <v>149</v>
      </c>
      <c r="R353" s="54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531</v>
      </c>
      <c r="E354" s="15" t="s">
        <v>112</v>
      </c>
      <c r="G354" s="15">
        <f>IF(Table1319230[[#This Row],[dec val]]="",0,1)</f>
        <v>0</v>
      </c>
      <c r="J354" s="24">
        <v>50000</v>
      </c>
      <c r="M354" s="24">
        <v>50000</v>
      </c>
      <c r="O354" s="54" t="s">
        <v>149</v>
      </c>
      <c r="P354" s="54">
        <f>HEX2DEC(RIGHT(Table132321432[[#This Row],[h1]],8))</f>
        <v>0</v>
      </c>
      <c r="Q354" s="54" t="s">
        <v>149</v>
      </c>
      <c r="R354" s="54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532</v>
      </c>
      <c r="E355" s="15" t="s">
        <v>113</v>
      </c>
      <c r="G355" s="15">
        <f>IF(Table1319230[[#This Row],[dec val]]="",0,1)</f>
        <v>0</v>
      </c>
      <c r="J355" s="24">
        <v>50000</v>
      </c>
      <c r="M355" s="24">
        <v>50000</v>
      </c>
      <c r="O355" s="54" t="s">
        <v>149</v>
      </c>
      <c r="P355" s="54">
        <f>HEX2DEC(RIGHT(Table132321432[[#This Row],[h1]],8))</f>
        <v>0</v>
      </c>
      <c r="Q355" s="54" t="s">
        <v>149</v>
      </c>
      <c r="R355" s="54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533</v>
      </c>
      <c r="E356" s="15" t="s">
        <v>114</v>
      </c>
      <c r="G356" s="15">
        <f>IF(Table1319230[[#This Row],[dec val]]="",0,1)</f>
        <v>0</v>
      </c>
      <c r="J356" s="24">
        <v>50000</v>
      </c>
      <c r="M356" s="24">
        <v>50000</v>
      </c>
      <c r="O356" s="54" t="s">
        <v>149</v>
      </c>
      <c r="P356" s="54">
        <f>HEX2DEC(RIGHT(Table132321432[[#This Row],[h1]],8))</f>
        <v>0</v>
      </c>
      <c r="Q356" s="54" t="s">
        <v>149</v>
      </c>
      <c r="R356" s="54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534</v>
      </c>
      <c r="E357" s="15" t="s">
        <v>115</v>
      </c>
      <c r="G357" s="15">
        <f>IF(Table1319230[[#This Row],[dec val]]="",0,1)</f>
        <v>0</v>
      </c>
      <c r="J357" s="24">
        <v>50000</v>
      </c>
      <c r="M357" s="24">
        <v>50000</v>
      </c>
      <c r="O357" s="54" t="s">
        <v>149</v>
      </c>
      <c r="P357" s="54">
        <f>HEX2DEC(RIGHT(Table132321432[[#This Row],[h1]],8))</f>
        <v>0</v>
      </c>
      <c r="Q357" s="54" t="s">
        <v>149</v>
      </c>
      <c r="R357" s="54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535</v>
      </c>
      <c r="E358" s="15" t="s">
        <v>116</v>
      </c>
      <c r="G358" s="15">
        <f>IF(Table1319230[[#This Row],[dec val]]="",0,1)</f>
        <v>0</v>
      </c>
      <c r="J358" s="24">
        <v>50000</v>
      </c>
      <c r="M358" s="24">
        <v>50000</v>
      </c>
      <c r="O358" s="54" t="s">
        <v>149</v>
      </c>
      <c r="P358" s="54">
        <f>HEX2DEC(RIGHT(Table132321432[[#This Row],[h1]],8))</f>
        <v>0</v>
      </c>
      <c r="Q358" s="54" t="s">
        <v>149</v>
      </c>
      <c r="R358" s="54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536</v>
      </c>
      <c r="E359" s="15" t="s">
        <v>117</v>
      </c>
      <c r="G359" s="15">
        <f>IF(Table1319230[[#This Row],[dec val]]="",0,1)</f>
        <v>0</v>
      </c>
      <c r="J359" s="24">
        <v>50000</v>
      </c>
      <c r="M359" s="24">
        <v>50000</v>
      </c>
      <c r="O359" s="54" t="s">
        <v>149</v>
      </c>
      <c r="P359" s="54">
        <f>HEX2DEC(RIGHT(Table132321432[[#This Row],[h1]],8))</f>
        <v>0</v>
      </c>
      <c r="Q359" s="54" t="s">
        <v>149</v>
      </c>
      <c r="R359" s="54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537</v>
      </c>
      <c r="E360" s="15" t="s">
        <v>118</v>
      </c>
      <c r="G360" s="15">
        <f>IF(Table1319230[[#This Row],[dec val]]="",0,1)</f>
        <v>0</v>
      </c>
      <c r="J360" s="24">
        <v>50000</v>
      </c>
      <c r="M360" s="24">
        <v>50000</v>
      </c>
      <c r="O360" s="54" t="s">
        <v>149</v>
      </c>
      <c r="P360" s="54">
        <f>HEX2DEC(RIGHT(Table132321432[[#This Row],[h1]],8))</f>
        <v>0</v>
      </c>
      <c r="Q360" s="54" t="s">
        <v>149</v>
      </c>
      <c r="R360" s="54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538</v>
      </c>
      <c r="E361" s="15" t="s">
        <v>119</v>
      </c>
      <c r="G361" s="15">
        <f>IF(Table1319230[[#This Row],[dec val]]="",0,1)</f>
        <v>0</v>
      </c>
      <c r="J361" s="24">
        <v>50000</v>
      </c>
      <c r="M361" s="24">
        <v>50000</v>
      </c>
      <c r="O361" s="54" t="s">
        <v>149</v>
      </c>
      <c r="P361" s="54">
        <f>HEX2DEC(RIGHT(Table132321432[[#This Row],[h1]],8))</f>
        <v>0</v>
      </c>
      <c r="Q361" s="54" t="s">
        <v>149</v>
      </c>
      <c r="R361" s="54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539</v>
      </c>
      <c r="E362" s="15" t="s">
        <v>120</v>
      </c>
      <c r="G362" s="15">
        <f>IF(Table1319230[[#This Row],[dec val]]="",0,1)</f>
        <v>0</v>
      </c>
      <c r="J362" s="24">
        <v>50000</v>
      </c>
      <c r="M362" s="24">
        <v>50000</v>
      </c>
      <c r="O362" s="54" t="s">
        <v>149</v>
      </c>
      <c r="P362" s="54">
        <f>HEX2DEC(RIGHT(Table132321432[[#This Row],[h1]],8))</f>
        <v>0</v>
      </c>
      <c r="Q362" s="54" t="s">
        <v>149</v>
      </c>
      <c r="R362" s="54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540</v>
      </c>
      <c r="E363" s="15" t="s">
        <v>121</v>
      </c>
      <c r="G363" s="15">
        <f>IF(Table1319230[[#This Row],[dec val]]="",0,1)</f>
        <v>0</v>
      </c>
      <c r="J363" s="24">
        <v>50000</v>
      </c>
      <c r="M363" s="24">
        <v>50000</v>
      </c>
      <c r="O363" s="54" t="s">
        <v>149</v>
      </c>
      <c r="P363" s="54">
        <f>HEX2DEC(RIGHT(Table132321432[[#This Row],[h1]],8))</f>
        <v>0</v>
      </c>
      <c r="Q363" s="54" t="s">
        <v>149</v>
      </c>
      <c r="R363" s="54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541</v>
      </c>
      <c r="E364" s="15" t="s">
        <v>122</v>
      </c>
      <c r="G364" s="15">
        <f>IF(Table1319230[[#This Row],[dec val]]="",0,1)</f>
        <v>0</v>
      </c>
      <c r="J364" s="24">
        <v>50000</v>
      </c>
      <c r="M364" s="24">
        <v>50000</v>
      </c>
      <c r="O364" s="54" t="s">
        <v>149</v>
      </c>
      <c r="P364" s="54">
        <f>HEX2DEC(RIGHT(Table132321432[[#This Row],[h1]],8))</f>
        <v>0</v>
      </c>
      <c r="Q364" s="54" t="s">
        <v>149</v>
      </c>
      <c r="R364" s="54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542</v>
      </c>
      <c r="E365" s="15" t="s">
        <v>123</v>
      </c>
      <c r="G365" s="15">
        <f>IF(Table1319230[[#This Row],[dec val]]="",0,1)</f>
        <v>0</v>
      </c>
      <c r="J365" s="24">
        <v>50000</v>
      </c>
      <c r="M365" s="24">
        <v>50000</v>
      </c>
      <c r="O365" s="54" t="s">
        <v>149</v>
      </c>
      <c r="P365" s="54">
        <f>HEX2DEC(RIGHT(Table132321432[[#This Row],[h1]],8))</f>
        <v>0</v>
      </c>
      <c r="Q365" s="54" t="s">
        <v>149</v>
      </c>
      <c r="R365" s="54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543</v>
      </c>
      <c r="E366" s="15" t="s">
        <v>124</v>
      </c>
      <c r="G366" s="15">
        <f>IF(Table1319230[[#This Row],[dec val]]="",0,1)</f>
        <v>0</v>
      </c>
      <c r="J366" s="24">
        <v>50000</v>
      </c>
      <c r="M366" s="24">
        <v>50000</v>
      </c>
      <c r="O366" s="54" t="s">
        <v>149</v>
      </c>
      <c r="P366" s="54">
        <f>HEX2DEC(RIGHT(Table132321432[[#This Row],[h1]],8))</f>
        <v>0</v>
      </c>
      <c r="Q366" s="54" t="s">
        <v>149</v>
      </c>
      <c r="R366" s="54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544</v>
      </c>
      <c r="E367" s="15" t="s">
        <v>125</v>
      </c>
      <c r="G367" s="15">
        <f>IF(Table1319230[[#This Row],[dec val]]="",0,1)</f>
        <v>0</v>
      </c>
      <c r="J367" s="24">
        <v>50000</v>
      </c>
      <c r="M367" s="24">
        <v>50000</v>
      </c>
      <c r="O367" s="54" t="s">
        <v>149</v>
      </c>
      <c r="P367" s="54">
        <f>HEX2DEC(RIGHT(Table132321432[[#This Row],[h1]],8))</f>
        <v>0</v>
      </c>
      <c r="Q367" s="54" t="s">
        <v>149</v>
      </c>
      <c r="R367" s="54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545</v>
      </c>
      <c r="E368" s="15" t="s">
        <v>126</v>
      </c>
      <c r="G368" s="15">
        <f>IF(Table1319230[[#This Row],[dec val]]="",0,1)</f>
        <v>0</v>
      </c>
      <c r="J368" s="24">
        <v>50000</v>
      </c>
      <c r="M368" s="24">
        <v>50000</v>
      </c>
      <c r="O368" s="54" t="s">
        <v>149</v>
      </c>
      <c r="P368" s="54">
        <f>HEX2DEC(RIGHT(Table132321432[[#This Row],[h1]],8))</f>
        <v>0</v>
      </c>
      <c r="Q368" s="54" t="s">
        <v>149</v>
      </c>
      <c r="R368" s="54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546</v>
      </c>
      <c r="E369" s="15" t="s">
        <v>127</v>
      </c>
      <c r="G369" s="15">
        <f>IF(Table1319230[[#This Row],[dec val]]="",0,1)</f>
        <v>0</v>
      </c>
      <c r="J369" s="24">
        <v>50000</v>
      </c>
      <c r="M369" s="24">
        <v>50000</v>
      </c>
      <c r="O369" s="54" t="s">
        <v>149</v>
      </c>
      <c r="P369" s="54">
        <f>HEX2DEC(RIGHT(Table132321432[[#This Row],[h1]],8))</f>
        <v>0</v>
      </c>
      <c r="Q369" s="54" t="s">
        <v>149</v>
      </c>
      <c r="R369" s="54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547</v>
      </c>
      <c r="E370" s="15" t="s">
        <v>128</v>
      </c>
      <c r="G370" s="15">
        <f>IF(Table1319230[[#This Row],[dec val]]="",0,1)</f>
        <v>0</v>
      </c>
      <c r="J370" s="24">
        <v>50000</v>
      </c>
      <c r="M370" s="24">
        <v>50000</v>
      </c>
      <c r="O370" s="54" t="s">
        <v>149</v>
      </c>
      <c r="P370" s="54">
        <f>HEX2DEC(RIGHT(Table132321432[[#This Row],[h1]],8))</f>
        <v>0</v>
      </c>
      <c r="Q370" s="54" t="s">
        <v>149</v>
      </c>
      <c r="R370" s="54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548</v>
      </c>
      <c r="E371" s="15" t="s">
        <v>129</v>
      </c>
      <c r="G371" s="15">
        <f>IF(Table1319230[[#This Row],[dec val]]="",0,1)</f>
        <v>0</v>
      </c>
      <c r="J371" s="24">
        <v>50000</v>
      </c>
      <c r="M371" s="24">
        <v>50000</v>
      </c>
      <c r="O371" s="54" t="s">
        <v>149</v>
      </c>
      <c r="P371" s="54">
        <f>HEX2DEC(RIGHT(Table132321432[[#This Row],[h1]],8))</f>
        <v>0</v>
      </c>
      <c r="Q371" s="54" t="s">
        <v>149</v>
      </c>
      <c r="R371" s="54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549</v>
      </c>
      <c r="E372" s="15" t="s">
        <v>130</v>
      </c>
      <c r="G372" s="15">
        <f>IF(Table1319230[[#This Row],[dec val]]="",0,1)</f>
        <v>0</v>
      </c>
      <c r="J372" s="24">
        <v>50000</v>
      </c>
      <c r="M372" s="24">
        <v>50000</v>
      </c>
      <c r="O372" s="54" t="s">
        <v>149</v>
      </c>
      <c r="P372" s="54">
        <f>HEX2DEC(RIGHT(Table132321432[[#This Row],[h1]],8))</f>
        <v>0</v>
      </c>
      <c r="Q372" s="54" t="s">
        <v>149</v>
      </c>
      <c r="R372" s="54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550</v>
      </c>
      <c r="E373" s="15" t="s">
        <v>131</v>
      </c>
      <c r="G373" s="15">
        <f>IF(Table1319230[[#This Row],[dec val]]="",0,1)</f>
        <v>0</v>
      </c>
      <c r="J373" s="24">
        <v>50000</v>
      </c>
      <c r="M373" s="24">
        <v>50000</v>
      </c>
      <c r="O373" s="54" t="s">
        <v>149</v>
      </c>
      <c r="P373" s="54">
        <f>HEX2DEC(RIGHT(Table132321432[[#This Row],[h1]],8))</f>
        <v>0</v>
      </c>
      <c r="Q373" s="54" t="s">
        <v>149</v>
      </c>
      <c r="R373" s="54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551</v>
      </c>
      <c r="E374" s="15" t="s">
        <v>132</v>
      </c>
      <c r="G374" s="15">
        <f>IF(Table1319230[[#This Row],[dec val]]="",0,1)</f>
        <v>0</v>
      </c>
      <c r="J374" s="24">
        <v>50000</v>
      </c>
      <c r="M374" s="24">
        <v>50000</v>
      </c>
      <c r="O374" s="54" t="s">
        <v>149</v>
      </c>
      <c r="P374" s="54">
        <f>HEX2DEC(RIGHT(Table132321432[[#This Row],[h1]],8))</f>
        <v>0</v>
      </c>
      <c r="Q374" s="54" t="s">
        <v>149</v>
      </c>
      <c r="R374" s="54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552</v>
      </c>
      <c r="E375" s="15" t="s">
        <v>133</v>
      </c>
      <c r="G375" s="15">
        <f>IF(Table1319230[[#This Row],[dec val]]="",0,1)</f>
        <v>0</v>
      </c>
      <c r="J375" s="24">
        <v>50000</v>
      </c>
      <c r="M375" s="24">
        <v>50000</v>
      </c>
      <c r="O375" s="54" t="s">
        <v>149</v>
      </c>
      <c r="P375" s="54">
        <f>HEX2DEC(RIGHT(Table132321432[[#This Row],[h1]],8))</f>
        <v>0</v>
      </c>
      <c r="Q375" s="54" t="s">
        <v>149</v>
      </c>
      <c r="R375" s="54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553</v>
      </c>
      <c r="E376" s="15" t="s">
        <v>134</v>
      </c>
      <c r="G376" s="15">
        <f>IF(Table1319230[[#This Row],[dec val]]="",0,1)</f>
        <v>0</v>
      </c>
      <c r="J376" s="24">
        <v>50000</v>
      </c>
      <c r="M376" s="24">
        <v>50000</v>
      </c>
      <c r="O376" s="54" t="s">
        <v>149</v>
      </c>
      <c r="P376" s="54">
        <f>HEX2DEC(RIGHT(Table132321432[[#This Row],[h1]],8))</f>
        <v>0</v>
      </c>
      <c r="Q376" s="54" t="s">
        <v>149</v>
      </c>
      <c r="R376" s="54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554</v>
      </c>
      <c r="E377" s="15" t="s">
        <v>135</v>
      </c>
      <c r="G377" s="15">
        <f>IF(Table1319230[[#This Row],[dec val]]="",0,1)</f>
        <v>0</v>
      </c>
      <c r="J377" s="24">
        <v>50000</v>
      </c>
      <c r="M377" s="24">
        <v>50000</v>
      </c>
      <c r="O377" s="54" t="s">
        <v>149</v>
      </c>
      <c r="P377" s="54">
        <f>HEX2DEC(RIGHT(Table132321432[[#This Row],[h1]],8))</f>
        <v>0</v>
      </c>
      <c r="Q377" s="54" t="s">
        <v>149</v>
      </c>
      <c r="R377" s="54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555</v>
      </c>
      <c r="E378" s="15" t="s">
        <v>136</v>
      </c>
      <c r="G378" s="15">
        <f>IF(Table1319230[[#This Row],[dec val]]="",0,1)</f>
        <v>0</v>
      </c>
      <c r="J378" s="24">
        <v>50000</v>
      </c>
      <c r="M378" s="24">
        <v>50000</v>
      </c>
      <c r="O378" s="54" t="s">
        <v>149</v>
      </c>
      <c r="P378" s="54">
        <f>HEX2DEC(RIGHT(Table132321432[[#This Row],[h1]],8))</f>
        <v>0</v>
      </c>
      <c r="Q378" s="54" t="s">
        <v>149</v>
      </c>
      <c r="R378" s="54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4" t="s">
        <v>149</v>
      </c>
      <c r="P379" s="54">
        <f>HEX2DEC(RIGHT(Table132321432[[#This Row],[h1]],8))</f>
        <v>0</v>
      </c>
      <c r="Q379" s="54" t="s">
        <v>149</v>
      </c>
      <c r="R379" s="54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556</v>
      </c>
      <c r="G380" s="15">
        <v>0</v>
      </c>
      <c r="J380" s="24">
        <v>50000</v>
      </c>
      <c r="M380" s="24">
        <v>50000</v>
      </c>
      <c r="O380" s="54" t="s">
        <v>149</v>
      </c>
      <c r="P380" s="54">
        <f>HEX2DEC(RIGHT(Table132321432[[#This Row],[h1]],8))</f>
        <v>0</v>
      </c>
      <c r="Q380" s="54" t="s">
        <v>149</v>
      </c>
      <c r="R380" s="54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557</v>
      </c>
      <c r="G381" s="15">
        <v>0</v>
      </c>
      <c r="J381" s="24">
        <v>50000</v>
      </c>
      <c r="M381" s="24">
        <v>50000</v>
      </c>
      <c r="O381" s="54" t="s">
        <v>149</v>
      </c>
      <c r="P381" s="54">
        <f>HEX2DEC(RIGHT(Table132321432[[#This Row],[h1]],8))</f>
        <v>0</v>
      </c>
      <c r="Q381" s="54" t="s">
        <v>149</v>
      </c>
      <c r="R381" s="54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558</v>
      </c>
      <c r="G382" s="15">
        <v>0</v>
      </c>
      <c r="J382" s="24">
        <v>50000</v>
      </c>
      <c r="M382" s="24">
        <v>50000</v>
      </c>
      <c r="O382" s="54" t="s">
        <v>149</v>
      </c>
      <c r="P382" s="54">
        <f>HEX2DEC(RIGHT(Table132321432[[#This Row],[h1]],8))</f>
        <v>0</v>
      </c>
      <c r="Q382" s="54" t="s">
        <v>149</v>
      </c>
      <c r="R382" s="54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559</v>
      </c>
      <c r="G383" s="15">
        <v>0</v>
      </c>
      <c r="J383" s="24">
        <v>50000</v>
      </c>
      <c r="M383" s="24">
        <v>50000</v>
      </c>
      <c r="O383" s="54" t="s">
        <v>149</v>
      </c>
      <c r="P383" s="54">
        <f>HEX2DEC(RIGHT(Table132321432[[#This Row],[h1]],8))</f>
        <v>0</v>
      </c>
      <c r="Q383" s="54" t="s">
        <v>149</v>
      </c>
      <c r="R383" s="54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560</v>
      </c>
      <c r="G384" s="15">
        <v>0</v>
      </c>
      <c r="J384" s="24">
        <v>50000</v>
      </c>
      <c r="M384" s="24">
        <v>50000</v>
      </c>
      <c r="O384" s="54" t="s">
        <v>149</v>
      </c>
      <c r="P384" s="54">
        <f>HEX2DEC(RIGHT(Table132321432[[#This Row],[h1]],8))</f>
        <v>0</v>
      </c>
      <c r="Q384" s="54" t="s">
        <v>149</v>
      </c>
      <c r="R384" s="54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561</v>
      </c>
      <c r="G385" s="15">
        <v>0</v>
      </c>
      <c r="J385" s="24">
        <v>50000</v>
      </c>
      <c r="M385" s="24">
        <v>50000</v>
      </c>
      <c r="O385" s="54" t="s">
        <v>149</v>
      </c>
      <c r="P385" s="54">
        <f>HEX2DEC(RIGHT(Table132321432[[#This Row],[h1]],8))</f>
        <v>0</v>
      </c>
      <c r="Q385" s="54" t="s">
        <v>149</v>
      </c>
      <c r="R385" s="54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562</v>
      </c>
      <c r="G386" s="15">
        <v>0</v>
      </c>
      <c r="J386" s="24">
        <v>50000</v>
      </c>
      <c r="M386" s="24">
        <v>50000</v>
      </c>
      <c r="O386" s="54" t="s">
        <v>149</v>
      </c>
      <c r="P386" s="54">
        <f>HEX2DEC(RIGHT(Table132321432[[#This Row],[h1]],8))</f>
        <v>0</v>
      </c>
      <c r="Q386" s="54" t="s">
        <v>149</v>
      </c>
      <c r="R386" s="54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4" t="s">
        <v>149</v>
      </c>
      <c r="P387" s="54">
        <f>HEX2DEC(RIGHT(Table132321432[[#This Row],[h1]],8))</f>
        <v>0</v>
      </c>
      <c r="Q387" s="54" t="s">
        <v>149</v>
      </c>
      <c r="R387" s="54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165</v>
      </c>
      <c r="G388" s="33" t="s">
        <v>208</v>
      </c>
      <c r="J388" s="24">
        <v>50000</v>
      </c>
      <c r="M388" s="24">
        <v>50000</v>
      </c>
      <c r="O388" s="54" t="s">
        <v>149</v>
      </c>
      <c r="P388" s="54">
        <f>HEX2DEC(RIGHT(Table132321432[[#This Row],[h1]],8))</f>
        <v>0</v>
      </c>
      <c r="Q388" s="54" t="s">
        <v>149</v>
      </c>
      <c r="R388" s="54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166</v>
      </c>
      <c r="G389" s="33" t="s">
        <v>208</v>
      </c>
      <c r="J389" s="24">
        <v>50000</v>
      </c>
      <c r="M389" s="24">
        <v>50000</v>
      </c>
      <c r="O389" s="54" t="s">
        <v>149</v>
      </c>
      <c r="P389" s="54">
        <f>HEX2DEC(RIGHT(Table132321432[[#This Row],[h1]],8))</f>
        <v>0</v>
      </c>
      <c r="Q389" s="54" t="s">
        <v>149</v>
      </c>
      <c r="R389" s="54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167</v>
      </c>
      <c r="G390" s="33" t="s">
        <v>208</v>
      </c>
      <c r="J390" s="24">
        <v>50000</v>
      </c>
      <c r="M390" s="24">
        <v>50000</v>
      </c>
      <c r="O390" s="54" t="s">
        <v>149</v>
      </c>
      <c r="P390" s="54">
        <f>HEX2DEC(RIGHT(Table132321432[[#This Row],[h1]],8))</f>
        <v>0</v>
      </c>
      <c r="Q390" s="54" t="s">
        <v>149</v>
      </c>
      <c r="R390" s="54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168</v>
      </c>
      <c r="G391" s="33" t="s">
        <v>208</v>
      </c>
      <c r="J391" s="24">
        <v>50000</v>
      </c>
      <c r="M391" s="24">
        <v>50000</v>
      </c>
      <c r="O391" s="54" t="s">
        <v>149</v>
      </c>
      <c r="P391" s="54">
        <f>HEX2DEC(RIGHT(Table132321432[[#This Row],[h1]],8))</f>
        <v>0</v>
      </c>
      <c r="Q391" s="54" t="s">
        <v>149</v>
      </c>
      <c r="R391" s="54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169</v>
      </c>
      <c r="G392" s="33" t="s">
        <v>208</v>
      </c>
      <c r="J392" s="24">
        <v>50000</v>
      </c>
      <c r="M392" s="24">
        <v>50000</v>
      </c>
      <c r="O392" s="54" t="s">
        <v>149</v>
      </c>
      <c r="P392" s="54">
        <f>HEX2DEC(RIGHT(Table132321432[[#This Row],[h1]],8))</f>
        <v>0</v>
      </c>
      <c r="Q392" s="54" t="s">
        <v>149</v>
      </c>
      <c r="R392" s="54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170</v>
      </c>
      <c r="G393" s="33" t="s">
        <v>208</v>
      </c>
      <c r="J393" s="24">
        <v>50000</v>
      </c>
      <c r="M393" s="24">
        <v>50000</v>
      </c>
      <c r="O393" s="54" t="s">
        <v>149</v>
      </c>
      <c r="P393" s="54">
        <f>HEX2DEC(RIGHT(Table132321432[[#This Row],[h1]],8))</f>
        <v>0</v>
      </c>
      <c r="Q393" s="54" t="s">
        <v>149</v>
      </c>
      <c r="R393" s="54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171</v>
      </c>
      <c r="G394" s="33" t="s">
        <v>208</v>
      </c>
      <c r="J394" s="24">
        <v>50000</v>
      </c>
      <c r="M394" s="24">
        <v>50000</v>
      </c>
      <c r="O394" s="54" t="s">
        <v>149</v>
      </c>
      <c r="P394" s="54">
        <f>HEX2DEC(RIGHT(Table132321432[[#This Row],[h1]],8))</f>
        <v>0</v>
      </c>
      <c r="Q394" s="54" t="s">
        <v>149</v>
      </c>
      <c r="R394" s="54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172</v>
      </c>
      <c r="G395" s="33" t="s">
        <v>204</v>
      </c>
      <c r="J395" s="24">
        <v>50000</v>
      </c>
      <c r="M395" s="24">
        <v>50000</v>
      </c>
      <c r="O395" s="54" t="s">
        <v>149</v>
      </c>
      <c r="P395" s="54">
        <f>HEX2DEC(RIGHT(Table132321432[[#This Row],[h1]],8))</f>
        <v>0</v>
      </c>
      <c r="Q395" s="54" t="s">
        <v>149</v>
      </c>
      <c r="R395" s="54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173</v>
      </c>
      <c r="G396" s="33" t="s">
        <v>204</v>
      </c>
      <c r="J396" s="24">
        <v>50000</v>
      </c>
      <c r="M396" s="24">
        <v>50000</v>
      </c>
      <c r="O396" s="54" t="s">
        <v>149</v>
      </c>
      <c r="P396" s="54">
        <f>HEX2DEC(RIGHT(Table132321432[[#This Row],[h1]],8))</f>
        <v>0</v>
      </c>
      <c r="Q396" s="54" t="s">
        <v>149</v>
      </c>
      <c r="R396" s="54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174</v>
      </c>
      <c r="G397" s="33" t="s">
        <v>204</v>
      </c>
      <c r="J397" s="24">
        <v>50000</v>
      </c>
      <c r="M397" s="24">
        <v>50000</v>
      </c>
      <c r="O397" s="54" t="s">
        <v>149</v>
      </c>
      <c r="P397" s="54">
        <f>HEX2DEC(RIGHT(Table132321432[[#This Row],[h1]],8))</f>
        <v>0</v>
      </c>
      <c r="Q397" s="54" t="s">
        <v>149</v>
      </c>
      <c r="R397" s="54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175</v>
      </c>
      <c r="G398" s="33" t="s">
        <v>204</v>
      </c>
      <c r="J398" s="24">
        <v>50000</v>
      </c>
      <c r="M398" s="24">
        <v>50000</v>
      </c>
      <c r="O398" s="54" t="s">
        <v>149</v>
      </c>
      <c r="P398" s="54">
        <f>HEX2DEC(RIGHT(Table132321432[[#This Row],[h1]],8))</f>
        <v>0</v>
      </c>
      <c r="Q398" s="54" t="s">
        <v>149</v>
      </c>
      <c r="R398" s="54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176</v>
      </c>
      <c r="G399" s="33" t="s">
        <v>204</v>
      </c>
      <c r="J399" s="24">
        <v>50000</v>
      </c>
      <c r="M399" s="24">
        <v>50000</v>
      </c>
      <c r="O399" s="54" t="s">
        <v>149</v>
      </c>
      <c r="P399" s="54">
        <f>HEX2DEC(RIGHT(Table132321432[[#This Row],[h1]],8))</f>
        <v>0</v>
      </c>
      <c r="Q399" s="54" t="s">
        <v>149</v>
      </c>
      <c r="R399" s="54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177</v>
      </c>
      <c r="G400" s="33" t="s">
        <v>204</v>
      </c>
      <c r="J400" s="24">
        <v>50000</v>
      </c>
      <c r="M400" s="24">
        <v>50000</v>
      </c>
      <c r="O400" s="54" t="s">
        <v>149</v>
      </c>
      <c r="P400" s="54">
        <f>HEX2DEC(RIGHT(Table132321432[[#This Row],[h1]],8))</f>
        <v>0</v>
      </c>
      <c r="Q400" s="54" t="s">
        <v>149</v>
      </c>
      <c r="R400" s="54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178</v>
      </c>
      <c r="G401" s="33" t="s">
        <v>204</v>
      </c>
      <c r="J401" s="24">
        <v>50000</v>
      </c>
      <c r="M401" s="24">
        <v>50000</v>
      </c>
      <c r="O401" s="54" t="s">
        <v>149</v>
      </c>
      <c r="P401" s="54">
        <f>HEX2DEC(RIGHT(Table132321432[[#This Row],[h1]],8))</f>
        <v>0</v>
      </c>
      <c r="Q401" s="54" t="s">
        <v>149</v>
      </c>
      <c r="R401" s="54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179</v>
      </c>
      <c r="G402" s="33" t="s">
        <v>204</v>
      </c>
      <c r="J402" s="24">
        <v>50000</v>
      </c>
      <c r="M402" s="24">
        <v>50000</v>
      </c>
      <c r="O402" s="54" t="s">
        <v>149</v>
      </c>
      <c r="P402" s="54">
        <f>HEX2DEC(RIGHT(Table132321432[[#This Row],[h1]],8))</f>
        <v>0</v>
      </c>
      <c r="Q402" s="54" t="s">
        <v>149</v>
      </c>
      <c r="R402" s="54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180</v>
      </c>
      <c r="G403" s="33" t="s">
        <v>204</v>
      </c>
      <c r="J403" s="24">
        <v>50000</v>
      </c>
      <c r="M403" s="24">
        <v>50000</v>
      </c>
      <c r="O403" s="54" t="s">
        <v>149</v>
      </c>
      <c r="P403" s="54">
        <f>HEX2DEC(RIGHT(Table132321432[[#This Row],[h1]],8))</f>
        <v>0</v>
      </c>
      <c r="Q403" s="54" t="s">
        <v>149</v>
      </c>
      <c r="R403" s="54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181</v>
      </c>
      <c r="G404" s="33" t="s">
        <v>204</v>
      </c>
      <c r="J404" s="24">
        <v>50000</v>
      </c>
      <c r="M404" s="24">
        <v>50000</v>
      </c>
      <c r="O404" s="54" t="s">
        <v>149</v>
      </c>
      <c r="P404" s="54">
        <f>HEX2DEC(RIGHT(Table132321432[[#This Row],[h1]],8))</f>
        <v>0</v>
      </c>
      <c r="Q404" s="54" t="s">
        <v>149</v>
      </c>
      <c r="R404" s="54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182</v>
      </c>
      <c r="G405" s="33" t="s">
        <v>204</v>
      </c>
      <c r="J405" s="24">
        <v>50000</v>
      </c>
      <c r="M405" s="24">
        <v>50000</v>
      </c>
      <c r="O405" s="54" t="s">
        <v>149</v>
      </c>
      <c r="P405" s="54">
        <f>HEX2DEC(RIGHT(Table132321432[[#This Row],[h1]],8))</f>
        <v>0</v>
      </c>
      <c r="Q405" s="54" t="s">
        <v>149</v>
      </c>
      <c r="R405" s="54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183</v>
      </c>
      <c r="G406" s="33" t="s">
        <v>204</v>
      </c>
      <c r="J406" s="24">
        <v>50000</v>
      </c>
      <c r="M406" s="24">
        <v>50000</v>
      </c>
      <c r="O406" s="54" t="s">
        <v>149</v>
      </c>
      <c r="P406" s="54">
        <f>HEX2DEC(RIGHT(Table132321432[[#This Row],[h1]],8))</f>
        <v>0</v>
      </c>
      <c r="Q406" s="54" t="s">
        <v>149</v>
      </c>
      <c r="R406" s="54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184</v>
      </c>
      <c r="G407" s="33" t="s">
        <v>204</v>
      </c>
      <c r="J407" s="24">
        <v>50000</v>
      </c>
      <c r="M407" s="24">
        <v>50000</v>
      </c>
      <c r="O407" s="54" t="s">
        <v>149</v>
      </c>
      <c r="P407" s="54">
        <f>HEX2DEC(RIGHT(Table132321432[[#This Row],[h1]],8))</f>
        <v>0</v>
      </c>
      <c r="Q407" s="54" t="s">
        <v>149</v>
      </c>
      <c r="R407" s="54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185</v>
      </c>
      <c r="G408" s="33" t="s">
        <v>204</v>
      </c>
      <c r="J408" s="24">
        <v>50000</v>
      </c>
      <c r="M408" s="24">
        <v>50000</v>
      </c>
      <c r="O408" s="54" t="s">
        <v>149</v>
      </c>
      <c r="P408" s="54">
        <f>HEX2DEC(RIGHT(Table132321432[[#This Row],[h1]],8))</f>
        <v>0</v>
      </c>
      <c r="Q408" s="54" t="s">
        <v>149</v>
      </c>
      <c r="R408" s="54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186</v>
      </c>
      <c r="G409" s="33" t="s">
        <v>204</v>
      </c>
      <c r="J409" s="24">
        <v>50000</v>
      </c>
      <c r="M409" s="24">
        <v>50000</v>
      </c>
      <c r="O409" s="54" t="s">
        <v>149</v>
      </c>
      <c r="P409" s="54">
        <f>HEX2DEC(RIGHT(Table132321432[[#This Row],[h1]],8))</f>
        <v>0</v>
      </c>
      <c r="Q409" s="54" t="s">
        <v>149</v>
      </c>
      <c r="R409" s="54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187</v>
      </c>
      <c r="G410" s="33" t="s">
        <v>204</v>
      </c>
      <c r="J410" s="24">
        <v>50000</v>
      </c>
      <c r="M410" s="24">
        <v>50000</v>
      </c>
      <c r="O410" s="54" t="s">
        <v>149</v>
      </c>
      <c r="P410" s="54">
        <f>HEX2DEC(RIGHT(Table132321432[[#This Row],[h1]],8))</f>
        <v>0</v>
      </c>
      <c r="Q410" s="54" t="s">
        <v>149</v>
      </c>
      <c r="R410" s="54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188</v>
      </c>
      <c r="G411" s="33" t="s">
        <v>204</v>
      </c>
      <c r="J411" s="24">
        <v>50000</v>
      </c>
      <c r="M411" s="24">
        <v>50000</v>
      </c>
      <c r="O411" s="54" t="s">
        <v>149</v>
      </c>
      <c r="P411" s="54">
        <f>HEX2DEC(RIGHT(Table132321432[[#This Row],[h1]],8))</f>
        <v>0</v>
      </c>
      <c r="Q411" s="54" t="s">
        <v>149</v>
      </c>
      <c r="R411" s="54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189</v>
      </c>
      <c r="G412" s="33" t="s">
        <v>204</v>
      </c>
      <c r="J412" s="24">
        <v>50000</v>
      </c>
      <c r="M412" s="24">
        <v>50000</v>
      </c>
      <c r="O412" s="54" t="s">
        <v>149</v>
      </c>
      <c r="P412" s="54">
        <f>HEX2DEC(RIGHT(Table132321432[[#This Row],[h1]],8))</f>
        <v>0</v>
      </c>
      <c r="Q412" s="54" t="s">
        <v>149</v>
      </c>
      <c r="R412" s="54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190</v>
      </c>
      <c r="G413" s="33" t="s">
        <v>204</v>
      </c>
      <c r="J413" s="24">
        <v>50000</v>
      </c>
      <c r="M413" s="24">
        <v>50000</v>
      </c>
      <c r="O413" s="54" t="s">
        <v>149</v>
      </c>
      <c r="P413" s="54">
        <f>HEX2DEC(RIGHT(Table132321432[[#This Row],[h1]],8))</f>
        <v>0</v>
      </c>
      <c r="Q413" s="54" t="s">
        <v>149</v>
      </c>
      <c r="R413" s="54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191</v>
      </c>
      <c r="G414" s="33" t="s">
        <v>204</v>
      </c>
      <c r="J414" s="24">
        <v>50000</v>
      </c>
      <c r="M414" s="24">
        <v>50000</v>
      </c>
      <c r="O414" s="54" t="s">
        <v>149</v>
      </c>
      <c r="P414" s="54">
        <f>HEX2DEC(RIGHT(Table132321432[[#This Row],[h1]],8))</f>
        <v>0</v>
      </c>
      <c r="Q414" s="54" t="s">
        <v>149</v>
      </c>
      <c r="R414" s="54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192</v>
      </c>
      <c r="G415" s="33" t="s">
        <v>204</v>
      </c>
      <c r="J415" s="24">
        <v>50000</v>
      </c>
      <c r="M415" s="24">
        <v>50000</v>
      </c>
      <c r="O415" s="54" t="s">
        <v>149</v>
      </c>
      <c r="P415" s="54">
        <f>HEX2DEC(RIGHT(Table132321432[[#This Row],[h1]],8))</f>
        <v>0</v>
      </c>
      <c r="Q415" s="54" t="s">
        <v>149</v>
      </c>
      <c r="R415" s="54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193</v>
      </c>
      <c r="G416" s="33" t="s">
        <v>204</v>
      </c>
      <c r="J416" s="24">
        <v>50000</v>
      </c>
      <c r="M416" s="24">
        <v>50000</v>
      </c>
      <c r="O416" s="54" t="s">
        <v>149</v>
      </c>
      <c r="P416" s="54">
        <f>HEX2DEC(RIGHT(Table132321432[[#This Row],[h1]],8))</f>
        <v>0</v>
      </c>
      <c r="Q416" s="54" t="s">
        <v>149</v>
      </c>
      <c r="R416" s="54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194</v>
      </c>
      <c r="G417" s="33" t="s">
        <v>204</v>
      </c>
      <c r="J417" s="24">
        <v>50000</v>
      </c>
      <c r="M417" s="24">
        <v>50000</v>
      </c>
      <c r="O417" s="54" t="s">
        <v>149</v>
      </c>
      <c r="P417" s="54">
        <f>HEX2DEC(RIGHT(Table132321432[[#This Row],[h1]],8))</f>
        <v>0</v>
      </c>
      <c r="Q417" s="54" t="s">
        <v>149</v>
      </c>
      <c r="R417" s="54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195</v>
      </c>
      <c r="G418" s="33" t="s">
        <v>204</v>
      </c>
      <c r="J418" s="24">
        <v>50000</v>
      </c>
      <c r="M418" s="24">
        <v>50000</v>
      </c>
      <c r="O418" s="54" t="s">
        <v>149</v>
      </c>
      <c r="P418" s="54">
        <f>HEX2DEC(RIGHT(Table132321432[[#This Row],[h1]],8))</f>
        <v>0</v>
      </c>
      <c r="Q418" s="54" t="s">
        <v>149</v>
      </c>
      <c r="R418" s="54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196</v>
      </c>
      <c r="G419" s="33" t="s">
        <v>204</v>
      </c>
      <c r="J419" s="24">
        <v>50000</v>
      </c>
      <c r="M419" s="24">
        <v>50000</v>
      </c>
      <c r="O419" s="54" t="s">
        <v>149</v>
      </c>
      <c r="P419" s="54">
        <f>HEX2DEC(RIGHT(Table132321432[[#This Row],[h1]],8))</f>
        <v>0</v>
      </c>
      <c r="Q419" s="54" t="s">
        <v>149</v>
      </c>
      <c r="R419" s="54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197</v>
      </c>
      <c r="G420" s="33" t="s">
        <v>204</v>
      </c>
      <c r="J420" s="24">
        <v>50000</v>
      </c>
      <c r="M420" s="24">
        <v>50000</v>
      </c>
      <c r="O420" s="54" t="s">
        <v>149</v>
      </c>
      <c r="P420" s="54">
        <f>HEX2DEC(RIGHT(Table132321432[[#This Row],[h1]],8))</f>
        <v>0</v>
      </c>
      <c r="Q420" s="54" t="s">
        <v>149</v>
      </c>
      <c r="R420" s="54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198</v>
      </c>
      <c r="G421" s="33" t="s">
        <v>204</v>
      </c>
      <c r="J421" s="24">
        <v>50000</v>
      </c>
      <c r="M421" s="24">
        <v>50000</v>
      </c>
      <c r="O421" s="54" t="s">
        <v>149</v>
      </c>
      <c r="P421" s="54">
        <f>HEX2DEC(RIGHT(Table132321432[[#This Row],[h1]],8))</f>
        <v>0</v>
      </c>
      <c r="Q421" s="54" t="s">
        <v>149</v>
      </c>
      <c r="R421" s="54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199</v>
      </c>
      <c r="G422" s="33" t="s">
        <v>204</v>
      </c>
      <c r="J422" s="24">
        <v>50000</v>
      </c>
      <c r="M422" s="24">
        <v>50000</v>
      </c>
      <c r="O422" s="54" t="s">
        <v>149</v>
      </c>
      <c r="P422" s="54">
        <f>HEX2DEC(RIGHT(Table132321432[[#This Row],[h1]],8))</f>
        <v>0</v>
      </c>
      <c r="Q422" s="54" t="s">
        <v>149</v>
      </c>
      <c r="R422" s="54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200</v>
      </c>
      <c r="G423" s="33" t="s">
        <v>204</v>
      </c>
      <c r="J423" s="24">
        <v>50000</v>
      </c>
      <c r="M423" s="24">
        <v>50000</v>
      </c>
      <c r="O423" s="54" t="s">
        <v>149</v>
      </c>
      <c r="P423" s="54">
        <f>HEX2DEC(RIGHT(Table132321432[[#This Row],[h1]],8))</f>
        <v>0</v>
      </c>
      <c r="Q423" s="54" t="s">
        <v>149</v>
      </c>
      <c r="R423" s="54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201</v>
      </c>
      <c r="G424" s="33" t="s">
        <v>204</v>
      </c>
      <c r="J424" s="24">
        <v>50000</v>
      </c>
      <c r="M424" s="24">
        <v>50000</v>
      </c>
      <c r="O424" s="54" t="s">
        <v>149</v>
      </c>
      <c r="P424" s="54">
        <f>HEX2DEC(RIGHT(Table132321432[[#This Row],[h1]],8))</f>
        <v>0</v>
      </c>
      <c r="Q424" s="54" t="s">
        <v>149</v>
      </c>
      <c r="R424" s="54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202</v>
      </c>
      <c r="G425" s="33" t="s">
        <v>204</v>
      </c>
      <c r="J425" s="24">
        <v>50000</v>
      </c>
      <c r="M425" s="24">
        <v>50000</v>
      </c>
      <c r="O425" s="54" t="s">
        <v>149</v>
      </c>
      <c r="P425" s="54">
        <f>HEX2DEC(RIGHT(Table132321432[[#This Row],[h1]],8))</f>
        <v>0</v>
      </c>
      <c r="Q425" s="54" t="s">
        <v>149</v>
      </c>
      <c r="R425" s="54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203</v>
      </c>
      <c r="G426" s="33" t="s">
        <v>204</v>
      </c>
      <c r="J426" s="24">
        <v>50000</v>
      </c>
      <c r="M426" s="24">
        <v>50000</v>
      </c>
      <c r="O426" s="54" t="s">
        <v>149</v>
      </c>
      <c r="P426" s="54">
        <f>HEX2DEC(RIGHT(Table132321432[[#This Row],[h1]],8))</f>
        <v>0</v>
      </c>
      <c r="Q426" s="54" t="s">
        <v>149</v>
      </c>
      <c r="R426" s="54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205</v>
      </c>
      <c r="G427" s="15">
        <v>1</v>
      </c>
      <c r="J427" s="24">
        <v>50000</v>
      </c>
      <c r="M427" s="24">
        <v>50000</v>
      </c>
      <c r="O427" s="54" t="s">
        <v>149</v>
      </c>
      <c r="P427" s="54">
        <f>HEX2DEC(RIGHT(Table132321432[[#This Row],[h1]],8))</f>
        <v>0</v>
      </c>
      <c r="Q427" s="54" t="s">
        <v>149</v>
      </c>
      <c r="R427" s="54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205</v>
      </c>
      <c r="G428" s="15">
        <v>0</v>
      </c>
      <c r="J428" s="24">
        <v>50000</v>
      </c>
      <c r="M428" s="24">
        <v>50000</v>
      </c>
      <c r="O428" s="54" t="s">
        <v>149</v>
      </c>
      <c r="P428" s="54">
        <f>HEX2DEC(RIGHT(Table132321432[[#This Row],[h1]],8))</f>
        <v>0</v>
      </c>
      <c r="Q428" s="54" t="s">
        <v>149</v>
      </c>
      <c r="R428" s="54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4" t="s">
        <v>149</v>
      </c>
      <c r="P429" s="54">
        <f>HEX2DEC(RIGHT(Table132321432[[#This Row],[h1]],8))</f>
        <v>0</v>
      </c>
      <c r="Q429" s="54" t="s">
        <v>149</v>
      </c>
      <c r="R429" s="54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4" t="s">
        <v>149</v>
      </c>
      <c r="P430" s="54">
        <f>HEX2DEC(RIGHT(Table132321432[[#This Row],[h1]],8))</f>
        <v>0</v>
      </c>
      <c r="Q430" s="54" t="s">
        <v>149</v>
      </c>
      <c r="R430" s="54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4" t="s">
        <v>149</v>
      </c>
      <c r="P431" s="54">
        <f>HEX2DEC(RIGHT(Table132321432[[#This Row],[h1]],8))</f>
        <v>0</v>
      </c>
      <c r="Q431" s="54" t="s">
        <v>149</v>
      </c>
      <c r="R431" s="54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4" t="s">
        <v>149</v>
      </c>
      <c r="P432" s="54">
        <f>HEX2DEC(RIGHT(Table132321432[[#This Row],[h1]],8))</f>
        <v>0</v>
      </c>
      <c r="Q432" s="54" t="s">
        <v>149</v>
      </c>
      <c r="R432" s="54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4" t="s">
        <v>149</v>
      </c>
      <c r="P433" s="54">
        <f>HEX2DEC(RIGHT(Table132321432[[#This Row],[h1]],8))</f>
        <v>0</v>
      </c>
      <c r="Q433" s="54" t="s">
        <v>149</v>
      </c>
      <c r="R433" s="54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4" t="s">
        <v>149</v>
      </c>
      <c r="P434" s="54">
        <f>HEX2DEC(RIGHT(Table132321432[[#This Row],[h1]],8))</f>
        <v>0</v>
      </c>
      <c r="Q434" s="54" t="s">
        <v>149</v>
      </c>
      <c r="R434" s="54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4" t="s">
        <v>149</v>
      </c>
      <c r="P435" s="54">
        <f>HEX2DEC(RIGHT(Table132321432[[#This Row],[h1]],8))</f>
        <v>0</v>
      </c>
      <c r="Q435" s="54" t="s">
        <v>149</v>
      </c>
      <c r="R435" s="54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4" t="s">
        <v>149</v>
      </c>
      <c r="P436" s="54">
        <f>HEX2DEC(RIGHT(Table132321432[[#This Row],[h1]],8))</f>
        <v>0</v>
      </c>
      <c r="Q436" s="54" t="s">
        <v>149</v>
      </c>
      <c r="R436" s="54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4" t="s">
        <v>149</v>
      </c>
      <c r="P437" s="54">
        <f>HEX2DEC(RIGHT(Table132321432[[#This Row],[h1]],8))</f>
        <v>0</v>
      </c>
      <c r="Q437" s="54" t="s">
        <v>149</v>
      </c>
      <c r="R437" s="54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4" t="s">
        <v>149</v>
      </c>
      <c r="P438" s="54">
        <f>HEX2DEC(RIGHT(Table132321432[[#This Row],[h1]],8))</f>
        <v>0</v>
      </c>
      <c r="Q438" s="54" t="s">
        <v>149</v>
      </c>
      <c r="R438" s="54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4" t="s">
        <v>149</v>
      </c>
      <c r="P439" s="54">
        <f>HEX2DEC(RIGHT(Table132321432[[#This Row],[h1]],8))</f>
        <v>0</v>
      </c>
      <c r="Q439" s="54" t="s">
        <v>149</v>
      </c>
      <c r="R439" s="54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4" t="s">
        <v>149</v>
      </c>
      <c r="P440" s="54">
        <f>HEX2DEC(RIGHT(Table132321432[[#This Row],[h1]],8))</f>
        <v>0</v>
      </c>
      <c r="Q440" s="54" t="s">
        <v>149</v>
      </c>
      <c r="R440" s="54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4" t="s">
        <v>149</v>
      </c>
      <c r="P441" s="54">
        <f>HEX2DEC(RIGHT(Table132321432[[#This Row],[h1]],8))</f>
        <v>0</v>
      </c>
      <c r="Q441" s="54" t="s">
        <v>149</v>
      </c>
      <c r="R441" s="54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4" t="s">
        <v>149</v>
      </c>
      <c r="P442" s="54">
        <f>HEX2DEC(RIGHT(Table132321432[[#This Row],[h1]],8))</f>
        <v>0</v>
      </c>
      <c r="Q442" s="54" t="s">
        <v>149</v>
      </c>
      <c r="R442" s="54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4" t="s">
        <v>149</v>
      </c>
      <c r="P443" s="54">
        <f>HEX2DEC(RIGHT(Table132321432[[#This Row],[h1]],8))</f>
        <v>0</v>
      </c>
      <c r="Q443" s="54" t="s">
        <v>149</v>
      </c>
      <c r="R443" s="54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4" t="s">
        <v>149</v>
      </c>
      <c r="P444" s="54">
        <f>HEX2DEC(RIGHT(Table132321432[[#This Row],[h1]],8))</f>
        <v>0</v>
      </c>
      <c r="Q444" s="54" t="s">
        <v>149</v>
      </c>
      <c r="R444" s="54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4" t="s">
        <v>149</v>
      </c>
      <c r="P445" s="54">
        <f>HEX2DEC(RIGHT(Table132321432[[#This Row],[h1]],8))</f>
        <v>0</v>
      </c>
      <c r="Q445" s="54" t="s">
        <v>149</v>
      </c>
      <c r="R445" s="54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4" t="s">
        <v>149</v>
      </c>
      <c r="P446" s="54">
        <f>HEX2DEC(RIGHT(Table132321432[[#This Row],[h1]],8))</f>
        <v>0</v>
      </c>
      <c r="Q446" s="54" t="s">
        <v>149</v>
      </c>
      <c r="R446" s="54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4" t="s">
        <v>149</v>
      </c>
      <c r="P447" s="54">
        <f>HEX2DEC(RIGHT(Table132321432[[#This Row],[h1]],8))</f>
        <v>0</v>
      </c>
      <c r="Q447" s="54" t="s">
        <v>149</v>
      </c>
      <c r="R447" s="54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4" t="s">
        <v>149</v>
      </c>
      <c r="P448" s="54">
        <f>HEX2DEC(RIGHT(Table132321432[[#This Row],[h1]],8))</f>
        <v>0</v>
      </c>
      <c r="Q448" s="54" t="s">
        <v>149</v>
      </c>
      <c r="R448" s="54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4" t="s">
        <v>149</v>
      </c>
      <c r="P449" s="54">
        <f>HEX2DEC(RIGHT(Table132321432[[#This Row],[h1]],8))</f>
        <v>0</v>
      </c>
      <c r="Q449" s="54" t="s">
        <v>149</v>
      </c>
      <c r="R449" s="54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4" t="s">
        <v>149</v>
      </c>
      <c r="P450" s="54">
        <f>HEX2DEC(RIGHT(Table132321432[[#This Row],[h1]],8))</f>
        <v>0</v>
      </c>
      <c r="Q450" s="54" t="s">
        <v>149</v>
      </c>
      <c r="R450" s="54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4" t="s">
        <v>149</v>
      </c>
      <c r="P451" s="54">
        <f>HEX2DEC(RIGHT(Table132321432[[#This Row],[h1]],8))</f>
        <v>0</v>
      </c>
      <c r="Q451" s="54" t="s">
        <v>149</v>
      </c>
      <c r="R451" s="54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4" t="s">
        <v>149</v>
      </c>
      <c r="P452" s="54">
        <f>HEX2DEC(RIGHT(Table132321432[[#This Row],[h1]],8))</f>
        <v>0</v>
      </c>
      <c r="Q452" s="54" t="s">
        <v>149</v>
      </c>
      <c r="R452" s="54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4" t="s">
        <v>149</v>
      </c>
      <c r="P453" s="54">
        <f>HEX2DEC(RIGHT(Table132321432[[#This Row],[h1]],8))</f>
        <v>0</v>
      </c>
      <c r="Q453" s="54" t="s">
        <v>149</v>
      </c>
      <c r="R453" s="54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4" t="s">
        <v>149</v>
      </c>
      <c r="P454" s="54">
        <f>HEX2DEC(RIGHT(Table132321432[[#This Row],[h1]],8))</f>
        <v>0</v>
      </c>
      <c r="Q454" s="54" t="s">
        <v>149</v>
      </c>
      <c r="R454" s="54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4" t="s">
        <v>149</v>
      </c>
      <c r="P455" s="54">
        <f>HEX2DEC(RIGHT(Table132321432[[#This Row],[h1]],8))</f>
        <v>0</v>
      </c>
      <c r="Q455" s="54" t="s">
        <v>149</v>
      </c>
      <c r="R455" s="54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4" t="s">
        <v>149</v>
      </c>
      <c r="P456" s="54">
        <f>HEX2DEC(RIGHT(Table132321432[[#This Row],[h1]],8))</f>
        <v>0</v>
      </c>
      <c r="Q456" s="54" t="s">
        <v>149</v>
      </c>
      <c r="R456" s="54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4" t="s">
        <v>149</v>
      </c>
      <c r="P457" s="54">
        <f>HEX2DEC(RIGHT(Table132321432[[#This Row],[h1]],8))</f>
        <v>0</v>
      </c>
      <c r="Q457" s="54" t="s">
        <v>149</v>
      </c>
      <c r="R457" s="54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4" t="s">
        <v>149</v>
      </c>
      <c r="P458" s="54">
        <f>HEX2DEC(RIGHT(Table132321432[[#This Row],[h1]],8))</f>
        <v>0</v>
      </c>
      <c r="Q458" s="54" t="s">
        <v>149</v>
      </c>
      <c r="R458" s="54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4" t="s">
        <v>149</v>
      </c>
      <c r="P459" s="54">
        <f>HEX2DEC(RIGHT(Table132321432[[#This Row],[h1]],8))</f>
        <v>0</v>
      </c>
      <c r="Q459" s="54" t="s">
        <v>149</v>
      </c>
      <c r="R459" s="54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4" t="s">
        <v>149</v>
      </c>
      <c r="P460" s="54">
        <f>HEX2DEC(RIGHT(Table132321432[[#This Row],[h1]],8))</f>
        <v>0</v>
      </c>
      <c r="Q460" s="54" t="s">
        <v>149</v>
      </c>
      <c r="R460" s="54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56</v>
      </c>
      <c r="D461" s="43" t="s">
        <v>48</v>
      </c>
      <c r="E461" s="43"/>
      <c r="F461" s="43"/>
      <c r="G461" s="44"/>
      <c r="J461" s="24">
        <v>50000</v>
      </c>
      <c r="M461" s="24">
        <v>50000</v>
      </c>
      <c r="O461" s="54" t="s">
        <v>149</v>
      </c>
      <c r="P461" s="54">
        <f>HEX2DEC(RIGHT(Table132321432[[#This Row],[h1]],8))</f>
        <v>0</v>
      </c>
      <c r="Q461" s="54" t="s">
        <v>149</v>
      </c>
      <c r="R461" s="54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4" t="s">
        <v>149</v>
      </c>
      <c r="P462" s="54">
        <f>HEX2DEC(RIGHT(Table132321432[[#This Row],[h1]],8))</f>
        <v>0</v>
      </c>
      <c r="Q462" s="54" t="s">
        <v>149</v>
      </c>
      <c r="R462" s="54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4" t="s">
        <v>149</v>
      </c>
      <c r="P463" s="54">
        <f>HEX2DEC(RIGHT(Table132321432[[#This Row],[h1]],8))</f>
        <v>0</v>
      </c>
      <c r="Q463" s="54" t="s">
        <v>149</v>
      </c>
      <c r="R463" s="54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4" t="s">
        <v>149</v>
      </c>
      <c r="P464" s="54">
        <f>HEX2DEC(RIGHT(Table132321432[[#This Row],[h1]],8))</f>
        <v>0</v>
      </c>
      <c r="Q464" s="54" t="s">
        <v>149</v>
      </c>
      <c r="R464" s="54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4" t="s">
        <v>149</v>
      </c>
      <c r="P465" s="54">
        <f>HEX2DEC(RIGHT(Table132321432[[#This Row],[h1]],8))</f>
        <v>0</v>
      </c>
      <c r="Q465" s="54" t="s">
        <v>149</v>
      </c>
      <c r="R465" s="54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160</v>
      </c>
      <c r="G466" s="33">
        <v>0</v>
      </c>
      <c r="J466" s="24">
        <v>50000</v>
      </c>
      <c r="M466" s="24">
        <v>50000</v>
      </c>
      <c r="O466" s="54" t="s">
        <v>149</v>
      </c>
      <c r="P466" s="54">
        <f>HEX2DEC(RIGHT(Table132321432[[#This Row],[h1]],8))</f>
        <v>0</v>
      </c>
      <c r="Q466" s="54" t="s">
        <v>149</v>
      </c>
      <c r="R466" s="54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161</v>
      </c>
      <c r="G467" s="33">
        <v>1</v>
      </c>
      <c r="J467" s="24">
        <v>50000</v>
      </c>
      <c r="M467" s="24">
        <v>50000</v>
      </c>
      <c r="O467" s="54" t="s">
        <v>149</v>
      </c>
      <c r="P467" s="54">
        <f>HEX2DEC(RIGHT(Table132321432[[#This Row],[h1]],8))</f>
        <v>0</v>
      </c>
      <c r="Q467" s="54" t="s">
        <v>149</v>
      </c>
      <c r="R467" s="54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162</v>
      </c>
      <c r="G468" s="33">
        <v>1</v>
      </c>
      <c r="J468" s="24">
        <v>50000</v>
      </c>
      <c r="M468" s="24">
        <v>50000</v>
      </c>
      <c r="O468" s="54" t="s">
        <v>149</v>
      </c>
      <c r="P468" s="54">
        <f>HEX2DEC(RIGHT(Table132321432[[#This Row],[h1]],8))</f>
        <v>0</v>
      </c>
      <c r="Q468" s="54" t="s">
        <v>149</v>
      </c>
      <c r="R468" s="54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163</v>
      </c>
      <c r="G469" s="33">
        <v>1</v>
      </c>
      <c r="J469" s="24">
        <v>50000</v>
      </c>
      <c r="M469" s="24">
        <v>50000</v>
      </c>
      <c r="O469" s="54" t="s">
        <v>149</v>
      </c>
      <c r="P469" s="54">
        <f>HEX2DEC(RIGHT(Table132321432[[#This Row],[h1]],8))</f>
        <v>0</v>
      </c>
      <c r="Q469" s="54" t="s">
        <v>149</v>
      </c>
      <c r="R469" s="54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158</v>
      </c>
      <c r="J470" s="24">
        <v>50000</v>
      </c>
      <c r="M470" s="24">
        <v>50000</v>
      </c>
      <c r="O470" s="54" t="s">
        <v>149</v>
      </c>
      <c r="P470" s="54">
        <f>HEX2DEC(RIGHT(Table132321432[[#This Row],[h1]],8))</f>
        <v>0</v>
      </c>
      <c r="Q470" s="54" t="s">
        <v>149</v>
      </c>
      <c r="R470" s="54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4" t="s">
        <v>149</v>
      </c>
      <c r="P471" s="54">
        <f>HEX2DEC(RIGHT(Table132321432[[#This Row],[h1]],8))</f>
        <v>0</v>
      </c>
      <c r="Q471" s="54" t="s">
        <v>149</v>
      </c>
      <c r="R471" s="54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48</v>
      </c>
      <c r="J472" s="24">
        <v>50000</v>
      </c>
      <c r="M472" s="24">
        <v>50000</v>
      </c>
      <c r="O472" s="54" t="s">
        <v>149</v>
      </c>
      <c r="P472" s="54">
        <f>HEX2DEC(RIGHT(Table132321432[[#This Row],[h1]],8))</f>
        <v>0</v>
      </c>
      <c r="Q472" s="54" t="s">
        <v>149</v>
      </c>
      <c r="R472" s="54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4" t="s">
        <v>149</v>
      </c>
      <c r="P473" s="54">
        <f>HEX2DEC(RIGHT(Table132321432[[#This Row],[h1]],8))</f>
        <v>0</v>
      </c>
      <c r="Q473" s="54" t="s">
        <v>149</v>
      </c>
      <c r="R473" s="54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4" t="s">
        <v>149</v>
      </c>
      <c r="P474" s="54">
        <f>HEX2DEC(RIGHT(Table132321432[[#This Row],[h1]],8))</f>
        <v>0</v>
      </c>
      <c r="Q474" s="54" t="s">
        <v>149</v>
      </c>
      <c r="R474" s="54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4" t="s">
        <v>149</v>
      </c>
      <c r="P475" s="54">
        <f>HEX2DEC(RIGHT(Table132321432[[#This Row],[h1]],8))</f>
        <v>0</v>
      </c>
      <c r="Q475" s="54" t="s">
        <v>149</v>
      </c>
      <c r="R475" s="54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4" t="s">
        <v>149</v>
      </c>
      <c r="P476" s="54">
        <f>HEX2DEC(RIGHT(Table132321432[[#This Row],[h1]],8))</f>
        <v>0</v>
      </c>
      <c r="Q476" s="54" t="s">
        <v>149</v>
      </c>
      <c r="R476" s="54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4" t="s">
        <v>149</v>
      </c>
      <c r="P477" s="54">
        <f>HEX2DEC(RIGHT(Table132321432[[#This Row],[h1]],8))</f>
        <v>0</v>
      </c>
      <c r="Q477" s="54" t="s">
        <v>149</v>
      </c>
      <c r="R477" s="54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4" t="s">
        <v>149</v>
      </c>
      <c r="P478" s="54">
        <f>HEX2DEC(RIGHT(Table132321432[[#This Row],[h1]],8))</f>
        <v>0</v>
      </c>
      <c r="Q478" s="54" t="s">
        <v>149</v>
      </c>
      <c r="R478" s="54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4" t="s">
        <v>149</v>
      </c>
      <c r="P479" s="54">
        <f>HEX2DEC(RIGHT(Table132321432[[#This Row],[h1]],8))</f>
        <v>0</v>
      </c>
      <c r="Q479" s="54" t="s">
        <v>149</v>
      </c>
      <c r="R479" s="54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4" t="s">
        <v>149</v>
      </c>
      <c r="P480" s="54">
        <f>HEX2DEC(RIGHT(Table132321432[[#This Row],[h1]],8))</f>
        <v>0</v>
      </c>
      <c r="Q480" s="54" t="s">
        <v>149</v>
      </c>
      <c r="R480" s="54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4" t="s">
        <v>149</v>
      </c>
      <c r="P481" s="54">
        <f>HEX2DEC(RIGHT(Table132321432[[#This Row],[h1]],8))</f>
        <v>0</v>
      </c>
      <c r="Q481" s="54" t="s">
        <v>149</v>
      </c>
      <c r="R481" s="54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4" t="s">
        <v>149</v>
      </c>
      <c r="P482" s="54">
        <f>HEX2DEC(RIGHT(Table132321432[[#This Row],[h1]],8))</f>
        <v>0</v>
      </c>
      <c r="Q482" s="54" t="s">
        <v>149</v>
      </c>
      <c r="R482" s="54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4" t="s">
        <v>149</v>
      </c>
      <c r="P483" s="54">
        <f>HEX2DEC(RIGHT(Table132321432[[#This Row],[h1]],8))</f>
        <v>0</v>
      </c>
      <c r="Q483" s="54" t="s">
        <v>149</v>
      </c>
      <c r="R483" s="54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4" t="s">
        <v>149</v>
      </c>
      <c r="P484" s="54">
        <f>HEX2DEC(RIGHT(Table132321432[[#This Row],[h1]],8))</f>
        <v>0</v>
      </c>
      <c r="Q484" s="54" t="s">
        <v>149</v>
      </c>
      <c r="R484" s="54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4" t="s">
        <v>149</v>
      </c>
      <c r="P485" s="54">
        <f>HEX2DEC(RIGHT(Table132321432[[#This Row],[h1]],8))</f>
        <v>0</v>
      </c>
      <c r="Q485" s="54" t="s">
        <v>149</v>
      </c>
      <c r="R485" s="54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4" t="s">
        <v>149</v>
      </c>
      <c r="P486" s="54">
        <f>HEX2DEC(RIGHT(Table132321432[[#This Row],[h1]],8))</f>
        <v>0</v>
      </c>
      <c r="Q486" s="54" t="s">
        <v>149</v>
      </c>
      <c r="R486" s="54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4" t="s">
        <v>149</v>
      </c>
      <c r="P487" s="54">
        <f>HEX2DEC(RIGHT(Table132321432[[#This Row],[h1]],8))</f>
        <v>0</v>
      </c>
      <c r="Q487" s="54" t="s">
        <v>149</v>
      </c>
      <c r="R487" s="54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4" t="s">
        <v>149</v>
      </c>
      <c r="P488" s="54">
        <f>HEX2DEC(RIGHT(Table132321432[[#This Row],[h1]],8))</f>
        <v>0</v>
      </c>
      <c r="Q488" s="54" t="s">
        <v>149</v>
      </c>
      <c r="R488" s="54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4" t="s">
        <v>149</v>
      </c>
      <c r="P489" s="54">
        <f>HEX2DEC(RIGHT(Table132321432[[#This Row],[h1]],8))</f>
        <v>0</v>
      </c>
      <c r="Q489" s="54" t="s">
        <v>149</v>
      </c>
      <c r="R489" s="54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4" t="s">
        <v>149</v>
      </c>
      <c r="P490" s="54">
        <f>HEX2DEC(RIGHT(Table132321432[[#This Row],[h1]],8))</f>
        <v>0</v>
      </c>
      <c r="Q490" s="54" t="s">
        <v>149</v>
      </c>
      <c r="R490" s="54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4" t="s">
        <v>149</v>
      </c>
      <c r="P491" s="54">
        <f>HEX2DEC(RIGHT(Table132321432[[#This Row],[h1]],8))</f>
        <v>0</v>
      </c>
      <c r="Q491" s="54" t="s">
        <v>149</v>
      </c>
      <c r="R491" s="54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4" t="s">
        <v>149</v>
      </c>
      <c r="P492" s="54">
        <f>HEX2DEC(RIGHT(Table132321432[[#This Row],[h1]],8))</f>
        <v>0</v>
      </c>
      <c r="Q492" s="54" t="s">
        <v>149</v>
      </c>
      <c r="R492" s="54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4" t="s">
        <v>149</v>
      </c>
      <c r="P493" s="54">
        <f>HEX2DEC(RIGHT(Table132321432[[#This Row],[h1]],8))</f>
        <v>0</v>
      </c>
      <c r="Q493" s="54" t="s">
        <v>149</v>
      </c>
      <c r="R493" s="54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4" t="s">
        <v>149</v>
      </c>
      <c r="P494" s="54">
        <f>HEX2DEC(RIGHT(Table132321432[[#This Row],[h1]],8))</f>
        <v>0</v>
      </c>
      <c r="Q494" s="54" t="s">
        <v>149</v>
      </c>
      <c r="R494" s="54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4" t="s">
        <v>149</v>
      </c>
      <c r="P495" s="54">
        <f>HEX2DEC(RIGHT(Table132321432[[#This Row],[h1]],8))</f>
        <v>0</v>
      </c>
      <c r="Q495" s="54" t="s">
        <v>149</v>
      </c>
      <c r="R495" s="54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4" t="s">
        <v>149</v>
      </c>
      <c r="P496" s="54">
        <f>HEX2DEC(RIGHT(Table132321432[[#This Row],[h1]],8))</f>
        <v>0</v>
      </c>
      <c r="Q496" s="54" t="s">
        <v>149</v>
      </c>
      <c r="R496" s="54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4" t="s">
        <v>149</v>
      </c>
      <c r="P497" s="54">
        <f>HEX2DEC(RIGHT(Table132321432[[#This Row],[h1]],8))</f>
        <v>0</v>
      </c>
      <c r="Q497" s="54" t="s">
        <v>149</v>
      </c>
      <c r="R497" s="54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4" t="s">
        <v>149</v>
      </c>
      <c r="P498" s="54">
        <f>HEX2DEC(RIGHT(Table132321432[[#This Row],[h1]],8))</f>
        <v>0</v>
      </c>
      <c r="Q498" s="54" t="s">
        <v>149</v>
      </c>
      <c r="R498" s="54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4" t="s">
        <v>149</v>
      </c>
      <c r="P499" s="54">
        <f>HEX2DEC(RIGHT(Table132321432[[#This Row],[h1]],8))</f>
        <v>0</v>
      </c>
      <c r="Q499" s="54" t="s">
        <v>149</v>
      </c>
      <c r="R499" s="54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4" t="s">
        <v>149</v>
      </c>
      <c r="P500" s="54">
        <f>HEX2DEC(RIGHT(Table132321432[[#This Row],[h1]],8))</f>
        <v>0</v>
      </c>
      <c r="Q500" s="54" t="s">
        <v>149</v>
      </c>
      <c r="R500" s="54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4" t="s">
        <v>149</v>
      </c>
      <c r="P501" s="54">
        <f>HEX2DEC(RIGHT(Table132321432[[#This Row],[h1]],8))</f>
        <v>0</v>
      </c>
      <c r="Q501" s="54" t="s">
        <v>149</v>
      </c>
      <c r="R501" s="54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4" t="s">
        <v>149</v>
      </c>
      <c r="P502" s="54">
        <f>HEX2DEC(RIGHT(Table132321432[[#This Row],[h1]],8))</f>
        <v>0</v>
      </c>
      <c r="Q502" s="54" t="s">
        <v>149</v>
      </c>
      <c r="R502" s="54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4" t="s">
        <v>149</v>
      </c>
      <c r="P503" s="54">
        <f>HEX2DEC(RIGHT(Table132321432[[#This Row],[h1]],8))</f>
        <v>0</v>
      </c>
      <c r="Q503" s="54" t="s">
        <v>149</v>
      </c>
      <c r="R503" s="54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4" t="s">
        <v>149</v>
      </c>
      <c r="P504" s="54">
        <f>HEX2DEC(RIGHT(Table132321432[[#This Row],[h1]],8))</f>
        <v>0</v>
      </c>
      <c r="Q504" s="54" t="s">
        <v>149</v>
      </c>
      <c r="R504" s="54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4" t="s">
        <v>149</v>
      </c>
      <c r="P505" s="54">
        <f>HEX2DEC(RIGHT(Table132321432[[#This Row],[h1]],8))</f>
        <v>0</v>
      </c>
      <c r="Q505" s="54" t="s">
        <v>149</v>
      </c>
      <c r="R505" s="54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4" t="s">
        <v>149</v>
      </c>
      <c r="P506" s="54">
        <f>HEX2DEC(RIGHT(Table132321432[[#This Row],[h1]],8))</f>
        <v>0</v>
      </c>
      <c r="Q506" s="54" t="s">
        <v>149</v>
      </c>
      <c r="R506" s="54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4" t="s">
        <v>149</v>
      </c>
      <c r="P507" s="54">
        <f>HEX2DEC(RIGHT(Table132321432[[#This Row],[h1]],8))</f>
        <v>0</v>
      </c>
      <c r="Q507" s="54" t="s">
        <v>149</v>
      </c>
      <c r="R507" s="54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4" t="s">
        <v>149</v>
      </c>
      <c r="P508" s="54">
        <f>HEX2DEC(RIGHT(Table132321432[[#This Row],[h1]],8))</f>
        <v>0</v>
      </c>
      <c r="Q508" s="54" t="s">
        <v>149</v>
      </c>
      <c r="R508" s="54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4" t="s">
        <v>149</v>
      </c>
      <c r="P509" s="54">
        <f>HEX2DEC(RIGHT(Table132321432[[#This Row],[h1]],8))</f>
        <v>0</v>
      </c>
      <c r="Q509" s="54" t="s">
        <v>149</v>
      </c>
      <c r="R509" s="54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4" t="s">
        <v>149</v>
      </c>
      <c r="P510" s="54">
        <f>HEX2DEC(RIGHT(Table132321432[[#This Row],[h1]],8))</f>
        <v>0</v>
      </c>
      <c r="Q510" s="54" t="s">
        <v>149</v>
      </c>
      <c r="R510" s="54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4" t="s">
        <v>149</v>
      </c>
      <c r="P511" s="54">
        <f>HEX2DEC(RIGHT(Table132321432[[#This Row],[h1]],8))</f>
        <v>0</v>
      </c>
      <c r="Q511" s="54" t="s">
        <v>149</v>
      </c>
      <c r="R511" s="54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4" t="s">
        <v>149</v>
      </c>
      <c r="P512" s="54">
        <f>HEX2DEC(RIGHT(Table132321432[[#This Row],[h1]],8))</f>
        <v>0</v>
      </c>
      <c r="Q512" s="54" t="s">
        <v>149</v>
      </c>
      <c r="R512" s="54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4" t="s">
        <v>149</v>
      </c>
      <c r="P513" s="54">
        <f>HEX2DEC(RIGHT(Table132321432[[#This Row],[h1]],8))</f>
        <v>0</v>
      </c>
      <c r="Q513" s="54" t="s">
        <v>149</v>
      </c>
      <c r="R513" s="54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4" t="s">
        <v>149</v>
      </c>
      <c r="P514" s="54">
        <f>HEX2DEC(RIGHT(Table132321432[[#This Row],[h1]],8))</f>
        <v>0</v>
      </c>
      <c r="Q514" s="54" t="s">
        <v>149</v>
      </c>
      <c r="R514" s="54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4" t="s">
        <v>149</v>
      </c>
      <c r="P515" s="54">
        <f>HEX2DEC(RIGHT(Table132321432[[#This Row],[h1]],8))</f>
        <v>0</v>
      </c>
      <c r="Q515" s="54" t="s">
        <v>149</v>
      </c>
      <c r="R515" s="54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4" t="s">
        <v>149</v>
      </c>
      <c r="P516" s="54">
        <f>HEX2DEC(RIGHT(Table132321432[[#This Row],[h1]],8))</f>
        <v>0</v>
      </c>
      <c r="Q516" s="54" t="s">
        <v>149</v>
      </c>
      <c r="R516" s="54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4" t="s">
        <v>149</v>
      </c>
      <c r="P517" s="54">
        <f>HEX2DEC(RIGHT(Table132321432[[#This Row],[h1]],8))</f>
        <v>0</v>
      </c>
      <c r="Q517" s="54" t="s">
        <v>149</v>
      </c>
      <c r="R517" s="54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4" t="s">
        <v>149</v>
      </c>
      <c r="P518" s="54">
        <f>HEX2DEC(RIGHT(Table132321432[[#This Row],[h1]],8))</f>
        <v>0</v>
      </c>
      <c r="Q518" s="54" t="s">
        <v>149</v>
      </c>
      <c r="R518" s="54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4" t="s">
        <v>149</v>
      </c>
      <c r="P519" s="54">
        <f>HEX2DEC(RIGHT(Table132321432[[#This Row],[h1]],8))</f>
        <v>0</v>
      </c>
      <c r="Q519" s="54" t="s">
        <v>149</v>
      </c>
      <c r="R519" s="54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4" t="s">
        <v>149</v>
      </c>
      <c r="P520" s="54">
        <f>HEX2DEC(RIGHT(Table132321432[[#This Row],[h1]],8))</f>
        <v>0</v>
      </c>
      <c r="Q520" s="54" t="s">
        <v>149</v>
      </c>
      <c r="R520" s="54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4" t="s">
        <v>149</v>
      </c>
      <c r="P521" s="54">
        <f>HEX2DEC(RIGHT(Table132321432[[#This Row],[h1]],8))</f>
        <v>0</v>
      </c>
      <c r="Q521" s="54" t="s">
        <v>149</v>
      </c>
      <c r="R521" s="54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4" t="s">
        <v>149</v>
      </c>
      <c r="P522" s="54">
        <f>HEX2DEC(RIGHT(Table132321432[[#This Row],[h1]],8))</f>
        <v>0</v>
      </c>
      <c r="Q522" s="54" t="s">
        <v>149</v>
      </c>
      <c r="R522" s="54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4" t="s">
        <v>149</v>
      </c>
      <c r="P523" s="54">
        <f>HEX2DEC(RIGHT(Table132321432[[#This Row],[h1]],8))</f>
        <v>0</v>
      </c>
      <c r="Q523" s="54" t="s">
        <v>149</v>
      </c>
      <c r="R523" s="54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4" t="s">
        <v>149</v>
      </c>
      <c r="P524" s="54">
        <f>HEX2DEC(RIGHT(Table132321432[[#This Row],[h1]],8))</f>
        <v>0</v>
      </c>
      <c r="Q524" s="54" t="s">
        <v>149</v>
      </c>
      <c r="R524" s="54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4" t="s">
        <v>149</v>
      </c>
      <c r="P525" s="54">
        <f>HEX2DEC(RIGHT(Table132321432[[#This Row],[h1]],8))</f>
        <v>0</v>
      </c>
      <c r="Q525" s="54" t="s">
        <v>149</v>
      </c>
      <c r="R525" s="54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4" t="s">
        <v>149</v>
      </c>
      <c r="P526" s="54">
        <f>HEX2DEC(RIGHT(Table132321432[[#This Row],[h1]],8))</f>
        <v>0</v>
      </c>
      <c r="Q526" s="54" t="s">
        <v>149</v>
      </c>
      <c r="R526" s="54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4" t="s">
        <v>149</v>
      </c>
      <c r="P527" s="54">
        <f>HEX2DEC(RIGHT(Table132321432[[#This Row],[h1]],8))</f>
        <v>0</v>
      </c>
      <c r="Q527" s="54" t="s">
        <v>149</v>
      </c>
      <c r="R527" s="54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4" t="s">
        <v>149</v>
      </c>
      <c r="P528" s="54">
        <f>HEX2DEC(RIGHT(Table132321432[[#This Row],[h1]],8))</f>
        <v>0</v>
      </c>
      <c r="Q528" s="54" t="s">
        <v>149</v>
      </c>
      <c r="R528" s="54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4" t="s">
        <v>149</v>
      </c>
      <c r="P529" s="54">
        <f>HEX2DEC(RIGHT(Table132321432[[#This Row],[h1]],8))</f>
        <v>0</v>
      </c>
      <c r="Q529" s="54" t="s">
        <v>149</v>
      </c>
      <c r="R529" s="54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4" t="s">
        <v>149</v>
      </c>
      <c r="P530" s="54">
        <f>HEX2DEC(RIGHT(Table132321432[[#This Row],[h1]],8))</f>
        <v>0</v>
      </c>
      <c r="Q530" s="54" t="s">
        <v>149</v>
      </c>
      <c r="R530" s="54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4" t="s">
        <v>149</v>
      </c>
      <c r="P531" s="54">
        <f>HEX2DEC(RIGHT(Table132321432[[#This Row],[h1]],8))</f>
        <v>0</v>
      </c>
      <c r="Q531" s="54" t="s">
        <v>149</v>
      </c>
      <c r="R531" s="54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4" t="s">
        <v>149</v>
      </c>
      <c r="P532" s="54">
        <f>HEX2DEC(RIGHT(Table132321432[[#This Row],[h1]],8))</f>
        <v>0</v>
      </c>
      <c r="Q532" s="54" t="s">
        <v>149</v>
      </c>
      <c r="R532" s="54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4" t="s">
        <v>149</v>
      </c>
      <c r="P533" s="54">
        <f>HEX2DEC(RIGHT(Table132321432[[#This Row],[h1]],8))</f>
        <v>0</v>
      </c>
      <c r="Q533" s="54" t="s">
        <v>149</v>
      </c>
      <c r="R533" s="54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4" t="s">
        <v>149</v>
      </c>
      <c r="P534" s="54">
        <f>HEX2DEC(RIGHT(Table132321432[[#This Row],[h1]],8))</f>
        <v>0</v>
      </c>
      <c r="Q534" s="54" t="s">
        <v>149</v>
      </c>
      <c r="R534" s="54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4" t="s">
        <v>149</v>
      </c>
      <c r="P535" s="54">
        <f>HEX2DEC(RIGHT(Table132321432[[#This Row],[h1]],8))</f>
        <v>0</v>
      </c>
      <c r="Q535" s="54" t="s">
        <v>149</v>
      </c>
      <c r="R535" s="54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4" t="s">
        <v>149</v>
      </c>
      <c r="P536" s="54">
        <f>HEX2DEC(RIGHT(Table132321432[[#This Row],[h1]],8))</f>
        <v>0</v>
      </c>
      <c r="Q536" s="54" t="s">
        <v>149</v>
      </c>
      <c r="R536" s="54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4" t="s">
        <v>149</v>
      </c>
      <c r="P537" s="54">
        <f>HEX2DEC(RIGHT(Table132321432[[#This Row],[h1]],8))</f>
        <v>0</v>
      </c>
      <c r="Q537" s="54" t="s">
        <v>149</v>
      </c>
      <c r="R537" s="54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4" t="s">
        <v>149</v>
      </c>
      <c r="P538" s="54">
        <f>HEX2DEC(RIGHT(Table132321432[[#This Row],[h1]],8))</f>
        <v>0</v>
      </c>
      <c r="Q538" s="54" t="s">
        <v>149</v>
      </c>
      <c r="R538" s="54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4" t="s">
        <v>149</v>
      </c>
      <c r="P539" s="54">
        <f>HEX2DEC(RIGHT(Table132321432[[#This Row],[h1]],8))</f>
        <v>0</v>
      </c>
      <c r="Q539" s="54" t="s">
        <v>149</v>
      </c>
      <c r="R539" s="54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4" t="s">
        <v>149</v>
      </c>
      <c r="P540" s="54">
        <f>HEX2DEC(RIGHT(Table132321432[[#This Row],[h1]],8))</f>
        <v>0</v>
      </c>
      <c r="Q540" s="54" t="s">
        <v>149</v>
      </c>
      <c r="R540" s="54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4" t="s">
        <v>149</v>
      </c>
      <c r="P541" s="54">
        <f>HEX2DEC(RIGHT(Table132321432[[#This Row],[h1]],8))</f>
        <v>0</v>
      </c>
      <c r="Q541" s="54" t="s">
        <v>149</v>
      </c>
      <c r="R541" s="54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4" t="s">
        <v>149</v>
      </c>
      <c r="P542" s="54">
        <f>HEX2DEC(RIGHT(Table132321432[[#This Row],[h1]],8))</f>
        <v>0</v>
      </c>
      <c r="Q542" s="54" t="s">
        <v>149</v>
      </c>
      <c r="R542" s="54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4" t="s">
        <v>149</v>
      </c>
      <c r="P543" s="54">
        <f>HEX2DEC(RIGHT(Table132321432[[#This Row],[h1]],8))</f>
        <v>0</v>
      </c>
      <c r="Q543" s="54" t="s">
        <v>149</v>
      </c>
      <c r="R543" s="54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4" t="s">
        <v>149</v>
      </c>
      <c r="P544" s="54">
        <f>HEX2DEC(RIGHT(Table132321432[[#This Row],[h1]],8))</f>
        <v>0</v>
      </c>
      <c r="Q544" s="54" t="s">
        <v>149</v>
      </c>
      <c r="R544" s="54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4" t="s">
        <v>149</v>
      </c>
      <c r="P545" s="54">
        <f>HEX2DEC(RIGHT(Table132321432[[#This Row],[h1]],8))</f>
        <v>0</v>
      </c>
      <c r="Q545" s="54" t="s">
        <v>149</v>
      </c>
      <c r="R545" s="54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4" t="s">
        <v>149</v>
      </c>
      <c r="P546" s="54">
        <f>HEX2DEC(RIGHT(Table132321432[[#This Row],[h1]],8))</f>
        <v>0</v>
      </c>
      <c r="Q546" s="54" t="s">
        <v>149</v>
      </c>
      <c r="R546" s="54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4" t="s">
        <v>149</v>
      </c>
      <c r="P547" s="54">
        <f>HEX2DEC(RIGHT(Table132321432[[#This Row],[h1]],8))</f>
        <v>0</v>
      </c>
      <c r="Q547" s="54" t="s">
        <v>149</v>
      </c>
      <c r="R547" s="54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4" t="s">
        <v>149</v>
      </c>
      <c r="P548" s="54">
        <f>HEX2DEC(RIGHT(Table132321432[[#This Row],[h1]],8))</f>
        <v>0</v>
      </c>
      <c r="Q548" s="54" t="s">
        <v>149</v>
      </c>
      <c r="R548" s="54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4" t="s">
        <v>149</v>
      </c>
      <c r="P549" s="54">
        <f>HEX2DEC(RIGHT(Table132321432[[#This Row],[h1]],8))</f>
        <v>0</v>
      </c>
      <c r="Q549" s="54" t="s">
        <v>149</v>
      </c>
      <c r="R549" s="54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4" t="s">
        <v>149</v>
      </c>
      <c r="P550" s="54">
        <f>HEX2DEC(RIGHT(Table132321432[[#This Row],[h1]],8))</f>
        <v>0</v>
      </c>
      <c r="Q550" s="54" t="s">
        <v>149</v>
      </c>
      <c r="R550" s="54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4" t="s">
        <v>149</v>
      </c>
      <c r="P551" s="54">
        <f>HEX2DEC(RIGHT(Table132321432[[#This Row],[h1]],8))</f>
        <v>0</v>
      </c>
      <c r="Q551" s="54" t="s">
        <v>149</v>
      </c>
      <c r="R551" s="54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4" t="s">
        <v>149</v>
      </c>
      <c r="P552" s="54">
        <f>HEX2DEC(RIGHT(Table132321432[[#This Row],[h1]],8))</f>
        <v>0</v>
      </c>
      <c r="Q552" s="54" t="s">
        <v>149</v>
      </c>
      <c r="R552" s="54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4" t="s">
        <v>149</v>
      </c>
      <c r="P553" s="54">
        <f>HEX2DEC(RIGHT(Table132321432[[#This Row],[h1]],8))</f>
        <v>0</v>
      </c>
      <c r="Q553" s="54" t="s">
        <v>149</v>
      </c>
      <c r="R553" s="54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4" t="s">
        <v>149</v>
      </c>
      <c r="P554" s="54">
        <f>HEX2DEC(RIGHT(Table132321432[[#This Row],[h1]],8))</f>
        <v>0</v>
      </c>
      <c r="Q554" s="54" t="s">
        <v>149</v>
      </c>
      <c r="R554" s="54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4" t="s">
        <v>149</v>
      </c>
      <c r="P555" s="54">
        <f>HEX2DEC(RIGHT(Table132321432[[#This Row],[h1]],8))</f>
        <v>0</v>
      </c>
      <c r="Q555" s="54" t="s">
        <v>149</v>
      </c>
      <c r="R555" s="54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4" t="s">
        <v>149</v>
      </c>
      <c r="P556" s="54">
        <f>HEX2DEC(RIGHT(Table132321432[[#This Row],[h1]],8))</f>
        <v>0</v>
      </c>
      <c r="Q556" s="54" t="s">
        <v>149</v>
      </c>
      <c r="R556" s="54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4" t="s">
        <v>149</v>
      </c>
      <c r="P557" s="54">
        <f>HEX2DEC(RIGHT(Table132321432[[#This Row],[h1]],8))</f>
        <v>0</v>
      </c>
      <c r="Q557" s="54" t="s">
        <v>149</v>
      </c>
      <c r="R557" s="54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4" t="s">
        <v>149</v>
      </c>
      <c r="P558" s="54">
        <f>HEX2DEC(RIGHT(Table132321432[[#This Row],[h1]],8))</f>
        <v>0</v>
      </c>
      <c r="Q558" s="54" t="s">
        <v>149</v>
      </c>
      <c r="R558" s="54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4" t="s">
        <v>149</v>
      </c>
      <c r="P559" s="54">
        <f>HEX2DEC(RIGHT(Table132321432[[#This Row],[h1]],8))</f>
        <v>0</v>
      </c>
      <c r="Q559" s="54" t="s">
        <v>149</v>
      </c>
      <c r="R559" s="54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4" t="s">
        <v>149</v>
      </c>
      <c r="P560" s="54">
        <f>HEX2DEC(RIGHT(Table132321432[[#This Row],[h1]],8))</f>
        <v>0</v>
      </c>
      <c r="Q560" s="54" t="s">
        <v>149</v>
      </c>
      <c r="R560" s="54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4" t="s">
        <v>149</v>
      </c>
      <c r="P561" s="54">
        <f>HEX2DEC(RIGHT(Table132321432[[#This Row],[h1]],8))</f>
        <v>0</v>
      </c>
      <c r="Q561" s="54" t="s">
        <v>149</v>
      </c>
      <c r="R561" s="54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4" t="s">
        <v>149</v>
      </c>
      <c r="P562" s="54">
        <f>HEX2DEC(RIGHT(Table132321432[[#This Row],[h1]],8))</f>
        <v>0</v>
      </c>
      <c r="Q562" s="54" t="s">
        <v>149</v>
      </c>
      <c r="R562" s="54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4" t="s">
        <v>149</v>
      </c>
      <c r="P563" s="54">
        <f>HEX2DEC(RIGHT(Table132321432[[#This Row],[h1]],8))</f>
        <v>0</v>
      </c>
      <c r="Q563" s="54" t="s">
        <v>149</v>
      </c>
      <c r="R563" s="54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4" t="s">
        <v>149</v>
      </c>
      <c r="P564" s="54">
        <f>HEX2DEC(RIGHT(Table132321432[[#This Row],[h1]],8))</f>
        <v>0</v>
      </c>
      <c r="Q564" s="54" t="s">
        <v>149</v>
      </c>
      <c r="R564" s="54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4" t="s">
        <v>149</v>
      </c>
      <c r="P565" s="54">
        <f>HEX2DEC(RIGHT(Table132321432[[#This Row],[h1]],8))</f>
        <v>0</v>
      </c>
      <c r="Q565" s="54" t="s">
        <v>149</v>
      </c>
      <c r="R565" s="54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4" t="s">
        <v>149</v>
      </c>
      <c r="P566" s="54">
        <f>HEX2DEC(RIGHT(Table132321432[[#This Row],[h1]],8))</f>
        <v>0</v>
      </c>
      <c r="Q566" s="54" t="s">
        <v>149</v>
      </c>
      <c r="R566" s="54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4" t="s">
        <v>149</v>
      </c>
      <c r="P567" s="54">
        <f>HEX2DEC(RIGHT(Table132321432[[#This Row],[h1]],8))</f>
        <v>0</v>
      </c>
      <c r="Q567" s="54" t="s">
        <v>149</v>
      </c>
      <c r="R567" s="54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4" t="s">
        <v>149</v>
      </c>
      <c r="P568" s="54">
        <f>HEX2DEC(RIGHT(Table132321432[[#This Row],[h1]],8))</f>
        <v>0</v>
      </c>
      <c r="Q568" s="54" t="s">
        <v>149</v>
      </c>
      <c r="R568" s="54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4" t="s">
        <v>149</v>
      </c>
      <c r="P569" s="54">
        <f>HEX2DEC(RIGHT(Table132321432[[#This Row],[h1]],8))</f>
        <v>0</v>
      </c>
      <c r="Q569" s="54" t="s">
        <v>149</v>
      </c>
      <c r="R569" s="54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4" t="s">
        <v>149</v>
      </c>
      <c r="P570" s="54">
        <f>HEX2DEC(RIGHT(Table132321432[[#This Row],[h1]],8))</f>
        <v>0</v>
      </c>
      <c r="Q570" s="54" t="s">
        <v>149</v>
      </c>
      <c r="R570" s="54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4" t="s">
        <v>149</v>
      </c>
      <c r="P571" s="54">
        <f>HEX2DEC(RIGHT(Table132321432[[#This Row],[h1]],8))</f>
        <v>0</v>
      </c>
      <c r="Q571" s="54" t="s">
        <v>149</v>
      </c>
      <c r="R571" s="54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4" t="s">
        <v>149</v>
      </c>
      <c r="P572" s="54">
        <f>HEX2DEC(RIGHT(Table132321432[[#This Row],[h1]],8))</f>
        <v>0</v>
      </c>
      <c r="Q572" s="54" t="s">
        <v>149</v>
      </c>
      <c r="R572" s="54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4" t="s">
        <v>149</v>
      </c>
      <c r="P573" s="54">
        <f>HEX2DEC(RIGHT(Table132321432[[#This Row],[h1]],8))</f>
        <v>0</v>
      </c>
      <c r="Q573" s="54" t="s">
        <v>149</v>
      </c>
      <c r="R573" s="54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4" t="s">
        <v>149</v>
      </c>
      <c r="P574" s="54">
        <f>HEX2DEC(RIGHT(Table132321432[[#This Row],[h1]],8))</f>
        <v>0</v>
      </c>
      <c r="Q574" s="54" t="s">
        <v>149</v>
      </c>
      <c r="R574" s="54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4" t="s">
        <v>149</v>
      </c>
      <c r="P575" s="54">
        <f>HEX2DEC(RIGHT(Table132321432[[#This Row],[h1]],8))</f>
        <v>0</v>
      </c>
      <c r="Q575" s="54" t="s">
        <v>149</v>
      </c>
      <c r="R575" s="54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4" t="s">
        <v>149</v>
      </c>
      <c r="P576" s="54">
        <f>HEX2DEC(RIGHT(Table132321432[[#This Row],[h1]],8))</f>
        <v>0</v>
      </c>
      <c r="Q576" s="54" t="s">
        <v>149</v>
      </c>
      <c r="R576" s="54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4" t="s">
        <v>149</v>
      </c>
      <c r="P577" s="54">
        <f>HEX2DEC(RIGHT(Table132321432[[#This Row],[h1]],8))</f>
        <v>0</v>
      </c>
      <c r="Q577" s="54" t="s">
        <v>149</v>
      </c>
      <c r="R577" s="54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4" t="s">
        <v>149</v>
      </c>
      <c r="P578" s="54">
        <f>HEX2DEC(RIGHT(Table132321432[[#This Row],[h1]],8))</f>
        <v>0</v>
      </c>
      <c r="Q578" s="54" t="s">
        <v>149</v>
      </c>
      <c r="R578" s="54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4" t="s">
        <v>149</v>
      </c>
      <c r="P579" s="54">
        <f>HEX2DEC(RIGHT(Table132321432[[#This Row],[h1]],8))</f>
        <v>0</v>
      </c>
      <c r="Q579" s="54" t="s">
        <v>149</v>
      </c>
      <c r="R579" s="54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4" t="s">
        <v>149</v>
      </c>
      <c r="P580" s="54">
        <f>HEX2DEC(RIGHT(Table132321432[[#This Row],[h1]],8))</f>
        <v>0</v>
      </c>
      <c r="Q580" s="54" t="s">
        <v>149</v>
      </c>
      <c r="R580" s="54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4" t="s">
        <v>149</v>
      </c>
      <c r="P581" s="54">
        <f>HEX2DEC(RIGHT(Table132321432[[#This Row],[h1]],8))</f>
        <v>0</v>
      </c>
      <c r="Q581" s="54" t="s">
        <v>149</v>
      </c>
      <c r="R581" s="54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4" t="s">
        <v>149</v>
      </c>
      <c r="P582" s="54">
        <f>HEX2DEC(RIGHT(Table132321432[[#This Row],[h1]],8))</f>
        <v>0</v>
      </c>
      <c r="Q582" s="54" t="s">
        <v>149</v>
      </c>
      <c r="R582" s="54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4" t="s">
        <v>149</v>
      </c>
      <c r="P583" s="54">
        <f>HEX2DEC(RIGHT(Table132321432[[#This Row],[h1]],8))</f>
        <v>0</v>
      </c>
      <c r="Q583" s="54" t="s">
        <v>149</v>
      </c>
      <c r="R583" s="54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4" t="s">
        <v>149</v>
      </c>
      <c r="P584" s="54">
        <f>HEX2DEC(RIGHT(Table132321432[[#This Row],[h1]],8))</f>
        <v>0</v>
      </c>
      <c r="Q584" s="54" t="s">
        <v>149</v>
      </c>
      <c r="R584" s="54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4" t="s">
        <v>149</v>
      </c>
      <c r="P585" s="54">
        <f>HEX2DEC(RIGHT(Table132321432[[#This Row],[h1]],8))</f>
        <v>0</v>
      </c>
      <c r="Q585" s="54" t="s">
        <v>149</v>
      </c>
      <c r="R585" s="54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4" t="s">
        <v>149</v>
      </c>
      <c r="P586" s="54">
        <f>HEX2DEC(RIGHT(Table132321432[[#This Row],[h1]],8))</f>
        <v>0</v>
      </c>
      <c r="Q586" s="54" t="s">
        <v>149</v>
      </c>
      <c r="R586" s="54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4" t="s">
        <v>149</v>
      </c>
      <c r="P587" s="54">
        <f>HEX2DEC(RIGHT(Table132321432[[#This Row],[h1]],8))</f>
        <v>0</v>
      </c>
      <c r="Q587" s="54" t="s">
        <v>149</v>
      </c>
      <c r="R587" s="54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4" t="s">
        <v>149</v>
      </c>
      <c r="P588" s="54">
        <f>HEX2DEC(RIGHT(Table132321432[[#This Row],[h1]],8))</f>
        <v>0</v>
      </c>
      <c r="Q588" s="54" t="s">
        <v>149</v>
      </c>
      <c r="R588" s="54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4" t="s">
        <v>149</v>
      </c>
      <c r="P589" s="54">
        <f>HEX2DEC(RIGHT(Table132321432[[#This Row],[h1]],8))</f>
        <v>0</v>
      </c>
      <c r="Q589" s="54" t="s">
        <v>149</v>
      </c>
      <c r="R589" s="54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4" t="s">
        <v>149</v>
      </c>
      <c r="P590" s="54">
        <f>HEX2DEC(RIGHT(Table132321432[[#This Row],[h1]],8))</f>
        <v>0</v>
      </c>
      <c r="Q590" s="54" t="s">
        <v>149</v>
      </c>
      <c r="R590" s="54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4" t="s">
        <v>149</v>
      </c>
      <c r="P591" s="54">
        <f>HEX2DEC(RIGHT(Table132321432[[#This Row],[h1]],8))</f>
        <v>0</v>
      </c>
      <c r="Q591" s="54" t="s">
        <v>149</v>
      </c>
      <c r="R591" s="54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4" t="s">
        <v>149</v>
      </c>
      <c r="P592" s="54">
        <f>HEX2DEC(RIGHT(Table132321432[[#This Row],[h1]],8))</f>
        <v>0</v>
      </c>
      <c r="Q592" s="54" t="s">
        <v>149</v>
      </c>
      <c r="R592" s="54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4" t="s">
        <v>149</v>
      </c>
      <c r="P593" s="54">
        <f>HEX2DEC(RIGHT(Table132321432[[#This Row],[h1]],8))</f>
        <v>0</v>
      </c>
      <c r="Q593" s="54" t="s">
        <v>149</v>
      </c>
      <c r="R593" s="54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4" t="s">
        <v>149</v>
      </c>
      <c r="P594" s="54">
        <f>HEX2DEC(RIGHT(Table132321432[[#This Row],[h1]],8))</f>
        <v>0</v>
      </c>
      <c r="Q594" s="54" t="s">
        <v>149</v>
      </c>
      <c r="R594" s="54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4" t="s">
        <v>149</v>
      </c>
      <c r="P595" s="54">
        <f>HEX2DEC(RIGHT(Table132321432[[#This Row],[h1]],8))</f>
        <v>0</v>
      </c>
      <c r="Q595" s="54" t="s">
        <v>149</v>
      </c>
      <c r="R595" s="54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4" t="s">
        <v>149</v>
      </c>
      <c r="P596" s="54">
        <f>HEX2DEC(RIGHT(Table132321432[[#This Row],[h1]],8))</f>
        <v>0</v>
      </c>
      <c r="Q596" s="54" t="s">
        <v>149</v>
      </c>
      <c r="R596" s="54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4" t="s">
        <v>149</v>
      </c>
      <c r="P597" s="54">
        <f>HEX2DEC(RIGHT(Table132321432[[#This Row],[h1]],8))</f>
        <v>0</v>
      </c>
      <c r="Q597" s="54" t="s">
        <v>149</v>
      </c>
      <c r="R597" s="54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4" t="s">
        <v>149</v>
      </c>
      <c r="P598" s="54">
        <f>HEX2DEC(RIGHT(Table132321432[[#This Row],[h1]],8))</f>
        <v>0</v>
      </c>
      <c r="Q598" s="54" t="s">
        <v>149</v>
      </c>
      <c r="R598" s="54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4" t="s">
        <v>149</v>
      </c>
      <c r="P599" s="54">
        <f>HEX2DEC(RIGHT(Table132321432[[#This Row],[h1]],8))</f>
        <v>0</v>
      </c>
      <c r="Q599" s="54" t="s">
        <v>149</v>
      </c>
      <c r="R599" s="54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4" t="s">
        <v>149</v>
      </c>
      <c r="P600" s="54">
        <f>HEX2DEC(RIGHT(Table132321432[[#This Row],[h1]],8))</f>
        <v>0</v>
      </c>
      <c r="Q600" s="54" t="s">
        <v>149</v>
      </c>
      <c r="R600" s="54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4" t="s">
        <v>149</v>
      </c>
      <c r="P601" s="54">
        <f>HEX2DEC(RIGHT(Table132321432[[#This Row],[h1]],8))</f>
        <v>0</v>
      </c>
      <c r="Q601" s="54" t="s">
        <v>149</v>
      </c>
      <c r="R601" s="54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4" t="s">
        <v>149</v>
      </c>
      <c r="P602" s="54">
        <f>HEX2DEC(RIGHT(Table132321432[[#This Row],[h1]],8))</f>
        <v>0</v>
      </c>
      <c r="Q602" s="54" t="s">
        <v>149</v>
      </c>
      <c r="R602" s="54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4" t="s">
        <v>149</v>
      </c>
      <c r="P603" s="54">
        <f>HEX2DEC(RIGHT(Table132321432[[#This Row],[h1]],8))</f>
        <v>0</v>
      </c>
      <c r="Q603" s="54" t="s">
        <v>149</v>
      </c>
      <c r="R603" s="54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4" t="s">
        <v>149</v>
      </c>
      <c r="P604" s="54">
        <f>HEX2DEC(RIGHT(Table132321432[[#This Row],[h1]],8))</f>
        <v>0</v>
      </c>
      <c r="Q604" s="54" t="s">
        <v>149</v>
      </c>
      <c r="R604" s="54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4" t="s">
        <v>149</v>
      </c>
      <c r="P605" s="54">
        <f>HEX2DEC(RIGHT(Table132321432[[#This Row],[h1]],8))</f>
        <v>0</v>
      </c>
      <c r="Q605" s="54" t="s">
        <v>149</v>
      </c>
      <c r="R605" s="54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4" t="s">
        <v>149</v>
      </c>
      <c r="P606" s="54">
        <f>HEX2DEC(RIGHT(Table132321432[[#This Row],[h1]],8))</f>
        <v>0</v>
      </c>
      <c r="Q606" s="54" t="s">
        <v>149</v>
      </c>
      <c r="R606" s="54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4" t="s">
        <v>149</v>
      </c>
      <c r="P607" s="54">
        <f>HEX2DEC(RIGHT(Table132321432[[#This Row],[h1]],8))</f>
        <v>0</v>
      </c>
      <c r="Q607" s="54" t="s">
        <v>149</v>
      </c>
      <c r="R607" s="54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4" t="s">
        <v>149</v>
      </c>
      <c r="P608" s="54">
        <f>HEX2DEC(RIGHT(Table132321432[[#This Row],[h1]],8))</f>
        <v>0</v>
      </c>
      <c r="Q608" s="54" t="s">
        <v>149</v>
      </c>
      <c r="R608" s="54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4" t="s">
        <v>149</v>
      </c>
      <c r="P609" s="54">
        <f>HEX2DEC(RIGHT(Table132321432[[#This Row],[h1]],8))</f>
        <v>0</v>
      </c>
      <c r="Q609" s="54" t="s">
        <v>149</v>
      </c>
      <c r="R609" s="54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4" t="s">
        <v>149</v>
      </c>
      <c r="P610" s="54">
        <f>HEX2DEC(RIGHT(Table132321432[[#This Row],[h1]],8))</f>
        <v>0</v>
      </c>
      <c r="Q610" s="54" t="s">
        <v>149</v>
      </c>
      <c r="R610" s="54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4" t="s">
        <v>149</v>
      </c>
      <c r="P611" s="54">
        <f>HEX2DEC(RIGHT(Table132321432[[#This Row],[h1]],8))</f>
        <v>0</v>
      </c>
      <c r="Q611" s="54" t="s">
        <v>149</v>
      </c>
      <c r="R611" s="54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4" t="s">
        <v>149</v>
      </c>
      <c r="P612" s="54">
        <f>HEX2DEC(RIGHT(Table132321432[[#This Row],[h1]],8))</f>
        <v>0</v>
      </c>
      <c r="Q612" s="54" t="s">
        <v>149</v>
      </c>
      <c r="R612" s="54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4" t="s">
        <v>149</v>
      </c>
      <c r="P613" s="54">
        <f>HEX2DEC(RIGHT(Table132321432[[#This Row],[h1]],8))</f>
        <v>0</v>
      </c>
      <c r="Q613" s="54" t="s">
        <v>149</v>
      </c>
      <c r="R613" s="54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4" t="s">
        <v>149</v>
      </c>
      <c r="P614" s="54">
        <f>HEX2DEC(RIGHT(Table132321432[[#This Row],[h1]],8))</f>
        <v>0</v>
      </c>
      <c r="Q614" s="54" t="s">
        <v>149</v>
      </c>
      <c r="R614" s="54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4" t="s">
        <v>149</v>
      </c>
      <c r="P615" s="54">
        <f>HEX2DEC(RIGHT(Table132321432[[#This Row],[h1]],8))</f>
        <v>0</v>
      </c>
      <c r="Q615" s="54" t="s">
        <v>149</v>
      </c>
      <c r="R615" s="54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4" t="s">
        <v>149</v>
      </c>
      <c r="P616" s="54">
        <f>HEX2DEC(RIGHT(Table132321432[[#This Row],[h1]],8))</f>
        <v>0</v>
      </c>
      <c r="Q616" s="54" t="s">
        <v>149</v>
      </c>
      <c r="R616" s="54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4" t="s">
        <v>149</v>
      </c>
      <c r="P617" s="54">
        <f>HEX2DEC(RIGHT(Table132321432[[#This Row],[h1]],8))</f>
        <v>0</v>
      </c>
      <c r="Q617" s="54" t="s">
        <v>149</v>
      </c>
      <c r="R617" s="54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4" t="s">
        <v>149</v>
      </c>
      <c r="P618" s="54">
        <f>HEX2DEC(RIGHT(Table132321432[[#This Row],[h1]],8))</f>
        <v>0</v>
      </c>
      <c r="Q618" s="54" t="s">
        <v>149</v>
      </c>
      <c r="R618" s="54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4" t="s">
        <v>149</v>
      </c>
      <c r="P619" s="54">
        <f>HEX2DEC(RIGHT(Table132321432[[#This Row],[h1]],8))</f>
        <v>0</v>
      </c>
      <c r="Q619" s="54" t="s">
        <v>149</v>
      </c>
      <c r="R619" s="54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4" t="s">
        <v>149</v>
      </c>
      <c r="P620" s="54">
        <f>HEX2DEC(RIGHT(Table132321432[[#This Row],[h1]],8))</f>
        <v>0</v>
      </c>
      <c r="Q620" s="54" t="s">
        <v>149</v>
      </c>
      <c r="R620" s="54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4" t="s">
        <v>149</v>
      </c>
      <c r="P621" s="54">
        <f>HEX2DEC(RIGHT(Table132321432[[#This Row],[h1]],8))</f>
        <v>0</v>
      </c>
      <c r="Q621" s="54" t="s">
        <v>149</v>
      </c>
      <c r="R621" s="54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4" t="s">
        <v>149</v>
      </c>
      <c r="P622" s="54">
        <f>HEX2DEC(RIGHT(Table132321432[[#This Row],[h1]],8))</f>
        <v>0</v>
      </c>
      <c r="Q622" s="54" t="s">
        <v>149</v>
      </c>
      <c r="R622" s="54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4" t="s">
        <v>149</v>
      </c>
      <c r="P623" s="54">
        <f>HEX2DEC(RIGHT(Table132321432[[#This Row],[h1]],8))</f>
        <v>0</v>
      </c>
      <c r="Q623" s="54" t="s">
        <v>149</v>
      </c>
      <c r="R623" s="54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4" t="s">
        <v>149</v>
      </c>
      <c r="P624" s="54">
        <f>HEX2DEC(RIGHT(Table132321432[[#This Row],[h1]],8))</f>
        <v>0</v>
      </c>
      <c r="Q624" s="54" t="s">
        <v>149</v>
      </c>
      <c r="R624" s="54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4" t="s">
        <v>149</v>
      </c>
      <c r="P625" s="54">
        <f>HEX2DEC(RIGHT(Table132321432[[#This Row],[h1]],8))</f>
        <v>0</v>
      </c>
      <c r="Q625" s="54" t="s">
        <v>149</v>
      </c>
      <c r="R625" s="54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4" t="s">
        <v>149</v>
      </c>
      <c r="P626" s="54">
        <f>HEX2DEC(RIGHT(Table132321432[[#This Row],[h1]],8))</f>
        <v>0</v>
      </c>
      <c r="Q626" s="54" t="s">
        <v>149</v>
      </c>
      <c r="R626" s="54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4" t="s">
        <v>149</v>
      </c>
      <c r="P627" s="54">
        <f>HEX2DEC(RIGHT(Table132321432[[#This Row],[h1]],8))</f>
        <v>0</v>
      </c>
      <c r="Q627" s="54" t="s">
        <v>149</v>
      </c>
      <c r="R627" s="54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4" t="s">
        <v>149</v>
      </c>
      <c r="P628" s="54">
        <f>HEX2DEC(RIGHT(Table132321432[[#This Row],[h1]],8))</f>
        <v>0</v>
      </c>
      <c r="Q628" s="54" t="s">
        <v>149</v>
      </c>
      <c r="R628" s="54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4" t="s">
        <v>149</v>
      </c>
      <c r="P629" s="54">
        <f>HEX2DEC(RIGHT(Table132321432[[#This Row],[h1]],8))</f>
        <v>0</v>
      </c>
      <c r="Q629" s="54" t="s">
        <v>149</v>
      </c>
      <c r="R629" s="54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4" t="s">
        <v>149</v>
      </c>
      <c r="P630" s="54">
        <f>HEX2DEC(RIGHT(Table132321432[[#This Row],[h1]],8))</f>
        <v>0</v>
      </c>
      <c r="Q630" s="54" t="s">
        <v>149</v>
      </c>
      <c r="R630" s="54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4" t="s">
        <v>149</v>
      </c>
      <c r="P631" s="54">
        <f>HEX2DEC(RIGHT(Table132321432[[#This Row],[h1]],8))</f>
        <v>0</v>
      </c>
      <c r="Q631" s="54" t="s">
        <v>149</v>
      </c>
      <c r="R631" s="54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4" t="s">
        <v>149</v>
      </c>
      <c r="P632" s="54">
        <f>HEX2DEC(RIGHT(Table132321432[[#This Row],[h1]],8))</f>
        <v>0</v>
      </c>
      <c r="Q632" s="54" t="s">
        <v>149</v>
      </c>
      <c r="R632" s="54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4" t="s">
        <v>149</v>
      </c>
      <c r="P633" s="54">
        <f>HEX2DEC(RIGHT(Table132321432[[#This Row],[h1]],8))</f>
        <v>0</v>
      </c>
      <c r="Q633" s="54" t="s">
        <v>149</v>
      </c>
      <c r="R633" s="54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4" t="s">
        <v>149</v>
      </c>
      <c r="P634" s="54">
        <f>HEX2DEC(RIGHT(Table132321432[[#This Row],[h1]],8))</f>
        <v>0</v>
      </c>
      <c r="Q634" s="54" t="s">
        <v>149</v>
      </c>
      <c r="R634" s="54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4" t="s">
        <v>149</v>
      </c>
      <c r="P635" s="54">
        <f>HEX2DEC(RIGHT(Table132321432[[#This Row],[h1]],8))</f>
        <v>0</v>
      </c>
      <c r="Q635" s="54" t="s">
        <v>149</v>
      </c>
      <c r="R635" s="54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4" t="s">
        <v>149</v>
      </c>
      <c r="P636" s="54">
        <f>HEX2DEC(RIGHT(Table132321432[[#This Row],[h1]],8))</f>
        <v>0</v>
      </c>
      <c r="Q636" s="54" t="s">
        <v>149</v>
      </c>
      <c r="R636" s="54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4" t="s">
        <v>149</v>
      </c>
      <c r="P637" s="54">
        <f>HEX2DEC(RIGHT(Table132321432[[#This Row],[h1]],8))</f>
        <v>0</v>
      </c>
      <c r="Q637" s="54" t="s">
        <v>149</v>
      </c>
      <c r="R637" s="54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4" t="s">
        <v>149</v>
      </c>
      <c r="P638" s="54">
        <f>HEX2DEC(RIGHT(Table132321432[[#This Row],[h1]],8))</f>
        <v>0</v>
      </c>
      <c r="Q638" s="54" t="s">
        <v>149</v>
      </c>
      <c r="R638" s="54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4" t="s">
        <v>149</v>
      </c>
      <c r="P639" s="54">
        <f>HEX2DEC(RIGHT(Table132321432[[#This Row],[h1]],8))</f>
        <v>0</v>
      </c>
      <c r="Q639" s="54" t="s">
        <v>149</v>
      </c>
      <c r="R639" s="54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4" t="s">
        <v>149</v>
      </c>
      <c r="P640" s="54">
        <f>HEX2DEC(RIGHT(Table132321432[[#This Row],[h1]],8))</f>
        <v>0</v>
      </c>
      <c r="Q640" s="54" t="s">
        <v>149</v>
      </c>
      <c r="R640" s="54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4" t="s">
        <v>149</v>
      </c>
      <c r="P641" s="54">
        <f>HEX2DEC(RIGHT(Table132321432[[#This Row],[h1]],8))</f>
        <v>0</v>
      </c>
      <c r="Q641" s="54" t="s">
        <v>149</v>
      </c>
      <c r="R641" s="54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4" t="s">
        <v>149</v>
      </c>
      <c r="P642" s="54">
        <f>HEX2DEC(RIGHT(Table132321432[[#This Row],[h1]],8))</f>
        <v>0</v>
      </c>
      <c r="Q642" s="54" t="s">
        <v>149</v>
      </c>
      <c r="R642" s="54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4" t="s">
        <v>149</v>
      </c>
      <c r="P643" s="54">
        <f>HEX2DEC(RIGHT(Table132321432[[#This Row],[h1]],8))</f>
        <v>0</v>
      </c>
      <c r="Q643" s="54" t="s">
        <v>149</v>
      </c>
      <c r="R643" s="54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4" t="s">
        <v>149</v>
      </c>
      <c r="P644" s="54">
        <f>HEX2DEC(RIGHT(Table132321432[[#This Row],[h1]],8))</f>
        <v>0</v>
      </c>
      <c r="Q644" s="54" t="s">
        <v>149</v>
      </c>
      <c r="R644" s="54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4" t="s">
        <v>149</v>
      </c>
      <c r="P645" s="54">
        <f>HEX2DEC(RIGHT(Table132321432[[#This Row],[h1]],8))</f>
        <v>0</v>
      </c>
      <c r="Q645" s="54" t="s">
        <v>149</v>
      </c>
      <c r="R645" s="54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4" t="s">
        <v>149</v>
      </c>
      <c r="P646" s="54">
        <f>HEX2DEC(RIGHT(Table132321432[[#This Row],[h1]],8))</f>
        <v>0</v>
      </c>
      <c r="Q646" s="54" t="s">
        <v>149</v>
      </c>
      <c r="R646" s="54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4" t="s">
        <v>149</v>
      </c>
      <c r="P647" s="54">
        <f>HEX2DEC(RIGHT(Table132321432[[#This Row],[h1]],8))</f>
        <v>0</v>
      </c>
      <c r="Q647" s="54" t="s">
        <v>149</v>
      </c>
      <c r="R647" s="54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4" t="s">
        <v>149</v>
      </c>
      <c r="P648" s="54">
        <f>HEX2DEC(RIGHT(Table132321432[[#This Row],[h1]],8))</f>
        <v>0</v>
      </c>
      <c r="Q648" s="54" t="s">
        <v>149</v>
      </c>
      <c r="R648" s="54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4" t="s">
        <v>149</v>
      </c>
      <c r="P649" s="54">
        <f>HEX2DEC(RIGHT(Table132321432[[#This Row],[h1]],8))</f>
        <v>0</v>
      </c>
      <c r="Q649" s="54" t="s">
        <v>149</v>
      </c>
      <c r="R649" s="54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4" t="s">
        <v>149</v>
      </c>
      <c r="P650" s="54">
        <f>HEX2DEC(RIGHT(Table132321432[[#This Row],[h1]],8))</f>
        <v>0</v>
      </c>
      <c r="Q650" s="54" t="s">
        <v>149</v>
      </c>
      <c r="R650" s="54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4" t="s">
        <v>149</v>
      </c>
      <c r="P651" s="54">
        <f>HEX2DEC(RIGHT(Table132321432[[#This Row],[h1]],8))</f>
        <v>0</v>
      </c>
      <c r="Q651" s="54" t="s">
        <v>149</v>
      </c>
      <c r="R651" s="54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4" t="s">
        <v>149</v>
      </c>
      <c r="P652" s="54">
        <f>HEX2DEC(RIGHT(Table132321432[[#This Row],[h1]],8))</f>
        <v>0</v>
      </c>
      <c r="Q652" s="54" t="s">
        <v>149</v>
      </c>
      <c r="R652" s="54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4" t="s">
        <v>149</v>
      </c>
      <c r="P653" s="54">
        <f>HEX2DEC(RIGHT(Table132321432[[#This Row],[h1]],8))</f>
        <v>0</v>
      </c>
      <c r="Q653" s="54" t="s">
        <v>149</v>
      </c>
      <c r="R653" s="54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4" t="s">
        <v>149</v>
      </c>
      <c r="P654" s="54">
        <f>HEX2DEC(RIGHT(Table132321432[[#This Row],[h1]],8))</f>
        <v>0</v>
      </c>
      <c r="Q654" s="54" t="s">
        <v>149</v>
      </c>
      <c r="R654" s="54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4" t="s">
        <v>149</v>
      </c>
      <c r="P655" s="54">
        <f>HEX2DEC(RIGHT(Table132321432[[#This Row],[h1]],8))</f>
        <v>0</v>
      </c>
      <c r="Q655" s="54" t="s">
        <v>149</v>
      </c>
      <c r="R655" s="54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4" t="s">
        <v>149</v>
      </c>
      <c r="P656" s="54">
        <f>HEX2DEC(RIGHT(Table132321432[[#This Row],[h1]],8))</f>
        <v>0</v>
      </c>
      <c r="Q656" s="54" t="s">
        <v>149</v>
      </c>
      <c r="R656" s="54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4" t="s">
        <v>149</v>
      </c>
      <c r="P657" s="54">
        <f>HEX2DEC(RIGHT(Table132321432[[#This Row],[h1]],8))</f>
        <v>0</v>
      </c>
      <c r="Q657" s="54" t="s">
        <v>149</v>
      </c>
      <c r="R657" s="54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4" t="s">
        <v>149</v>
      </c>
      <c r="P658" s="54">
        <f>HEX2DEC(RIGHT(Table132321432[[#This Row],[h1]],8))</f>
        <v>0</v>
      </c>
      <c r="Q658" s="54" t="s">
        <v>149</v>
      </c>
      <c r="R658" s="54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4" t="s">
        <v>149</v>
      </c>
      <c r="P659" s="54">
        <f>HEX2DEC(RIGHT(Table132321432[[#This Row],[h1]],8))</f>
        <v>0</v>
      </c>
      <c r="Q659" s="54" t="s">
        <v>149</v>
      </c>
      <c r="R659" s="54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4" t="s">
        <v>149</v>
      </c>
      <c r="P660" s="54">
        <f>HEX2DEC(RIGHT(Table132321432[[#This Row],[h1]],8))</f>
        <v>0</v>
      </c>
      <c r="Q660" s="54" t="s">
        <v>149</v>
      </c>
      <c r="R660" s="54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4" t="s">
        <v>149</v>
      </c>
      <c r="P661" s="54">
        <f>HEX2DEC(RIGHT(Table132321432[[#This Row],[h1]],8))</f>
        <v>0</v>
      </c>
      <c r="Q661" s="54" t="s">
        <v>149</v>
      </c>
      <c r="R661" s="54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4" t="s">
        <v>149</v>
      </c>
      <c r="P662" s="54">
        <f>HEX2DEC(RIGHT(Table132321432[[#This Row],[h1]],8))</f>
        <v>0</v>
      </c>
      <c r="Q662" s="54" t="s">
        <v>149</v>
      </c>
      <c r="R662" s="54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4" t="s">
        <v>149</v>
      </c>
      <c r="P663" s="54">
        <f>HEX2DEC(RIGHT(Table132321432[[#This Row],[h1]],8))</f>
        <v>0</v>
      </c>
      <c r="Q663" s="54" t="s">
        <v>149</v>
      </c>
      <c r="R663" s="54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4" t="s">
        <v>149</v>
      </c>
      <c r="P664" s="54">
        <f>HEX2DEC(RIGHT(Table132321432[[#This Row],[h1]],8))</f>
        <v>0</v>
      </c>
      <c r="Q664" s="54" t="s">
        <v>149</v>
      </c>
      <c r="R664" s="54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4" t="s">
        <v>149</v>
      </c>
      <c r="P665" s="54">
        <f>HEX2DEC(RIGHT(Table132321432[[#This Row],[h1]],8))</f>
        <v>0</v>
      </c>
      <c r="Q665" s="54" t="s">
        <v>149</v>
      </c>
      <c r="R665" s="54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4" t="s">
        <v>149</v>
      </c>
      <c r="P666" s="54">
        <f>HEX2DEC(RIGHT(Table132321432[[#This Row],[h1]],8))</f>
        <v>0</v>
      </c>
      <c r="Q666" s="54" t="s">
        <v>149</v>
      </c>
      <c r="R666" s="54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4" t="s">
        <v>149</v>
      </c>
      <c r="P667" s="54">
        <f>HEX2DEC(RIGHT(Table132321432[[#This Row],[h1]],8))</f>
        <v>0</v>
      </c>
      <c r="Q667" s="54" t="s">
        <v>149</v>
      </c>
      <c r="R667" s="54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4" t="s">
        <v>149</v>
      </c>
      <c r="P668" s="54">
        <f>HEX2DEC(RIGHT(Table132321432[[#This Row],[h1]],8))</f>
        <v>0</v>
      </c>
      <c r="Q668" s="54" t="s">
        <v>149</v>
      </c>
      <c r="R668" s="54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4" t="s">
        <v>149</v>
      </c>
      <c r="P669" s="54">
        <f>HEX2DEC(RIGHT(Table132321432[[#This Row],[h1]],8))</f>
        <v>0</v>
      </c>
      <c r="Q669" s="54" t="s">
        <v>149</v>
      </c>
      <c r="R669" s="54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4" t="s">
        <v>149</v>
      </c>
      <c r="P670" s="54">
        <f>HEX2DEC(RIGHT(Table132321432[[#This Row],[h1]],8))</f>
        <v>0</v>
      </c>
      <c r="Q670" s="54" t="s">
        <v>149</v>
      </c>
      <c r="R670" s="54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4" t="s">
        <v>149</v>
      </c>
      <c r="P671" s="54">
        <f>HEX2DEC(RIGHT(Table132321432[[#This Row],[h1]],8))</f>
        <v>0</v>
      </c>
      <c r="Q671" s="54" t="s">
        <v>149</v>
      </c>
      <c r="R671" s="54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4" t="s">
        <v>149</v>
      </c>
      <c r="P672" s="54">
        <f>HEX2DEC(RIGHT(Table132321432[[#This Row],[h1]],8))</f>
        <v>0</v>
      </c>
      <c r="Q672" s="54" t="s">
        <v>149</v>
      </c>
      <c r="R672" s="54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4" t="s">
        <v>149</v>
      </c>
      <c r="P673" s="54">
        <f>HEX2DEC(RIGHT(Table132321432[[#This Row],[h1]],8))</f>
        <v>0</v>
      </c>
      <c r="Q673" s="54" t="s">
        <v>149</v>
      </c>
      <c r="R673" s="54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4" t="s">
        <v>149</v>
      </c>
      <c r="P674" s="54">
        <f>HEX2DEC(RIGHT(Table132321432[[#This Row],[h1]],8))</f>
        <v>0</v>
      </c>
      <c r="Q674" s="54" t="s">
        <v>149</v>
      </c>
      <c r="R674" s="54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4" t="s">
        <v>149</v>
      </c>
      <c r="P675" s="54">
        <f>HEX2DEC(RIGHT(Table132321432[[#This Row],[h1]],8))</f>
        <v>0</v>
      </c>
      <c r="Q675" s="54" t="s">
        <v>149</v>
      </c>
      <c r="R675" s="54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4" t="s">
        <v>149</v>
      </c>
      <c r="P676" s="54">
        <f>HEX2DEC(RIGHT(Table132321432[[#This Row],[h1]],8))</f>
        <v>0</v>
      </c>
      <c r="Q676" s="54" t="s">
        <v>149</v>
      </c>
      <c r="R676" s="54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4" t="s">
        <v>149</v>
      </c>
      <c r="P677" s="54">
        <f>HEX2DEC(RIGHT(Table132321432[[#This Row],[h1]],8))</f>
        <v>0</v>
      </c>
      <c r="Q677" s="54" t="s">
        <v>149</v>
      </c>
      <c r="R677" s="54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4" t="s">
        <v>149</v>
      </c>
      <c r="P678" s="54">
        <f>HEX2DEC(RIGHT(Table132321432[[#This Row],[h1]],8))</f>
        <v>0</v>
      </c>
      <c r="Q678" s="54" t="s">
        <v>149</v>
      </c>
      <c r="R678" s="54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4" t="s">
        <v>149</v>
      </c>
      <c r="P679" s="54">
        <f>HEX2DEC(RIGHT(Table132321432[[#This Row],[h1]],8))</f>
        <v>0</v>
      </c>
      <c r="Q679" s="54" t="s">
        <v>149</v>
      </c>
      <c r="R679" s="54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4" t="s">
        <v>149</v>
      </c>
      <c r="P680" s="54">
        <f>HEX2DEC(RIGHT(Table132321432[[#This Row],[h1]],8))</f>
        <v>0</v>
      </c>
      <c r="Q680" s="54" t="s">
        <v>149</v>
      </c>
      <c r="R680" s="54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4" t="s">
        <v>149</v>
      </c>
      <c r="P681" s="54">
        <f>HEX2DEC(RIGHT(Table132321432[[#This Row],[h1]],8))</f>
        <v>0</v>
      </c>
      <c r="Q681" s="54" t="s">
        <v>149</v>
      </c>
      <c r="R681" s="54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4" t="s">
        <v>149</v>
      </c>
      <c r="P682" s="54">
        <f>HEX2DEC(RIGHT(Table132321432[[#This Row],[h1]],8))</f>
        <v>0</v>
      </c>
      <c r="Q682" s="54" t="s">
        <v>149</v>
      </c>
      <c r="R682" s="54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4" t="s">
        <v>149</v>
      </c>
      <c r="P683" s="54">
        <f>HEX2DEC(RIGHT(Table132321432[[#This Row],[h1]],8))</f>
        <v>0</v>
      </c>
      <c r="Q683" s="54" t="s">
        <v>149</v>
      </c>
      <c r="R683" s="54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4" t="s">
        <v>149</v>
      </c>
      <c r="P684" s="54">
        <f>HEX2DEC(RIGHT(Table132321432[[#This Row],[h1]],8))</f>
        <v>0</v>
      </c>
      <c r="Q684" s="54" t="s">
        <v>149</v>
      </c>
      <c r="R684" s="54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4" t="s">
        <v>149</v>
      </c>
      <c r="P685" s="54">
        <f>HEX2DEC(RIGHT(Table132321432[[#This Row],[h1]],8))</f>
        <v>0</v>
      </c>
      <c r="Q685" s="54" t="s">
        <v>149</v>
      </c>
      <c r="R685" s="54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4" t="s">
        <v>149</v>
      </c>
      <c r="P686" s="54">
        <f>HEX2DEC(RIGHT(Table132321432[[#This Row],[h1]],8))</f>
        <v>0</v>
      </c>
      <c r="Q686" s="54" t="s">
        <v>149</v>
      </c>
      <c r="R686" s="54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4" t="s">
        <v>149</v>
      </c>
      <c r="P687" s="54">
        <f>HEX2DEC(RIGHT(Table132321432[[#This Row],[h1]],8))</f>
        <v>0</v>
      </c>
      <c r="Q687" s="54" t="s">
        <v>149</v>
      </c>
      <c r="R687" s="54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4" t="s">
        <v>149</v>
      </c>
      <c r="P688" s="54">
        <f>HEX2DEC(RIGHT(Table132321432[[#This Row],[h1]],8))</f>
        <v>0</v>
      </c>
      <c r="Q688" s="54" t="s">
        <v>149</v>
      </c>
      <c r="R688" s="54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4" t="s">
        <v>149</v>
      </c>
      <c r="P689" s="54">
        <f>HEX2DEC(RIGHT(Table132321432[[#This Row],[h1]],8))</f>
        <v>0</v>
      </c>
      <c r="Q689" s="54" t="s">
        <v>149</v>
      </c>
      <c r="R689" s="54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4" t="s">
        <v>149</v>
      </c>
      <c r="P690" s="54">
        <f>HEX2DEC(RIGHT(Table132321432[[#This Row],[h1]],8))</f>
        <v>0</v>
      </c>
      <c r="Q690" s="54" t="s">
        <v>149</v>
      </c>
      <c r="R690" s="54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4" t="s">
        <v>149</v>
      </c>
      <c r="P691" s="54">
        <f>HEX2DEC(RIGHT(Table132321432[[#This Row],[h1]],8))</f>
        <v>0</v>
      </c>
      <c r="Q691" s="54" t="s">
        <v>149</v>
      </c>
      <c r="R691" s="54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4" t="s">
        <v>149</v>
      </c>
      <c r="P692" s="54">
        <f>HEX2DEC(RIGHT(Table132321432[[#This Row],[h1]],8))</f>
        <v>0</v>
      </c>
      <c r="Q692" s="54" t="s">
        <v>149</v>
      </c>
      <c r="R692" s="54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4" t="s">
        <v>149</v>
      </c>
      <c r="P693" s="54">
        <f>HEX2DEC(RIGHT(Table132321432[[#This Row],[h1]],8))</f>
        <v>0</v>
      </c>
      <c r="Q693" s="54" t="s">
        <v>149</v>
      </c>
      <c r="R693" s="54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4" t="s">
        <v>149</v>
      </c>
      <c r="P694" s="54">
        <f>HEX2DEC(RIGHT(Table132321432[[#This Row],[h1]],8))</f>
        <v>0</v>
      </c>
      <c r="Q694" s="54" t="s">
        <v>149</v>
      </c>
      <c r="R694" s="54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4" t="s">
        <v>149</v>
      </c>
      <c r="P695" s="54">
        <f>HEX2DEC(RIGHT(Table132321432[[#This Row],[h1]],8))</f>
        <v>0</v>
      </c>
      <c r="Q695" s="54" t="s">
        <v>149</v>
      </c>
      <c r="R695" s="54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4" t="s">
        <v>149</v>
      </c>
      <c r="P696" s="54">
        <f>HEX2DEC(RIGHT(Table132321432[[#This Row],[h1]],8))</f>
        <v>0</v>
      </c>
      <c r="Q696" s="54" t="s">
        <v>149</v>
      </c>
      <c r="R696" s="54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4" t="s">
        <v>149</v>
      </c>
      <c r="P697" s="54">
        <f>HEX2DEC(RIGHT(Table132321432[[#This Row],[h1]],8))</f>
        <v>0</v>
      </c>
      <c r="Q697" s="54" t="s">
        <v>149</v>
      </c>
      <c r="R697" s="54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4" t="s">
        <v>149</v>
      </c>
      <c r="P698" s="54">
        <f>HEX2DEC(RIGHT(Table132321432[[#This Row],[h1]],8))</f>
        <v>0</v>
      </c>
      <c r="Q698" s="54" t="s">
        <v>149</v>
      </c>
      <c r="R698" s="54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4" t="s">
        <v>149</v>
      </c>
      <c r="P699" s="54">
        <f>HEX2DEC(RIGHT(Table132321432[[#This Row],[h1]],8))</f>
        <v>0</v>
      </c>
      <c r="Q699" s="54" t="s">
        <v>149</v>
      </c>
      <c r="R699" s="54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4" t="s">
        <v>149</v>
      </c>
      <c r="P700" s="54">
        <f>HEX2DEC(RIGHT(Table132321432[[#This Row],[h1]],8))</f>
        <v>0</v>
      </c>
      <c r="Q700" s="54" t="s">
        <v>149</v>
      </c>
      <c r="R700" s="54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4" t="s">
        <v>149</v>
      </c>
      <c r="P701" s="54">
        <f>HEX2DEC(RIGHT(Table132321432[[#This Row],[h1]],8))</f>
        <v>0</v>
      </c>
      <c r="Q701" s="54" t="s">
        <v>149</v>
      </c>
      <c r="R701" s="54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4" t="s">
        <v>149</v>
      </c>
      <c r="P702" s="54">
        <f>HEX2DEC(RIGHT(Table132321432[[#This Row],[h1]],8))</f>
        <v>0</v>
      </c>
      <c r="Q702" s="54" t="s">
        <v>149</v>
      </c>
      <c r="R702" s="54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4" t="s">
        <v>149</v>
      </c>
      <c r="P703" s="54">
        <f>HEX2DEC(RIGHT(Table132321432[[#This Row],[h1]],8))</f>
        <v>0</v>
      </c>
      <c r="Q703" s="54" t="s">
        <v>149</v>
      </c>
      <c r="R703" s="54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4" t="s">
        <v>149</v>
      </c>
      <c r="P704" s="54">
        <f>HEX2DEC(RIGHT(Table132321432[[#This Row],[h1]],8))</f>
        <v>0</v>
      </c>
      <c r="Q704" s="54" t="s">
        <v>149</v>
      </c>
      <c r="R704" s="54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4" t="s">
        <v>149</v>
      </c>
      <c r="P705" s="54">
        <f>HEX2DEC(RIGHT(Table132321432[[#This Row],[h1]],8))</f>
        <v>0</v>
      </c>
      <c r="Q705" s="54" t="s">
        <v>149</v>
      </c>
      <c r="R705" s="54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4" t="s">
        <v>149</v>
      </c>
      <c r="P706" s="54">
        <f>HEX2DEC(RIGHT(Table132321432[[#This Row],[h1]],8))</f>
        <v>0</v>
      </c>
      <c r="Q706" s="54" t="s">
        <v>149</v>
      </c>
      <c r="R706" s="54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4" t="s">
        <v>149</v>
      </c>
      <c r="P707" s="54">
        <f>HEX2DEC(RIGHT(Table132321432[[#This Row],[h1]],8))</f>
        <v>0</v>
      </c>
      <c r="Q707" s="54" t="s">
        <v>149</v>
      </c>
      <c r="R707" s="54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4" t="s">
        <v>149</v>
      </c>
      <c r="P708" s="54">
        <f>HEX2DEC(RIGHT(Table132321432[[#This Row],[h1]],8))</f>
        <v>0</v>
      </c>
      <c r="Q708" s="54" t="s">
        <v>149</v>
      </c>
      <c r="R708" s="54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4" t="s">
        <v>149</v>
      </c>
      <c r="P709" s="54">
        <f>HEX2DEC(RIGHT(Table132321432[[#This Row],[h1]],8))</f>
        <v>0</v>
      </c>
      <c r="Q709" s="54" t="s">
        <v>149</v>
      </c>
      <c r="R709" s="54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4" t="s">
        <v>149</v>
      </c>
      <c r="P710" s="54">
        <f>HEX2DEC(RIGHT(Table132321432[[#This Row],[h1]],8))</f>
        <v>0</v>
      </c>
      <c r="Q710" s="54" t="s">
        <v>149</v>
      </c>
      <c r="R710" s="54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4" t="s">
        <v>149</v>
      </c>
      <c r="P711" s="54">
        <f>HEX2DEC(RIGHT(Table132321432[[#This Row],[h1]],8))</f>
        <v>0</v>
      </c>
      <c r="Q711" s="54" t="s">
        <v>149</v>
      </c>
      <c r="R711" s="54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4" t="s">
        <v>149</v>
      </c>
      <c r="P712" s="54">
        <f>HEX2DEC(RIGHT(Table132321432[[#This Row],[h1]],8))</f>
        <v>0</v>
      </c>
      <c r="Q712" s="54" t="s">
        <v>149</v>
      </c>
      <c r="R712" s="54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4" t="s">
        <v>149</v>
      </c>
      <c r="P713" s="54">
        <f>HEX2DEC(RIGHT(Table132321432[[#This Row],[h1]],8))</f>
        <v>0</v>
      </c>
      <c r="Q713" s="54" t="s">
        <v>149</v>
      </c>
      <c r="R713" s="54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4" t="s">
        <v>149</v>
      </c>
      <c r="P714" s="54">
        <f>HEX2DEC(RIGHT(Table132321432[[#This Row],[h1]],8))</f>
        <v>0</v>
      </c>
      <c r="Q714" s="54" t="s">
        <v>149</v>
      </c>
      <c r="R714" s="54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4" t="s">
        <v>149</v>
      </c>
      <c r="P715" s="54">
        <f>HEX2DEC(RIGHT(Table132321432[[#This Row],[h1]],8))</f>
        <v>0</v>
      </c>
      <c r="Q715" s="54" t="s">
        <v>149</v>
      </c>
      <c r="R715" s="54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4" t="s">
        <v>149</v>
      </c>
      <c r="P716" s="54">
        <f>HEX2DEC(RIGHT(Table132321432[[#This Row],[h1]],8))</f>
        <v>0</v>
      </c>
      <c r="Q716" s="54" t="s">
        <v>149</v>
      </c>
      <c r="R716" s="54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4" t="s">
        <v>149</v>
      </c>
      <c r="P717" s="54">
        <f>HEX2DEC(RIGHT(Table132321432[[#This Row],[h1]],8))</f>
        <v>0</v>
      </c>
      <c r="Q717" s="54" t="s">
        <v>149</v>
      </c>
      <c r="R717" s="54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4" t="s">
        <v>149</v>
      </c>
      <c r="P718" s="54">
        <f>HEX2DEC(RIGHT(Table132321432[[#This Row],[h1]],8))</f>
        <v>0</v>
      </c>
      <c r="Q718" s="54" t="s">
        <v>149</v>
      </c>
      <c r="R718" s="54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4" t="s">
        <v>149</v>
      </c>
      <c r="P719" s="54">
        <f>HEX2DEC(RIGHT(Table132321432[[#This Row],[h1]],8))</f>
        <v>0</v>
      </c>
      <c r="Q719" s="54" t="s">
        <v>149</v>
      </c>
      <c r="R719" s="54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4" t="s">
        <v>149</v>
      </c>
      <c r="P720" s="54">
        <f>HEX2DEC(RIGHT(Table132321432[[#This Row],[h1]],8))</f>
        <v>0</v>
      </c>
      <c r="Q720" s="54" t="s">
        <v>149</v>
      </c>
      <c r="R720" s="54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4" t="s">
        <v>149</v>
      </c>
      <c r="P721" s="54">
        <f>HEX2DEC(RIGHT(Table132321432[[#This Row],[h1]],8))</f>
        <v>0</v>
      </c>
      <c r="Q721" s="54" t="s">
        <v>149</v>
      </c>
      <c r="R721" s="54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4" t="s">
        <v>149</v>
      </c>
      <c r="P722" s="54">
        <f>HEX2DEC(RIGHT(Table132321432[[#This Row],[h1]],8))</f>
        <v>0</v>
      </c>
      <c r="Q722" s="54" t="s">
        <v>149</v>
      </c>
      <c r="R722" s="54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4" t="s">
        <v>149</v>
      </c>
      <c r="P723" s="54">
        <f>HEX2DEC(RIGHT(Table132321432[[#This Row],[h1]],8))</f>
        <v>0</v>
      </c>
      <c r="Q723" s="54" t="s">
        <v>149</v>
      </c>
      <c r="R723" s="54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4" t="s">
        <v>149</v>
      </c>
      <c r="P724" s="54">
        <f>HEX2DEC(RIGHT(Table132321432[[#This Row],[h1]],8))</f>
        <v>0</v>
      </c>
      <c r="Q724" s="54" t="s">
        <v>149</v>
      </c>
      <c r="R724" s="54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4" t="s">
        <v>149</v>
      </c>
      <c r="P725" s="54">
        <f>HEX2DEC(RIGHT(Table132321432[[#This Row],[h1]],8))</f>
        <v>0</v>
      </c>
      <c r="Q725" s="54" t="s">
        <v>149</v>
      </c>
      <c r="R725" s="54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4" t="s">
        <v>149</v>
      </c>
      <c r="P726" s="54">
        <f>HEX2DEC(RIGHT(Table132321432[[#This Row],[h1]],8))</f>
        <v>0</v>
      </c>
      <c r="Q726" s="54" t="s">
        <v>149</v>
      </c>
      <c r="R726" s="54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4" t="s">
        <v>149</v>
      </c>
      <c r="P727" s="54">
        <f>HEX2DEC(RIGHT(Table132321432[[#This Row],[h1]],8))</f>
        <v>0</v>
      </c>
      <c r="Q727" s="54" t="s">
        <v>149</v>
      </c>
      <c r="R727" s="54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4" t="s">
        <v>149</v>
      </c>
      <c r="P728" s="54">
        <f>HEX2DEC(RIGHT(Table132321432[[#This Row],[h1]],8))</f>
        <v>0</v>
      </c>
      <c r="Q728" s="54" t="s">
        <v>149</v>
      </c>
      <c r="R728" s="54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4" t="s">
        <v>149</v>
      </c>
      <c r="P729" s="54">
        <f>HEX2DEC(RIGHT(Table132321432[[#This Row],[h1]],8))</f>
        <v>0</v>
      </c>
      <c r="Q729" s="54" t="s">
        <v>149</v>
      </c>
      <c r="R729" s="54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4" t="s">
        <v>149</v>
      </c>
      <c r="P730" s="54">
        <f>HEX2DEC(RIGHT(Table132321432[[#This Row],[h1]],8))</f>
        <v>0</v>
      </c>
      <c r="Q730" s="54" t="s">
        <v>149</v>
      </c>
      <c r="R730" s="54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4" t="s">
        <v>149</v>
      </c>
      <c r="P731" s="54">
        <f>HEX2DEC(RIGHT(Table132321432[[#This Row],[h1]],8))</f>
        <v>0</v>
      </c>
      <c r="Q731" s="54" t="s">
        <v>149</v>
      </c>
      <c r="R731" s="54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4" t="s">
        <v>149</v>
      </c>
      <c r="P732" s="54">
        <f>HEX2DEC(RIGHT(Table132321432[[#This Row],[h1]],8))</f>
        <v>0</v>
      </c>
      <c r="Q732" s="54" t="s">
        <v>149</v>
      </c>
      <c r="R732" s="54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4" t="s">
        <v>149</v>
      </c>
      <c r="P733" s="54">
        <f>HEX2DEC(RIGHT(Table132321432[[#This Row],[h1]],8))</f>
        <v>0</v>
      </c>
      <c r="Q733" s="54" t="s">
        <v>149</v>
      </c>
      <c r="R733" s="54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4" t="s">
        <v>149</v>
      </c>
      <c r="P734" s="54">
        <f>HEX2DEC(RIGHT(Table132321432[[#This Row],[h1]],8))</f>
        <v>0</v>
      </c>
      <c r="Q734" s="54" t="s">
        <v>149</v>
      </c>
      <c r="R734" s="54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4" t="s">
        <v>149</v>
      </c>
      <c r="P735" s="54">
        <f>HEX2DEC(RIGHT(Table132321432[[#This Row],[h1]],8))</f>
        <v>0</v>
      </c>
      <c r="Q735" s="54" t="s">
        <v>149</v>
      </c>
      <c r="R735" s="54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4" t="s">
        <v>149</v>
      </c>
      <c r="P736" s="54">
        <f>HEX2DEC(RIGHT(Table132321432[[#This Row],[h1]],8))</f>
        <v>0</v>
      </c>
      <c r="Q736" s="54" t="s">
        <v>149</v>
      </c>
      <c r="R736" s="54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4" t="s">
        <v>149</v>
      </c>
      <c r="P737" s="54">
        <f>HEX2DEC(RIGHT(Table132321432[[#This Row],[h1]],8))</f>
        <v>0</v>
      </c>
      <c r="Q737" s="54" t="s">
        <v>149</v>
      </c>
      <c r="R737" s="54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4" t="s">
        <v>149</v>
      </c>
      <c r="P738" s="54">
        <f>HEX2DEC(RIGHT(Table132321432[[#This Row],[h1]],8))</f>
        <v>0</v>
      </c>
      <c r="Q738" s="54" t="s">
        <v>149</v>
      </c>
      <c r="R738" s="54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4" t="s">
        <v>149</v>
      </c>
      <c r="P739" s="54">
        <f>HEX2DEC(RIGHT(Table132321432[[#This Row],[h1]],8))</f>
        <v>0</v>
      </c>
      <c r="Q739" s="54" t="s">
        <v>149</v>
      </c>
      <c r="R739" s="54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4" t="s">
        <v>149</v>
      </c>
      <c r="P740" s="54">
        <f>HEX2DEC(RIGHT(Table132321432[[#This Row],[h1]],8))</f>
        <v>0</v>
      </c>
      <c r="Q740" s="54" t="s">
        <v>149</v>
      </c>
      <c r="R740" s="54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4" t="s">
        <v>149</v>
      </c>
      <c r="P741" s="54">
        <f>HEX2DEC(RIGHT(Table132321432[[#This Row],[h1]],8))</f>
        <v>0</v>
      </c>
      <c r="Q741" s="54" t="s">
        <v>149</v>
      </c>
      <c r="R741" s="54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4" t="s">
        <v>149</v>
      </c>
      <c r="P742" s="54">
        <f>HEX2DEC(RIGHT(Table132321432[[#This Row],[h1]],8))</f>
        <v>0</v>
      </c>
      <c r="Q742" s="54" t="s">
        <v>149</v>
      </c>
      <c r="R742" s="54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4" t="s">
        <v>149</v>
      </c>
      <c r="P743" s="54">
        <f>HEX2DEC(RIGHT(Table132321432[[#This Row],[h1]],8))</f>
        <v>0</v>
      </c>
      <c r="Q743" s="54" t="s">
        <v>149</v>
      </c>
      <c r="R743" s="54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4" t="s">
        <v>149</v>
      </c>
      <c r="P744" s="54">
        <f>HEX2DEC(RIGHT(Table132321432[[#This Row],[h1]],8))</f>
        <v>0</v>
      </c>
      <c r="Q744" s="54" t="s">
        <v>149</v>
      </c>
      <c r="R744" s="54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4" t="s">
        <v>149</v>
      </c>
      <c r="P745" s="54">
        <f>HEX2DEC(RIGHT(Table132321432[[#This Row],[h1]],8))</f>
        <v>0</v>
      </c>
      <c r="Q745" s="54" t="s">
        <v>149</v>
      </c>
      <c r="R745" s="54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4" t="s">
        <v>149</v>
      </c>
      <c r="P746" s="54">
        <f>HEX2DEC(RIGHT(Table132321432[[#This Row],[h1]],8))</f>
        <v>0</v>
      </c>
      <c r="Q746" s="54" t="s">
        <v>149</v>
      </c>
      <c r="R746" s="54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4" t="s">
        <v>149</v>
      </c>
      <c r="P747" s="54">
        <f>HEX2DEC(RIGHT(Table132321432[[#This Row],[h1]],8))</f>
        <v>0</v>
      </c>
      <c r="Q747" s="54" t="s">
        <v>149</v>
      </c>
      <c r="R747" s="54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4" t="s">
        <v>149</v>
      </c>
      <c r="P748" s="54">
        <f>HEX2DEC(RIGHT(Table132321432[[#This Row],[h1]],8))</f>
        <v>0</v>
      </c>
      <c r="Q748" s="54" t="s">
        <v>149</v>
      </c>
      <c r="R748" s="54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4" t="s">
        <v>149</v>
      </c>
      <c r="P749" s="54">
        <f>HEX2DEC(RIGHT(Table132321432[[#This Row],[h1]],8))</f>
        <v>0</v>
      </c>
      <c r="Q749" s="54" t="s">
        <v>149</v>
      </c>
      <c r="R749" s="54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4" t="s">
        <v>149</v>
      </c>
      <c r="P750" s="54">
        <f>HEX2DEC(RIGHT(Table132321432[[#This Row],[h1]],8))</f>
        <v>0</v>
      </c>
      <c r="Q750" s="54" t="s">
        <v>149</v>
      </c>
      <c r="R750" s="54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4" t="s">
        <v>149</v>
      </c>
      <c r="P751" s="54">
        <f>HEX2DEC(RIGHT(Table132321432[[#This Row],[h1]],8))</f>
        <v>0</v>
      </c>
      <c r="Q751" s="54" t="s">
        <v>149</v>
      </c>
      <c r="R751" s="54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4" t="s">
        <v>149</v>
      </c>
      <c r="P752" s="54">
        <f>HEX2DEC(RIGHT(Table132321432[[#This Row],[h1]],8))</f>
        <v>0</v>
      </c>
      <c r="Q752" s="54" t="s">
        <v>149</v>
      </c>
      <c r="R752" s="54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4" t="s">
        <v>149</v>
      </c>
      <c r="P753" s="54">
        <f>HEX2DEC(RIGHT(Table132321432[[#This Row],[h1]],8))</f>
        <v>0</v>
      </c>
      <c r="Q753" s="54" t="s">
        <v>149</v>
      </c>
      <c r="R753" s="54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4" t="s">
        <v>149</v>
      </c>
      <c r="P754" s="54">
        <f>HEX2DEC(RIGHT(Table132321432[[#This Row],[h1]],8))</f>
        <v>0</v>
      </c>
      <c r="Q754" s="54" t="s">
        <v>149</v>
      </c>
      <c r="R754" s="54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4" t="s">
        <v>149</v>
      </c>
      <c r="P755" s="54">
        <f>HEX2DEC(RIGHT(Table132321432[[#This Row],[h1]],8))</f>
        <v>0</v>
      </c>
      <c r="Q755" s="54" t="s">
        <v>149</v>
      </c>
      <c r="R755" s="54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4" t="s">
        <v>149</v>
      </c>
      <c r="P756" s="54">
        <f>HEX2DEC(RIGHT(Table132321432[[#This Row],[h1]],8))</f>
        <v>0</v>
      </c>
      <c r="Q756" s="54" t="s">
        <v>149</v>
      </c>
      <c r="R756" s="54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4" t="s">
        <v>149</v>
      </c>
      <c r="P757" s="54">
        <f>HEX2DEC(RIGHT(Table132321432[[#This Row],[h1]],8))</f>
        <v>0</v>
      </c>
      <c r="Q757" s="54" t="s">
        <v>149</v>
      </c>
      <c r="R757" s="54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4" t="s">
        <v>149</v>
      </c>
      <c r="P758" s="54">
        <f>HEX2DEC(RIGHT(Table132321432[[#This Row],[h1]],8))</f>
        <v>0</v>
      </c>
      <c r="Q758" s="54" t="s">
        <v>149</v>
      </c>
      <c r="R758" s="54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4" t="s">
        <v>149</v>
      </c>
      <c r="P759" s="54">
        <f>HEX2DEC(RIGHT(Table132321432[[#This Row],[h1]],8))</f>
        <v>0</v>
      </c>
      <c r="Q759" s="54" t="s">
        <v>149</v>
      </c>
      <c r="R759" s="54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4" t="s">
        <v>149</v>
      </c>
      <c r="P760" s="54">
        <f>HEX2DEC(RIGHT(Table132321432[[#This Row],[h1]],8))</f>
        <v>0</v>
      </c>
      <c r="Q760" s="54" t="s">
        <v>149</v>
      </c>
      <c r="R760" s="54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4" t="s">
        <v>149</v>
      </c>
      <c r="P761" s="54">
        <f>HEX2DEC(RIGHT(Table132321432[[#This Row],[h1]],8))</f>
        <v>0</v>
      </c>
      <c r="Q761" s="54" t="s">
        <v>149</v>
      </c>
      <c r="R761" s="54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4" t="s">
        <v>149</v>
      </c>
      <c r="P762" s="54">
        <f>HEX2DEC(RIGHT(Table132321432[[#This Row],[h1]],8))</f>
        <v>0</v>
      </c>
      <c r="Q762" s="54" t="s">
        <v>149</v>
      </c>
      <c r="R762" s="54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4" t="s">
        <v>149</v>
      </c>
      <c r="P763" s="54">
        <f>HEX2DEC(RIGHT(Table132321432[[#This Row],[h1]],8))</f>
        <v>0</v>
      </c>
      <c r="Q763" s="54" t="s">
        <v>149</v>
      </c>
      <c r="R763" s="54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4" t="s">
        <v>149</v>
      </c>
      <c r="P764" s="54">
        <f>HEX2DEC(RIGHT(Table132321432[[#This Row],[h1]],8))</f>
        <v>0</v>
      </c>
      <c r="Q764" s="54" t="s">
        <v>149</v>
      </c>
      <c r="R764" s="54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4" t="s">
        <v>149</v>
      </c>
      <c r="P765" s="54">
        <f>HEX2DEC(RIGHT(Table132321432[[#This Row],[h1]],8))</f>
        <v>0</v>
      </c>
      <c r="Q765" s="54" t="s">
        <v>149</v>
      </c>
      <c r="R765" s="54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4" t="s">
        <v>149</v>
      </c>
      <c r="P766" s="54">
        <f>HEX2DEC(RIGHT(Table132321432[[#This Row],[h1]],8))</f>
        <v>0</v>
      </c>
      <c r="Q766" s="54" t="s">
        <v>149</v>
      </c>
      <c r="R766" s="54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4" t="s">
        <v>149</v>
      </c>
      <c r="P767" s="54">
        <f>HEX2DEC(RIGHT(Table132321432[[#This Row],[h1]],8))</f>
        <v>0</v>
      </c>
      <c r="Q767" s="54" t="s">
        <v>149</v>
      </c>
      <c r="R767" s="54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4" t="s">
        <v>149</v>
      </c>
      <c r="P768" s="54">
        <f>HEX2DEC(RIGHT(Table132321432[[#This Row],[h1]],8))</f>
        <v>0</v>
      </c>
      <c r="Q768" s="54" t="s">
        <v>149</v>
      </c>
      <c r="R768" s="54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4" t="s">
        <v>149</v>
      </c>
      <c r="P769" s="54">
        <f>HEX2DEC(RIGHT(Table132321432[[#This Row],[h1]],8))</f>
        <v>0</v>
      </c>
      <c r="Q769" s="54" t="s">
        <v>149</v>
      </c>
      <c r="R769" s="54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4" t="s">
        <v>149</v>
      </c>
      <c r="P770" s="54">
        <f>HEX2DEC(RIGHT(Table132321432[[#This Row],[h1]],8))</f>
        <v>0</v>
      </c>
      <c r="Q770" s="54" t="s">
        <v>149</v>
      </c>
      <c r="R770" s="54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4" t="s">
        <v>149</v>
      </c>
      <c r="P771" s="54">
        <f>HEX2DEC(RIGHT(Table132321432[[#This Row],[h1]],8))</f>
        <v>0</v>
      </c>
      <c r="Q771" s="54" t="s">
        <v>149</v>
      </c>
      <c r="R771" s="54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4" t="s">
        <v>149</v>
      </c>
      <c r="P772" s="54">
        <f>HEX2DEC(RIGHT(Table132321432[[#This Row],[h1]],8))</f>
        <v>0</v>
      </c>
      <c r="Q772" s="54" t="s">
        <v>149</v>
      </c>
      <c r="R772" s="54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4" t="s">
        <v>149</v>
      </c>
      <c r="P773" s="54">
        <f>HEX2DEC(RIGHT(Table132321432[[#This Row],[h1]],8))</f>
        <v>0</v>
      </c>
      <c r="Q773" s="54" t="s">
        <v>149</v>
      </c>
      <c r="R773" s="54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4" t="s">
        <v>149</v>
      </c>
      <c r="P774" s="54">
        <f>HEX2DEC(RIGHT(Table132321432[[#This Row],[h1]],8))</f>
        <v>0</v>
      </c>
      <c r="Q774" s="54" t="s">
        <v>149</v>
      </c>
      <c r="R774" s="54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4" t="s">
        <v>149</v>
      </c>
      <c r="P775" s="54">
        <f>HEX2DEC(RIGHT(Table132321432[[#This Row],[h1]],8))</f>
        <v>0</v>
      </c>
      <c r="Q775" s="54" t="s">
        <v>149</v>
      </c>
      <c r="R775" s="54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4" t="s">
        <v>149</v>
      </c>
      <c r="P776" s="54">
        <f>HEX2DEC(RIGHT(Table132321432[[#This Row],[h1]],8))</f>
        <v>0</v>
      </c>
      <c r="Q776" s="54" t="s">
        <v>149</v>
      </c>
      <c r="R776" s="54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4" t="s">
        <v>149</v>
      </c>
      <c r="P777" s="54">
        <f>HEX2DEC(RIGHT(Table132321432[[#This Row],[h1]],8))</f>
        <v>0</v>
      </c>
      <c r="Q777" s="54" t="s">
        <v>149</v>
      </c>
      <c r="R777" s="54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4" t="s">
        <v>149</v>
      </c>
      <c r="P778" s="54">
        <f>HEX2DEC(RIGHT(Table132321432[[#This Row],[h1]],8))</f>
        <v>0</v>
      </c>
      <c r="Q778" s="54" t="s">
        <v>149</v>
      </c>
      <c r="R778" s="54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4" t="s">
        <v>149</v>
      </c>
      <c r="P779" s="54">
        <f>HEX2DEC(RIGHT(Table132321432[[#This Row],[h1]],8))</f>
        <v>0</v>
      </c>
      <c r="Q779" s="54" t="s">
        <v>149</v>
      </c>
      <c r="R779" s="54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4" t="s">
        <v>149</v>
      </c>
      <c r="P780" s="54">
        <f>HEX2DEC(RIGHT(Table132321432[[#This Row],[h1]],8))</f>
        <v>0</v>
      </c>
      <c r="Q780" s="54" t="s">
        <v>149</v>
      </c>
      <c r="R780" s="54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4" t="s">
        <v>149</v>
      </c>
      <c r="P781" s="54">
        <f>HEX2DEC(RIGHT(Table132321432[[#This Row],[h1]],8))</f>
        <v>0</v>
      </c>
      <c r="Q781" s="54" t="s">
        <v>149</v>
      </c>
      <c r="R781" s="54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4" t="s">
        <v>149</v>
      </c>
      <c r="P782" s="54">
        <f>HEX2DEC(RIGHT(Table132321432[[#This Row],[h1]],8))</f>
        <v>0</v>
      </c>
      <c r="Q782" s="54" t="s">
        <v>149</v>
      </c>
      <c r="R782" s="54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4" t="s">
        <v>149</v>
      </c>
      <c r="P783" s="54">
        <f>HEX2DEC(RIGHT(Table132321432[[#This Row],[h1]],8))</f>
        <v>0</v>
      </c>
      <c r="Q783" s="54" t="s">
        <v>149</v>
      </c>
      <c r="R783" s="54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4" t="s">
        <v>149</v>
      </c>
      <c r="P784" s="54">
        <f>HEX2DEC(RIGHT(Table132321432[[#This Row],[h1]],8))</f>
        <v>0</v>
      </c>
      <c r="Q784" s="54" t="s">
        <v>149</v>
      </c>
      <c r="R784" s="54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4" t="s">
        <v>149</v>
      </c>
      <c r="P785" s="54">
        <f>HEX2DEC(RIGHT(Table132321432[[#This Row],[h1]],8))</f>
        <v>0</v>
      </c>
      <c r="Q785" s="54" t="s">
        <v>149</v>
      </c>
      <c r="R785" s="54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4" t="s">
        <v>149</v>
      </c>
      <c r="P786" s="54">
        <f>HEX2DEC(RIGHT(Table132321432[[#This Row],[h1]],8))</f>
        <v>0</v>
      </c>
      <c r="Q786" s="54" t="s">
        <v>149</v>
      </c>
      <c r="R786" s="54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4" t="s">
        <v>149</v>
      </c>
      <c r="P787" s="54">
        <f>HEX2DEC(RIGHT(Table132321432[[#This Row],[h1]],8))</f>
        <v>0</v>
      </c>
      <c r="Q787" s="54" t="s">
        <v>149</v>
      </c>
      <c r="R787" s="54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4" t="s">
        <v>149</v>
      </c>
      <c r="P788" s="54">
        <f>HEX2DEC(RIGHT(Table132321432[[#This Row],[h1]],8))</f>
        <v>0</v>
      </c>
      <c r="Q788" s="54" t="s">
        <v>149</v>
      </c>
      <c r="R788" s="54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4" t="s">
        <v>149</v>
      </c>
      <c r="P789" s="54">
        <f>HEX2DEC(RIGHT(Table132321432[[#This Row],[h1]],8))</f>
        <v>0</v>
      </c>
      <c r="Q789" s="54" t="s">
        <v>149</v>
      </c>
      <c r="R789" s="54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4" t="s">
        <v>149</v>
      </c>
      <c r="P790" s="54">
        <f>HEX2DEC(RIGHT(Table132321432[[#This Row],[h1]],8))</f>
        <v>0</v>
      </c>
      <c r="Q790" s="54" t="s">
        <v>149</v>
      </c>
      <c r="R790" s="54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4" t="s">
        <v>149</v>
      </c>
      <c r="P791" s="54">
        <f>HEX2DEC(RIGHT(Table132321432[[#This Row],[h1]],8))</f>
        <v>0</v>
      </c>
      <c r="Q791" s="54" t="s">
        <v>149</v>
      </c>
      <c r="R791" s="54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4" t="s">
        <v>149</v>
      </c>
      <c r="P792" s="54">
        <f>HEX2DEC(RIGHT(Table132321432[[#This Row],[h1]],8))</f>
        <v>0</v>
      </c>
      <c r="Q792" s="54" t="s">
        <v>149</v>
      </c>
      <c r="R792" s="54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4" t="s">
        <v>149</v>
      </c>
      <c r="P793" s="54">
        <f>HEX2DEC(RIGHT(Table132321432[[#This Row],[h1]],8))</f>
        <v>0</v>
      </c>
      <c r="Q793" s="54" t="s">
        <v>149</v>
      </c>
      <c r="R793" s="54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4" t="s">
        <v>149</v>
      </c>
      <c r="P794" s="54">
        <f>HEX2DEC(RIGHT(Table132321432[[#This Row],[h1]],8))</f>
        <v>0</v>
      </c>
      <c r="Q794" s="54" t="s">
        <v>149</v>
      </c>
      <c r="R794" s="54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4" t="s">
        <v>149</v>
      </c>
      <c r="P795" s="54">
        <f>HEX2DEC(RIGHT(Table132321432[[#This Row],[h1]],8))</f>
        <v>0</v>
      </c>
      <c r="Q795" s="54" t="s">
        <v>149</v>
      </c>
      <c r="R795" s="54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4" t="s">
        <v>149</v>
      </c>
      <c r="P796" s="54">
        <f>HEX2DEC(RIGHT(Table132321432[[#This Row],[h1]],8))</f>
        <v>0</v>
      </c>
      <c r="Q796" s="54" t="s">
        <v>149</v>
      </c>
      <c r="R796" s="54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4" t="s">
        <v>149</v>
      </c>
      <c r="P797" s="54">
        <f>HEX2DEC(RIGHT(Table132321432[[#This Row],[h1]],8))</f>
        <v>0</v>
      </c>
      <c r="Q797" s="54" t="s">
        <v>149</v>
      </c>
      <c r="R797" s="54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4" t="s">
        <v>149</v>
      </c>
      <c r="P798" s="54">
        <f>HEX2DEC(RIGHT(Table132321432[[#This Row],[h1]],8))</f>
        <v>0</v>
      </c>
      <c r="Q798" s="54" t="s">
        <v>149</v>
      </c>
      <c r="R798" s="54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4" t="s">
        <v>149</v>
      </c>
      <c r="P799" s="54">
        <f>HEX2DEC(RIGHT(Table132321432[[#This Row],[h1]],8))</f>
        <v>0</v>
      </c>
      <c r="Q799" s="54" t="s">
        <v>149</v>
      </c>
      <c r="R799" s="54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4" t="s">
        <v>149</v>
      </c>
      <c r="P800" s="54">
        <f>HEX2DEC(RIGHT(Table132321432[[#This Row],[h1]],8))</f>
        <v>0</v>
      </c>
      <c r="Q800" s="54" t="s">
        <v>149</v>
      </c>
      <c r="R800" s="54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4" t="s">
        <v>149</v>
      </c>
      <c r="P801" s="54">
        <f>HEX2DEC(RIGHT(Table132321432[[#This Row],[h1]],8))</f>
        <v>0</v>
      </c>
      <c r="Q801" s="54" t="s">
        <v>149</v>
      </c>
      <c r="R801" s="54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4" t="s">
        <v>149</v>
      </c>
      <c r="P802" s="54">
        <f>HEX2DEC(RIGHT(Table132321432[[#This Row],[h1]],8))</f>
        <v>0</v>
      </c>
      <c r="Q802" s="54" t="s">
        <v>149</v>
      </c>
      <c r="R802" s="54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4" t="s">
        <v>149</v>
      </c>
      <c r="P803" s="54">
        <f>HEX2DEC(RIGHT(Table132321432[[#This Row],[h1]],8))</f>
        <v>0</v>
      </c>
      <c r="Q803" s="54" t="s">
        <v>149</v>
      </c>
      <c r="R803" s="54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4" t="s">
        <v>149</v>
      </c>
      <c r="P804" s="54">
        <f>HEX2DEC(RIGHT(Table132321432[[#This Row],[h1]],8))</f>
        <v>0</v>
      </c>
      <c r="Q804" s="54" t="s">
        <v>149</v>
      </c>
      <c r="R804" s="54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4" t="s">
        <v>149</v>
      </c>
      <c r="P805" s="54">
        <f>HEX2DEC(RIGHT(Table132321432[[#This Row],[h1]],8))</f>
        <v>0</v>
      </c>
      <c r="Q805" s="54" t="s">
        <v>149</v>
      </c>
      <c r="R805" s="54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4" t="s">
        <v>149</v>
      </c>
      <c r="P806" s="54">
        <f>HEX2DEC(RIGHT(Table132321432[[#This Row],[h1]],8))</f>
        <v>0</v>
      </c>
      <c r="Q806" s="54" t="s">
        <v>149</v>
      </c>
      <c r="R806" s="54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4" t="s">
        <v>149</v>
      </c>
      <c r="P807" s="54">
        <f>HEX2DEC(RIGHT(Table132321432[[#This Row],[h1]],8))</f>
        <v>0</v>
      </c>
      <c r="Q807" s="54" t="s">
        <v>149</v>
      </c>
      <c r="R807" s="54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4" t="s">
        <v>149</v>
      </c>
      <c r="P808" s="54">
        <f>HEX2DEC(RIGHT(Table132321432[[#This Row],[h1]],8))</f>
        <v>0</v>
      </c>
      <c r="Q808" s="54" t="s">
        <v>149</v>
      </c>
      <c r="R808" s="54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4" t="s">
        <v>149</v>
      </c>
      <c r="P809" s="54">
        <f>HEX2DEC(RIGHT(Table132321432[[#This Row],[h1]],8))</f>
        <v>0</v>
      </c>
      <c r="Q809" s="54" t="s">
        <v>149</v>
      </c>
      <c r="R809" s="54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4" t="s">
        <v>149</v>
      </c>
      <c r="P810" s="54">
        <f>HEX2DEC(RIGHT(Table132321432[[#This Row],[h1]],8))</f>
        <v>0</v>
      </c>
      <c r="Q810" s="54" t="s">
        <v>149</v>
      </c>
      <c r="R810" s="54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4" t="s">
        <v>149</v>
      </c>
      <c r="P811" s="54">
        <f>HEX2DEC(RIGHT(Table132321432[[#This Row],[h1]],8))</f>
        <v>0</v>
      </c>
      <c r="Q811" s="54" t="s">
        <v>149</v>
      </c>
      <c r="R811" s="54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4" t="s">
        <v>149</v>
      </c>
      <c r="P812" s="54">
        <f>HEX2DEC(RIGHT(Table132321432[[#This Row],[h1]],8))</f>
        <v>0</v>
      </c>
      <c r="Q812" s="54" t="s">
        <v>149</v>
      </c>
      <c r="R812" s="54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4" t="s">
        <v>149</v>
      </c>
      <c r="P813" s="54">
        <f>HEX2DEC(RIGHT(Table132321432[[#This Row],[h1]],8))</f>
        <v>0</v>
      </c>
      <c r="Q813" s="54" t="s">
        <v>149</v>
      </c>
      <c r="R813" s="54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4" t="s">
        <v>149</v>
      </c>
      <c r="P814" s="54">
        <f>HEX2DEC(RIGHT(Table132321432[[#This Row],[h1]],8))</f>
        <v>0</v>
      </c>
      <c r="Q814" s="54" t="s">
        <v>149</v>
      </c>
      <c r="R814" s="54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4" t="s">
        <v>149</v>
      </c>
      <c r="P815" s="54">
        <f>HEX2DEC(RIGHT(Table132321432[[#This Row],[h1]],8))</f>
        <v>0</v>
      </c>
      <c r="Q815" s="54" t="s">
        <v>149</v>
      </c>
      <c r="R815" s="54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4" t="s">
        <v>149</v>
      </c>
      <c r="P816" s="54">
        <f>HEX2DEC(RIGHT(Table132321432[[#This Row],[h1]],8))</f>
        <v>0</v>
      </c>
      <c r="Q816" s="54" t="s">
        <v>149</v>
      </c>
      <c r="R816" s="54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4" t="s">
        <v>149</v>
      </c>
      <c r="P817" s="54">
        <f>HEX2DEC(RIGHT(Table132321432[[#This Row],[h1]],8))</f>
        <v>0</v>
      </c>
      <c r="Q817" s="54" t="s">
        <v>149</v>
      </c>
      <c r="R817" s="54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4" t="s">
        <v>149</v>
      </c>
      <c r="P818" s="54">
        <f>HEX2DEC(RIGHT(Table132321432[[#This Row],[h1]],8))</f>
        <v>0</v>
      </c>
      <c r="Q818" s="54" t="s">
        <v>149</v>
      </c>
      <c r="R818" s="54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4" t="s">
        <v>149</v>
      </c>
      <c r="P819" s="54">
        <f>HEX2DEC(RIGHT(Table132321432[[#This Row],[h1]],8))</f>
        <v>0</v>
      </c>
      <c r="Q819" s="54" t="s">
        <v>149</v>
      </c>
      <c r="R819" s="54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4" t="s">
        <v>149</v>
      </c>
      <c r="P820" s="54">
        <f>HEX2DEC(RIGHT(Table132321432[[#This Row],[h1]],8))</f>
        <v>0</v>
      </c>
      <c r="Q820" s="54" t="s">
        <v>149</v>
      </c>
      <c r="R820" s="54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4" t="s">
        <v>149</v>
      </c>
      <c r="P821" s="54">
        <f>HEX2DEC(RIGHT(Table132321432[[#This Row],[h1]],8))</f>
        <v>0</v>
      </c>
      <c r="Q821" s="54" t="s">
        <v>149</v>
      </c>
      <c r="R821" s="54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4" t="s">
        <v>149</v>
      </c>
      <c r="P822" s="54">
        <f>HEX2DEC(RIGHT(Table132321432[[#This Row],[h1]],8))</f>
        <v>0</v>
      </c>
      <c r="Q822" s="54" t="s">
        <v>149</v>
      </c>
      <c r="R822" s="54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4" t="s">
        <v>149</v>
      </c>
      <c r="P823" s="54">
        <f>HEX2DEC(RIGHT(Table132321432[[#This Row],[h1]],8))</f>
        <v>0</v>
      </c>
      <c r="Q823" s="54" t="s">
        <v>149</v>
      </c>
      <c r="R823" s="54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4" t="s">
        <v>149</v>
      </c>
      <c r="P824" s="54">
        <f>HEX2DEC(RIGHT(Table132321432[[#This Row],[h1]],8))</f>
        <v>0</v>
      </c>
      <c r="Q824" s="54" t="s">
        <v>149</v>
      </c>
      <c r="R824" s="54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4" t="s">
        <v>149</v>
      </c>
      <c r="P825" s="54">
        <f>HEX2DEC(RIGHT(Table132321432[[#This Row],[h1]],8))</f>
        <v>0</v>
      </c>
      <c r="Q825" s="54" t="s">
        <v>149</v>
      </c>
      <c r="R825" s="54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4" t="s">
        <v>149</v>
      </c>
      <c r="P826" s="54">
        <f>HEX2DEC(RIGHT(Table132321432[[#This Row],[h1]],8))</f>
        <v>0</v>
      </c>
      <c r="Q826" s="54" t="s">
        <v>149</v>
      </c>
      <c r="R826" s="54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4" t="s">
        <v>149</v>
      </c>
      <c r="P827" s="54">
        <f>HEX2DEC(RIGHT(Table132321432[[#This Row],[h1]],8))</f>
        <v>0</v>
      </c>
      <c r="Q827" s="54" t="s">
        <v>149</v>
      </c>
      <c r="R827" s="54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4" t="s">
        <v>149</v>
      </c>
      <c r="P828" s="54">
        <f>HEX2DEC(RIGHT(Table132321432[[#This Row],[h1]],8))</f>
        <v>0</v>
      </c>
      <c r="Q828" s="54" t="s">
        <v>149</v>
      </c>
      <c r="R828" s="54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4" t="s">
        <v>149</v>
      </c>
      <c r="P829" s="54">
        <f>HEX2DEC(RIGHT(Table132321432[[#This Row],[h1]],8))</f>
        <v>0</v>
      </c>
      <c r="Q829" s="54" t="s">
        <v>149</v>
      </c>
      <c r="R829" s="54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4" t="s">
        <v>149</v>
      </c>
      <c r="P830" s="54">
        <f>HEX2DEC(RIGHT(Table132321432[[#This Row],[h1]],8))</f>
        <v>0</v>
      </c>
      <c r="Q830" s="54" t="s">
        <v>149</v>
      </c>
      <c r="R830" s="54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4" t="s">
        <v>149</v>
      </c>
      <c r="P831" s="54">
        <f>HEX2DEC(RIGHT(Table132321432[[#This Row],[h1]],8))</f>
        <v>0</v>
      </c>
      <c r="Q831" s="54" t="s">
        <v>149</v>
      </c>
      <c r="R831" s="54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4" t="s">
        <v>149</v>
      </c>
      <c r="P832" s="54">
        <f>HEX2DEC(RIGHT(Table132321432[[#This Row],[h1]],8))</f>
        <v>0</v>
      </c>
      <c r="Q832" s="54" t="s">
        <v>149</v>
      </c>
      <c r="R832" s="54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4" t="s">
        <v>149</v>
      </c>
      <c r="P833" s="54">
        <f>HEX2DEC(RIGHT(Table132321432[[#This Row],[h1]],8))</f>
        <v>0</v>
      </c>
      <c r="Q833" s="54" t="s">
        <v>149</v>
      </c>
      <c r="R833" s="54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4" t="s">
        <v>149</v>
      </c>
      <c r="P834" s="54">
        <f>HEX2DEC(RIGHT(Table132321432[[#This Row],[h1]],8))</f>
        <v>0</v>
      </c>
      <c r="Q834" s="54" t="s">
        <v>149</v>
      </c>
      <c r="R834" s="54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4" t="s">
        <v>149</v>
      </c>
      <c r="P835" s="54">
        <f>HEX2DEC(RIGHT(Table132321432[[#This Row],[h1]],8))</f>
        <v>0</v>
      </c>
      <c r="Q835" s="54" t="s">
        <v>149</v>
      </c>
      <c r="R835" s="54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4" t="s">
        <v>149</v>
      </c>
      <c r="P836" s="54">
        <f>HEX2DEC(RIGHT(Table132321432[[#This Row],[h1]],8))</f>
        <v>0</v>
      </c>
      <c r="Q836" s="54" t="s">
        <v>149</v>
      </c>
      <c r="R836" s="54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4" t="s">
        <v>149</v>
      </c>
      <c r="P837" s="54">
        <f>HEX2DEC(RIGHT(Table132321432[[#This Row],[h1]],8))</f>
        <v>0</v>
      </c>
      <c r="Q837" s="54" t="s">
        <v>149</v>
      </c>
      <c r="R837" s="54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4" t="s">
        <v>149</v>
      </c>
      <c r="P838" s="54">
        <f>HEX2DEC(RIGHT(Table132321432[[#This Row],[h1]],8))</f>
        <v>0</v>
      </c>
      <c r="Q838" s="54" t="s">
        <v>149</v>
      </c>
      <c r="R838" s="54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4" t="s">
        <v>149</v>
      </c>
      <c r="P839" s="54">
        <f>HEX2DEC(RIGHT(Table132321432[[#This Row],[h1]],8))</f>
        <v>0</v>
      </c>
      <c r="Q839" s="54" t="s">
        <v>149</v>
      </c>
      <c r="R839" s="54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4" t="s">
        <v>149</v>
      </c>
      <c r="P840" s="54">
        <f>HEX2DEC(RIGHT(Table132321432[[#This Row],[h1]],8))</f>
        <v>0</v>
      </c>
      <c r="Q840" s="54" t="s">
        <v>149</v>
      </c>
      <c r="R840" s="54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4" t="s">
        <v>149</v>
      </c>
      <c r="P841" s="54">
        <f>HEX2DEC(RIGHT(Table132321432[[#This Row],[h1]],8))</f>
        <v>0</v>
      </c>
      <c r="Q841" s="54" t="s">
        <v>149</v>
      </c>
      <c r="R841" s="54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4" t="s">
        <v>149</v>
      </c>
      <c r="P842" s="54">
        <f>HEX2DEC(RIGHT(Table132321432[[#This Row],[h1]],8))</f>
        <v>0</v>
      </c>
      <c r="Q842" s="54" t="s">
        <v>149</v>
      </c>
      <c r="R842" s="54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4" t="s">
        <v>149</v>
      </c>
      <c r="P843" s="54">
        <f>HEX2DEC(RIGHT(Table132321432[[#This Row],[h1]],8))</f>
        <v>0</v>
      </c>
      <c r="Q843" s="54" t="s">
        <v>149</v>
      </c>
      <c r="R843" s="54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4" t="s">
        <v>149</v>
      </c>
      <c r="P844" s="54">
        <f>HEX2DEC(RIGHT(Table132321432[[#This Row],[h1]],8))</f>
        <v>0</v>
      </c>
      <c r="Q844" s="54" t="s">
        <v>149</v>
      </c>
      <c r="R844" s="54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4" t="s">
        <v>149</v>
      </c>
      <c r="P845" s="54">
        <f>HEX2DEC(RIGHT(Table132321432[[#This Row],[h1]],8))</f>
        <v>0</v>
      </c>
      <c r="Q845" s="54" t="s">
        <v>149</v>
      </c>
      <c r="R845" s="54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4" t="s">
        <v>149</v>
      </c>
      <c r="P846" s="54">
        <f>HEX2DEC(RIGHT(Table132321432[[#This Row],[h1]],8))</f>
        <v>0</v>
      </c>
      <c r="Q846" s="54" t="s">
        <v>149</v>
      </c>
      <c r="R846" s="54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4" t="s">
        <v>149</v>
      </c>
      <c r="P847" s="54">
        <f>HEX2DEC(RIGHT(Table132321432[[#This Row],[h1]],8))</f>
        <v>0</v>
      </c>
      <c r="Q847" s="54" t="s">
        <v>149</v>
      </c>
      <c r="R847" s="54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4" t="s">
        <v>149</v>
      </c>
      <c r="P848" s="54">
        <f>HEX2DEC(RIGHT(Table132321432[[#This Row],[h1]],8))</f>
        <v>0</v>
      </c>
      <c r="Q848" s="54" t="s">
        <v>149</v>
      </c>
      <c r="R848" s="54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4" t="s">
        <v>149</v>
      </c>
      <c r="P849" s="54">
        <f>HEX2DEC(RIGHT(Table132321432[[#This Row],[h1]],8))</f>
        <v>0</v>
      </c>
      <c r="Q849" s="54" t="s">
        <v>149</v>
      </c>
      <c r="R849" s="54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4" t="s">
        <v>149</v>
      </c>
      <c r="P850" s="54">
        <f>HEX2DEC(RIGHT(Table132321432[[#This Row],[h1]],8))</f>
        <v>0</v>
      </c>
      <c r="Q850" s="54" t="s">
        <v>149</v>
      </c>
      <c r="R850" s="54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4" t="s">
        <v>149</v>
      </c>
      <c r="P851" s="54">
        <f>HEX2DEC(RIGHT(Table132321432[[#This Row],[h1]],8))</f>
        <v>0</v>
      </c>
      <c r="Q851" s="54" t="s">
        <v>149</v>
      </c>
      <c r="R851" s="54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4" t="s">
        <v>149</v>
      </c>
      <c r="P852" s="54">
        <f>HEX2DEC(RIGHT(Table132321432[[#This Row],[h1]],8))</f>
        <v>0</v>
      </c>
      <c r="Q852" s="54" t="s">
        <v>149</v>
      </c>
      <c r="R852" s="54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4" t="s">
        <v>149</v>
      </c>
      <c r="P853" s="54">
        <f>HEX2DEC(RIGHT(Table132321432[[#This Row],[h1]],8))</f>
        <v>0</v>
      </c>
      <c r="Q853" s="54" t="s">
        <v>149</v>
      </c>
      <c r="R853" s="54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4" t="s">
        <v>149</v>
      </c>
      <c r="P854" s="54">
        <f>HEX2DEC(RIGHT(Table132321432[[#This Row],[h1]],8))</f>
        <v>0</v>
      </c>
      <c r="Q854" s="54" t="s">
        <v>149</v>
      </c>
      <c r="R854" s="54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4" t="s">
        <v>149</v>
      </c>
      <c r="P855" s="54">
        <f>HEX2DEC(RIGHT(Table132321432[[#This Row],[h1]],8))</f>
        <v>0</v>
      </c>
      <c r="Q855" s="54" t="s">
        <v>149</v>
      </c>
      <c r="R855" s="54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4" t="s">
        <v>149</v>
      </c>
      <c r="P856" s="54">
        <f>HEX2DEC(RIGHT(Table132321432[[#This Row],[h1]],8))</f>
        <v>0</v>
      </c>
      <c r="Q856" s="54" t="s">
        <v>149</v>
      </c>
      <c r="R856" s="54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4" t="s">
        <v>149</v>
      </c>
      <c r="P857" s="54">
        <f>HEX2DEC(RIGHT(Table132321432[[#This Row],[h1]],8))</f>
        <v>0</v>
      </c>
      <c r="Q857" s="54" t="s">
        <v>149</v>
      </c>
      <c r="R857" s="54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4" t="s">
        <v>149</v>
      </c>
      <c r="P858" s="54">
        <f>HEX2DEC(RIGHT(Table132321432[[#This Row],[h1]],8))</f>
        <v>0</v>
      </c>
      <c r="Q858" s="54" t="s">
        <v>149</v>
      </c>
      <c r="R858" s="54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4" t="s">
        <v>149</v>
      </c>
      <c r="P859" s="54">
        <f>HEX2DEC(RIGHT(Table132321432[[#This Row],[h1]],8))</f>
        <v>0</v>
      </c>
      <c r="Q859" s="54" t="s">
        <v>149</v>
      </c>
      <c r="R859" s="54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4" t="s">
        <v>149</v>
      </c>
      <c r="P860" s="54">
        <f>HEX2DEC(RIGHT(Table132321432[[#This Row],[h1]],8))</f>
        <v>0</v>
      </c>
      <c r="Q860" s="54" t="s">
        <v>149</v>
      </c>
      <c r="R860" s="54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4" t="s">
        <v>149</v>
      </c>
      <c r="P861" s="54">
        <f>HEX2DEC(RIGHT(Table132321432[[#This Row],[h1]],8))</f>
        <v>0</v>
      </c>
      <c r="Q861" s="54" t="s">
        <v>149</v>
      </c>
      <c r="R861" s="54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4" t="s">
        <v>149</v>
      </c>
      <c r="P862" s="54">
        <f>HEX2DEC(RIGHT(Table132321432[[#This Row],[h1]],8))</f>
        <v>0</v>
      </c>
      <c r="Q862" s="54" t="s">
        <v>149</v>
      </c>
      <c r="R862" s="54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4" t="s">
        <v>149</v>
      </c>
      <c r="P863" s="54">
        <f>HEX2DEC(RIGHT(Table132321432[[#This Row],[h1]],8))</f>
        <v>0</v>
      </c>
      <c r="Q863" s="54" t="s">
        <v>149</v>
      </c>
      <c r="R863" s="54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4" t="s">
        <v>149</v>
      </c>
      <c r="P864" s="54">
        <f>HEX2DEC(RIGHT(Table132321432[[#This Row],[h1]],8))</f>
        <v>0</v>
      </c>
      <c r="Q864" s="54" t="s">
        <v>149</v>
      </c>
      <c r="R864" s="54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4" t="s">
        <v>149</v>
      </c>
      <c r="P865" s="54">
        <f>HEX2DEC(RIGHT(Table132321432[[#This Row],[h1]],8))</f>
        <v>0</v>
      </c>
      <c r="Q865" s="54" t="s">
        <v>149</v>
      </c>
      <c r="R865" s="54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4" t="s">
        <v>149</v>
      </c>
      <c r="P866" s="54">
        <f>HEX2DEC(RIGHT(Table132321432[[#This Row],[h1]],8))</f>
        <v>0</v>
      </c>
      <c r="Q866" s="54" t="s">
        <v>149</v>
      </c>
      <c r="R866" s="54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4" t="s">
        <v>149</v>
      </c>
      <c r="P867" s="54">
        <f>HEX2DEC(RIGHT(Table132321432[[#This Row],[h1]],8))</f>
        <v>0</v>
      </c>
      <c r="Q867" s="54" t="s">
        <v>149</v>
      </c>
      <c r="R867" s="54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4" t="s">
        <v>149</v>
      </c>
      <c r="P868" s="54">
        <f>HEX2DEC(RIGHT(Table132321432[[#This Row],[h1]],8))</f>
        <v>0</v>
      </c>
      <c r="Q868" s="54" t="s">
        <v>149</v>
      </c>
      <c r="R868" s="54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4" t="s">
        <v>149</v>
      </c>
      <c r="P869" s="54">
        <f>HEX2DEC(RIGHT(Table132321432[[#This Row],[h1]],8))</f>
        <v>0</v>
      </c>
      <c r="Q869" s="54" t="s">
        <v>149</v>
      </c>
      <c r="R869" s="54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4" t="s">
        <v>149</v>
      </c>
      <c r="P870" s="54">
        <f>HEX2DEC(RIGHT(Table132321432[[#This Row],[h1]],8))</f>
        <v>0</v>
      </c>
      <c r="Q870" s="54" t="s">
        <v>149</v>
      </c>
      <c r="R870" s="54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4" t="s">
        <v>149</v>
      </c>
      <c r="P871" s="54">
        <f>HEX2DEC(RIGHT(Table132321432[[#This Row],[h1]],8))</f>
        <v>0</v>
      </c>
      <c r="Q871" s="54" t="s">
        <v>149</v>
      </c>
      <c r="R871" s="54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4" t="s">
        <v>149</v>
      </c>
      <c r="P872" s="54">
        <f>HEX2DEC(RIGHT(Table132321432[[#This Row],[h1]],8))</f>
        <v>0</v>
      </c>
      <c r="Q872" s="54" t="s">
        <v>149</v>
      </c>
      <c r="R872" s="54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4" t="s">
        <v>149</v>
      </c>
      <c r="P873" s="54">
        <f>HEX2DEC(RIGHT(Table132321432[[#This Row],[h1]],8))</f>
        <v>0</v>
      </c>
      <c r="Q873" s="54" t="s">
        <v>149</v>
      </c>
      <c r="R873" s="54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4" t="s">
        <v>149</v>
      </c>
      <c r="P874" s="54">
        <f>HEX2DEC(RIGHT(Table132321432[[#This Row],[h1]],8))</f>
        <v>0</v>
      </c>
      <c r="Q874" s="54" t="s">
        <v>149</v>
      </c>
      <c r="R874" s="54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4" t="s">
        <v>149</v>
      </c>
      <c r="P875" s="54">
        <f>HEX2DEC(RIGHT(Table132321432[[#This Row],[h1]],8))</f>
        <v>0</v>
      </c>
      <c r="Q875" s="54" t="s">
        <v>149</v>
      </c>
      <c r="R875" s="54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4" t="s">
        <v>149</v>
      </c>
      <c r="P876" s="54">
        <f>HEX2DEC(RIGHT(Table132321432[[#This Row],[h1]],8))</f>
        <v>0</v>
      </c>
      <c r="Q876" s="54" t="s">
        <v>149</v>
      </c>
      <c r="R876" s="54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4" t="s">
        <v>149</v>
      </c>
      <c r="P877" s="54">
        <f>HEX2DEC(RIGHT(Table132321432[[#This Row],[h1]],8))</f>
        <v>0</v>
      </c>
      <c r="Q877" s="54" t="s">
        <v>149</v>
      </c>
      <c r="R877" s="54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4" t="s">
        <v>149</v>
      </c>
      <c r="P878" s="54">
        <f>HEX2DEC(RIGHT(Table132321432[[#This Row],[h1]],8))</f>
        <v>0</v>
      </c>
      <c r="Q878" s="54" t="s">
        <v>149</v>
      </c>
      <c r="R878" s="54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4" t="s">
        <v>149</v>
      </c>
      <c r="P879" s="54">
        <f>HEX2DEC(RIGHT(Table132321432[[#This Row],[h1]],8))</f>
        <v>0</v>
      </c>
      <c r="Q879" s="54" t="s">
        <v>149</v>
      </c>
      <c r="R879" s="54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4" t="s">
        <v>149</v>
      </c>
      <c r="P880" s="54">
        <f>HEX2DEC(RIGHT(Table132321432[[#This Row],[h1]],8))</f>
        <v>0</v>
      </c>
      <c r="Q880" s="54" t="s">
        <v>149</v>
      </c>
      <c r="R880" s="54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4" t="s">
        <v>149</v>
      </c>
      <c r="P881" s="54">
        <f>HEX2DEC(RIGHT(Table132321432[[#This Row],[h1]],8))</f>
        <v>0</v>
      </c>
      <c r="Q881" s="54" t="s">
        <v>149</v>
      </c>
      <c r="R881" s="54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4" t="s">
        <v>149</v>
      </c>
      <c r="P882" s="54">
        <f>HEX2DEC(RIGHT(Table132321432[[#This Row],[h1]],8))</f>
        <v>0</v>
      </c>
      <c r="Q882" s="54" t="s">
        <v>149</v>
      </c>
      <c r="R882" s="54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4" t="s">
        <v>149</v>
      </c>
      <c r="P883" s="54">
        <f>HEX2DEC(RIGHT(Table132321432[[#This Row],[h1]],8))</f>
        <v>0</v>
      </c>
      <c r="Q883" s="54" t="s">
        <v>149</v>
      </c>
      <c r="R883" s="54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4" t="s">
        <v>149</v>
      </c>
      <c r="P884" s="54">
        <f>HEX2DEC(RIGHT(Table132321432[[#This Row],[h1]],8))</f>
        <v>0</v>
      </c>
      <c r="Q884" s="54" t="s">
        <v>149</v>
      </c>
      <c r="R884" s="54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4" t="s">
        <v>149</v>
      </c>
      <c r="P885" s="54">
        <f>HEX2DEC(RIGHT(Table132321432[[#This Row],[h1]],8))</f>
        <v>0</v>
      </c>
      <c r="Q885" s="54" t="s">
        <v>149</v>
      </c>
      <c r="R885" s="54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4" t="s">
        <v>149</v>
      </c>
      <c r="P886" s="54">
        <f>HEX2DEC(RIGHT(Table132321432[[#This Row],[h1]],8))</f>
        <v>0</v>
      </c>
      <c r="Q886" s="54" t="s">
        <v>149</v>
      </c>
      <c r="R886" s="54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4" t="s">
        <v>149</v>
      </c>
      <c r="P887" s="54">
        <f>HEX2DEC(RIGHT(Table132321432[[#This Row],[h1]],8))</f>
        <v>0</v>
      </c>
      <c r="Q887" s="54" t="s">
        <v>149</v>
      </c>
      <c r="R887" s="54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4" t="s">
        <v>149</v>
      </c>
      <c r="P888" s="54">
        <f>HEX2DEC(RIGHT(Table132321432[[#This Row],[h1]],8))</f>
        <v>0</v>
      </c>
      <c r="Q888" s="54" t="s">
        <v>149</v>
      </c>
      <c r="R888" s="54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4" t="s">
        <v>149</v>
      </c>
      <c r="P889" s="54">
        <f>HEX2DEC(RIGHT(Table132321432[[#This Row],[h1]],8))</f>
        <v>0</v>
      </c>
      <c r="Q889" s="54" t="s">
        <v>149</v>
      </c>
      <c r="R889" s="54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4" t="s">
        <v>149</v>
      </c>
      <c r="P890" s="54">
        <f>HEX2DEC(RIGHT(Table132321432[[#This Row],[h1]],8))</f>
        <v>0</v>
      </c>
      <c r="Q890" s="54" t="s">
        <v>149</v>
      </c>
      <c r="R890" s="54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4" t="s">
        <v>149</v>
      </c>
      <c r="P891" s="54">
        <f>HEX2DEC(RIGHT(Table132321432[[#This Row],[h1]],8))</f>
        <v>0</v>
      </c>
      <c r="Q891" s="54" t="s">
        <v>149</v>
      </c>
      <c r="R891" s="54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4" t="s">
        <v>149</v>
      </c>
      <c r="P892" s="54">
        <f>HEX2DEC(RIGHT(Table132321432[[#This Row],[h1]],8))</f>
        <v>0</v>
      </c>
      <c r="Q892" s="54" t="s">
        <v>149</v>
      </c>
      <c r="R892" s="54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4" t="s">
        <v>149</v>
      </c>
      <c r="P893" s="54">
        <f>HEX2DEC(RIGHT(Table132321432[[#This Row],[h1]],8))</f>
        <v>0</v>
      </c>
      <c r="Q893" s="54" t="s">
        <v>149</v>
      </c>
      <c r="R893" s="54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4" t="s">
        <v>149</v>
      </c>
      <c r="P894" s="54">
        <f>HEX2DEC(RIGHT(Table132321432[[#This Row],[h1]],8))</f>
        <v>0</v>
      </c>
      <c r="Q894" s="54" t="s">
        <v>149</v>
      </c>
      <c r="R894" s="54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4" t="s">
        <v>149</v>
      </c>
      <c r="P895" s="54">
        <f>HEX2DEC(RIGHT(Table132321432[[#This Row],[h1]],8))</f>
        <v>0</v>
      </c>
      <c r="Q895" s="54" t="s">
        <v>149</v>
      </c>
      <c r="R895" s="54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4" t="s">
        <v>149</v>
      </c>
      <c r="P896" s="54">
        <f>HEX2DEC(RIGHT(Table132321432[[#This Row],[h1]],8))</f>
        <v>0</v>
      </c>
      <c r="Q896" s="54" t="s">
        <v>149</v>
      </c>
      <c r="R896" s="54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4" t="s">
        <v>149</v>
      </c>
      <c r="P897" s="54">
        <f>HEX2DEC(RIGHT(Table132321432[[#This Row],[h1]],8))</f>
        <v>0</v>
      </c>
      <c r="Q897" s="54" t="s">
        <v>149</v>
      </c>
      <c r="R897" s="54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4" t="s">
        <v>149</v>
      </c>
      <c r="P898" s="54">
        <f>HEX2DEC(RIGHT(Table132321432[[#This Row],[h1]],8))</f>
        <v>0</v>
      </c>
      <c r="Q898" s="54" t="s">
        <v>149</v>
      </c>
      <c r="R898" s="54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4" t="s">
        <v>149</v>
      </c>
      <c r="P899" s="54">
        <f>HEX2DEC(RIGHT(Table132321432[[#This Row],[h1]],8))</f>
        <v>0</v>
      </c>
      <c r="Q899" s="54" t="s">
        <v>149</v>
      </c>
      <c r="R899" s="54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4" t="s">
        <v>149</v>
      </c>
      <c r="P900" s="54">
        <f>HEX2DEC(RIGHT(Table132321432[[#This Row],[h1]],8))</f>
        <v>0</v>
      </c>
      <c r="Q900" s="54" t="s">
        <v>149</v>
      </c>
      <c r="R900" s="54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4" t="s">
        <v>149</v>
      </c>
      <c r="P901" s="54">
        <f>HEX2DEC(RIGHT(Table132321432[[#This Row],[h1]],8))</f>
        <v>0</v>
      </c>
      <c r="Q901" s="54" t="s">
        <v>149</v>
      </c>
      <c r="R901" s="54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4" t="s">
        <v>149</v>
      </c>
      <c r="P902" s="54">
        <f>HEX2DEC(RIGHT(Table132321432[[#This Row],[h1]],8))</f>
        <v>0</v>
      </c>
      <c r="Q902" s="54" t="s">
        <v>149</v>
      </c>
      <c r="R902" s="54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4" t="s">
        <v>149</v>
      </c>
      <c r="P903" s="54">
        <f>HEX2DEC(RIGHT(Table132321432[[#This Row],[h1]],8))</f>
        <v>0</v>
      </c>
      <c r="Q903" s="54" t="s">
        <v>149</v>
      </c>
      <c r="R903" s="54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4" t="s">
        <v>149</v>
      </c>
      <c r="P904" s="54">
        <f>HEX2DEC(RIGHT(Table132321432[[#This Row],[h1]],8))</f>
        <v>0</v>
      </c>
      <c r="Q904" s="54" t="s">
        <v>149</v>
      </c>
      <c r="R904" s="54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4" t="s">
        <v>149</v>
      </c>
      <c r="P905" s="54">
        <f>HEX2DEC(RIGHT(Table132321432[[#This Row],[h1]],8))</f>
        <v>0</v>
      </c>
      <c r="Q905" s="54" t="s">
        <v>149</v>
      </c>
      <c r="R905" s="54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4" t="s">
        <v>149</v>
      </c>
      <c r="P906" s="54">
        <f>HEX2DEC(RIGHT(Table132321432[[#This Row],[h1]],8))</f>
        <v>0</v>
      </c>
      <c r="Q906" s="54" t="s">
        <v>149</v>
      </c>
      <c r="R906" s="54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4" t="s">
        <v>149</v>
      </c>
      <c r="P907" s="54">
        <f>HEX2DEC(RIGHT(Table132321432[[#This Row],[h1]],8))</f>
        <v>0</v>
      </c>
      <c r="Q907" s="54" t="s">
        <v>149</v>
      </c>
      <c r="R907" s="54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4" t="s">
        <v>149</v>
      </c>
      <c r="P908" s="54">
        <f>HEX2DEC(RIGHT(Table132321432[[#This Row],[h1]],8))</f>
        <v>0</v>
      </c>
      <c r="Q908" s="54" t="s">
        <v>149</v>
      </c>
      <c r="R908" s="54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4" t="s">
        <v>149</v>
      </c>
      <c r="P909" s="54">
        <f>HEX2DEC(RIGHT(Table132321432[[#This Row],[h1]],8))</f>
        <v>0</v>
      </c>
      <c r="Q909" s="54" t="s">
        <v>149</v>
      </c>
      <c r="R909" s="54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4" t="s">
        <v>149</v>
      </c>
      <c r="P910" s="54">
        <f>HEX2DEC(RIGHT(Table132321432[[#This Row],[h1]],8))</f>
        <v>0</v>
      </c>
      <c r="Q910" s="54" t="s">
        <v>149</v>
      </c>
      <c r="R910" s="54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4" t="s">
        <v>149</v>
      </c>
      <c r="P911" s="54">
        <f>HEX2DEC(RIGHT(Table132321432[[#This Row],[h1]],8))</f>
        <v>0</v>
      </c>
      <c r="Q911" s="54" t="s">
        <v>149</v>
      </c>
      <c r="R911" s="54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4" t="s">
        <v>149</v>
      </c>
      <c r="P912" s="54">
        <f>HEX2DEC(RIGHT(Table132321432[[#This Row],[h1]],8))</f>
        <v>0</v>
      </c>
      <c r="Q912" s="54" t="s">
        <v>149</v>
      </c>
      <c r="R912" s="54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4" t="s">
        <v>149</v>
      </c>
      <c r="P913" s="54">
        <f>HEX2DEC(RIGHT(Table132321432[[#This Row],[h1]],8))</f>
        <v>0</v>
      </c>
      <c r="Q913" s="54" t="s">
        <v>149</v>
      </c>
      <c r="R913" s="54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4" t="s">
        <v>149</v>
      </c>
      <c r="P914" s="54">
        <f>HEX2DEC(RIGHT(Table132321432[[#This Row],[h1]],8))</f>
        <v>0</v>
      </c>
      <c r="Q914" s="54" t="s">
        <v>149</v>
      </c>
      <c r="R914" s="54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4" t="s">
        <v>149</v>
      </c>
      <c r="P915" s="54">
        <f>HEX2DEC(RIGHT(Table132321432[[#This Row],[h1]],8))</f>
        <v>0</v>
      </c>
      <c r="Q915" s="54" t="s">
        <v>149</v>
      </c>
      <c r="R915" s="54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4" t="s">
        <v>149</v>
      </c>
      <c r="P916" s="54">
        <f>HEX2DEC(RIGHT(Table132321432[[#This Row],[h1]],8))</f>
        <v>0</v>
      </c>
      <c r="Q916" s="54" t="s">
        <v>149</v>
      </c>
      <c r="R916" s="54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4" t="s">
        <v>149</v>
      </c>
      <c r="P917" s="54">
        <f>HEX2DEC(RIGHT(Table132321432[[#This Row],[h1]],8))</f>
        <v>0</v>
      </c>
      <c r="Q917" s="54" t="s">
        <v>149</v>
      </c>
      <c r="R917" s="54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4" t="s">
        <v>149</v>
      </c>
      <c r="P918" s="54">
        <f>HEX2DEC(RIGHT(Table132321432[[#This Row],[h1]],8))</f>
        <v>0</v>
      </c>
      <c r="Q918" s="54" t="s">
        <v>149</v>
      </c>
      <c r="R918" s="54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4" t="s">
        <v>149</v>
      </c>
      <c r="P919" s="54">
        <f>HEX2DEC(RIGHT(Table132321432[[#This Row],[h1]],8))</f>
        <v>0</v>
      </c>
      <c r="Q919" s="54" t="s">
        <v>149</v>
      </c>
      <c r="R919" s="54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4" t="s">
        <v>149</v>
      </c>
      <c r="P920" s="54">
        <f>HEX2DEC(RIGHT(Table132321432[[#This Row],[h1]],8))</f>
        <v>0</v>
      </c>
      <c r="Q920" s="54" t="s">
        <v>149</v>
      </c>
      <c r="R920" s="54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4" t="s">
        <v>149</v>
      </c>
      <c r="P921" s="54">
        <f>HEX2DEC(RIGHT(Table132321432[[#This Row],[h1]],8))</f>
        <v>0</v>
      </c>
      <c r="Q921" s="54" t="s">
        <v>149</v>
      </c>
      <c r="R921" s="54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4" t="s">
        <v>149</v>
      </c>
      <c r="P922" s="54">
        <f>HEX2DEC(RIGHT(Table132321432[[#This Row],[h1]],8))</f>
        <v>0</v>
      </c>
      <c r="Q922" s="54" t="s">
        <v>149</v>
      </c>
      <c r="R922" s="54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4" t="s">
        <v>149</v>
      </c>
      <c r="P923" s="54">
        <f>HEX2DEC(RIGHT(Table132321432[[#This Row],[h1]],8))</f>
        <v>0</v>
      </c>
      <c r="Q923" s="54" t="s">
        <v>149</v>
      </c>
      <c r="R923" s="54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4" t="s">
        <v>149</v>
      </c>
      <c r="P924" s="54">
        <f>HEX2DEC(RIGHT(Table132321432[[#This Row],[h1]],8))</f>
        <v>0</v>
      </c>
      <c r="Q924" s="54" t="s">
        <v>149</v>
      </c>
      <c r="R924" s="54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4" t="s">
        <v>149</v>
      </c>
      <c r="P925" s="54">
        <f>HEX2DEC(RIGHT(Table132321432[[#This Row],[h1]],8))</f>
        <v>0</v>
      </c>
      <c r="Q925" s="54" t="s">
        <v>149</v>
      </c>
      <c r="R925" s="54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4" t="s">
        <v>149</v>
      </c>
      <c r="P926" s="54">
        <f>HEX2DEC(RIGHT(Table132321432[[#This Row],[h1]],8))</f>
        <v>0</v>
      </c>
      <c r="Q926" s="54" t="s">
        <v>149</v>
      </c>
      <c r="R926" s="54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4" t="s">
        <v>149</v>
      </c>
      <c r="P927" s="54">
        <f>HEX2DEC(RIGHT(Table132321432[[#This Row],[h1]],8))</f>
        <v>0</v>
      </c>
      <c r="Q927" s="54" t="s">
        <v>149</v>
      </c>
      <c r="R927" s="54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4" t="s">
        <v>149</v>
      </c>
      <c r="P928" s="54">
        <f>HEX2DEC(RIGHT(Table132321432[[#This Row],[h1]],8))</f>
        <v>0</v>
      </c>
      <c r="Q928" s="54" t="s">
        <v>149</v>
      </c>
      <c r="R928" s="54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4" t="s">
        <v>149</v>
      </c>
      <c r="P929" s="54">
        <f>HEX2DEC(RIGHT(Table132321432[[#This Row],[h1]],8))</f>
        <v>0</v>
      </c>
      <c r="Q929" s="54" t="s">
        <v>149</v>
      </c>
      <c r="R929" s="54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4" t="s">
        <v>149</v>
      </c>
      <c r="P930" s="54">
        <f>HEX2DEC(RIGHT(Table132321432[[#This Row],[h1]],8))</f>
        <v>0</v>
      </c>
      <c r="Q930" s="54" t="s">
        <v>149</v>
      </c>
      <c r="R930" s="54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4" t="s">
        <v>149</v>
      </c>
      <c r="P931" s="54">
        <f>HEX2DEC(RIGHT(Table132321432[[#This Row],[h1]],8))</f>
        <v>0</v>
      </c>
      <c r="Q931" s="54" t="s">
        <v>149</v>
      </c>
      <c r="R931" s="54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4" t="s">
        <v>149</v>
      </c>
      <c r="P932" s="54">
        <f>HEX2DEC(RIGHT(Table132321432[[#This Row],[h1]],8))</f>
        <v>0</v>
      </c>
      <c r="Q932" s="54" t="s">
        <v>149</v>
      </c>
      <c r="R932" s="54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4" t="s">
        <v>149</v>
      </c>
      <c r="P933" s="54">
        <f>HEX2DEC(RIGHT(Table132321432[[#This Row],[h1]],8))</f>
        <v>0</v>
      </c>
      <c r="Q933" s="54" t="s">
        <v>149</v>
      </c>
      <c r="R933" s="54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4" t="s">
        <v>149</v>
      </c>
      <c r="P934" s="54">
        <f>HEX2DEC(RIGHT(Table132321432[[#This Row],[h1]],8))</f>
        <v>0</v>
      </c>
      <c r="Q934" s="54" t="s">
        <v>149</v>
      </c>
      <c r="R934" s="54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4" t="s">
        <v>149</v>
      </c>
      <c r="P935" s="54">
        <f>HEX2DEC(RIGHT(Table132321432[[#This Row],[h1]],8))</f>
        <v>0</v>
      </c>
      <c r="Q935" s="54" t="s">
        <v>149</v>
      </c>
      <c r="R935" s="54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4" t="s">
        <v>149</v>
      </c>
      <c r="P936" s="54">
        <f>HEX2DEC(RIGHT(Table132321432[[#This Row],[h1]],8))</f>
        <v>0</v>
      </c>
      <c r="Q936" s="54" t="s">
        <v>149</v>
      </c>
      <c r="R936" s="54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4" t="s">
        <v>149</v>
      </c>
      <c r="P937" s="54">
        <f>HEX2DEC(RIGHT(Table132321432[[#This Row],[h1]],8))</f>
        <v>0</v>
      </c>
      <c r="Q937" s="54" t="s">
        <v>149</v>
      </c>
      <c r="R937" s="54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4" t="s">
        <v>149</v>
      </c>
      <c r="P938" s="54">
        <f>HEX2DEC(RIGHT(Table132321432[[#This Row],[h1]],8))</f>
        <v>0</v>
      </c>
      <c r="Q938" s="54" t="s">
        <v>149</v>
      </c>
      <c r="R938" s="54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4" t="s">
        <v>149</v>
      </c>
      <c r="P939" s="54">
        <f>HEX2DEC(RIGHT(Table132321432[[#This Row],[h1]],8))</f>
        <v>0</v>
      </c>
      <c r="Q939" s="54" t="s">
        <v>149</v>
      </c>
      <c r="R939" s="54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4" t="s">
        <v>149</v>
      </c>
      <c r="P940" s="54">
        <f>HEX2DEC(RIGHT(Table132321432[[#This Row],[h1]],8))</f>
        <v>0</v>
      </c>
      <c r="Q940" s="54" t="s">
        <v>149</v>
      </c>
      <c r="R940" s="54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4" t="s">
        <v>149</v>
      </c>
      <c r="P941" s="54">
        <f>HEX2DEC(RIGHT(Table132321432[[#This Row],[h1]],8))</f>
        <v>0</v>
      </c>
      <c r="Q941" s="54" t="s">
        <v>149</v>
      </c>
      <c r="R941" s="54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4" t="s">
        <v>149</v>
      </c>
      <c r="P942" s="54">
        <f>HEX2DEC(RIGHT(Table132321432[[#This Row],[h1]],8))</f>
        <v>0</v>
      </c>
      <c r="Q942" s="54" t="s">
        <v>149</v>
      </c>
      <c r="R942" s="54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4" t="s">
        <v>149</v>
      </c>
      <c r="P943" s="54">
        <f>HEX2DEC(RIGHT(Table132321432[[#This Row],[h1]],8))</f>
        <v>0</v>
      </c>
      <c r="Q943" s="54" t="s">
        <v>149</v>
      </c>
      <c r="R943" s="54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4" t="s">
        <v>149</v>
      </c>
      <c r="P944" s="54">
        <f>HEX2DEC(RIGHT(Table132321432[[#This Row],[h1]],8))</f>
        <v>0</v>
      </c>
      <c r="Q944" s="54" t="s">
        <v>149</v>
      </c>
      <c r="R944" s="54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4" t="s">
        <v>149</v>
      </c>
      <c r="P945" s="54">
        <f>HEX2DEC(RIGHT(Table132321432[[#This Row],[h1]],8))</f>
        <v>0</v>
      </c>
      <c r="Q945" s="54" t="s">
        <v>149</v>
      </c>
      <c r="R945" s="54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4" t="s">
        <v>149</v>
      </c>
      <c r="P946" s="54">
        <f>HEX2DEC(RIGHT(Table132321432[[#This Row],[h1]],8))</f>
        <v>0</v>
      </c>
      <c r="Q946" s="54" t="s">
        <v>149</v>
      </c>
      <c r="R946" s="54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4" t="s">
        <v>149</v>
      </c>
      <c r="P947" s="54">
        <f>HEX2DEC(RIGHT(Table132321432[[#This Row],[h1]],8))</f>
        <v>0</v>
      </c>
      <c r="Q947" s="54" t="s">
        <v>149</v>
      </c>
      <c r="R947" s="54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4" t="s">
        <v>149</v>
      </c>
      <c r="P948" s="54">
        <f>HEX2DEC(RIGHT(Table132321432[[#This Row],[h1]],8))</f>
        <v>0</v>
      </c>
      <c r="Q948" s="54" t="s">
        <v>149</v>
      </c>
      <c r="R948" s="54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4" t="s">
        <v>149</v>
      </c>
      <c r="P949" s="54">
        <f>HEX2DEC(RIGHT(Table132321432[[#This Row],[h1]],8))</f>
        <v>0</v>
      </c>
      <c r="Q949" s="54" t="s">
        <v>149</v>
      </c>
      <c r="R949" s="54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4" t="s">
        <v>149</v>
      </c>
      <c r="P950" s="54">
        <f>HEX2DEC(RIGHT(Table132321432[[#This Row],[h1]],8))</f>
        <v>0</v>
      </c>
      <c r="Q950" s="54" t="s">
        <v>149</v>
      </c>
      <c r="R950" s="54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4" t="s">
        <v>149</v>
      </c>
      <c r="P951" s="54">
        <f>HEX2DEC(RIGHT(Table132321432[[#This Row],[h1]],8))</f>
        <v>0</v>
      </c>
      <c r="Q951" s="54" t="s">
        <v>149</v>
      </c>
      <c r="R951" s="54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4" t="s">
        <v>149</v>
      </c>
      <c r="P952" s="54">
        <f>HEX2DEC(RIGHT(Table132321432[[#This Row],[h1]],8))</f>
        <v>0</v>
      </c>
      <c r="Q952" s="54" t="s">
        <v>149</v>
      </c>
      <c r="R952" s="54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4" t="s">
        <v>149</v>
      </c>
      <c r="P953" s="54">
        <f>HEX2DEC(RIGHT(Table132321432[[#This Row],[h1]],8))</f>
        <v>0</v>
      </c>
      <c r="Q953" s="54" t="s">
        <v>149</v>
      </c>
      <c r="R953" s="54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4" t="s">
        <v>149</v>
      </c>
      <c r="P954" s="54">
        <f>HEX2DEC(RIGHT(Table132321432[[#This Row],[h1]],8))</f>
        <v>0</v>
      </c>
      <c r="Q954" s="54" t="s">
        <v>149</v>
      </c>
      <c r="R954" s="54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4" t="s">
        <v>149</v>
      </c>
      <c r="P955" s="54">
        <f>HEX2DEC(RIGHT(Table132321432[[#This Row],[h1]],8))</f>
        <v>0</v>
      </c>
      <c r="Q955" s="54" t="s">
        <v>149</v>
      </c>
      <c r="R955" s="54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4" t="s">
        <v>149</v>
      </c>
      <c r="P956" s="54">
        <f>HEX2DEC(RIGHT(Table132321432[[#This Row],[h1]],8))</f>
        <v>0</v>
      </c>
      <c r="Q956" s="54" t="s">
        <v>149</v>
      </c>
      <c r="R956" s="54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4" t="s">
        <v>149</v>
      </c>
      <c r="P957" s="54">
        <f>HEX2DEC(RIGHT(Table132321432[[#This Row],[h1]],8))</f>
        <v>0</v>
      </c>
      <c r="Q957" s="54" t="s">
        <v>149</v>
      </c>
      <c r="R957" s="54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4" t="s">
        <v>149</v>
      </c>
      <c r="P958" s="54">
        <f>HEX2DEC(RIGHT(Table132321432[[#This Row],[h1]],8))</f>
        <v>0</v>
      </c>
      <c r="Q958" s="54" t="s">
        <v>149</v>
      </c>
      <c r="R958" s="54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4" t="s">
        <v>149</v>
      </c>
      <c r="P959" s="54">
        <f>HEX2DEC(RIGHT(Table132321432[[#This Row],[h1]],8))</f>
        <v>0</v>
      </c>
      <c r="Q959" s="54" t="s">
        <v>149</v>
      </c>
      <c r="R959" s="54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4" t="s">
        <v>149</v>
      </c>
      <c r="P960" s="54">
        <f>HEX2DEC(RIGHT(Table132321432[[#This Row],[h1]],8))</f>
        <v>0</v>
      </c>
      <c r="Q960" s="54" t="s">
        <v>149</v>
      </c>
      <c r="R960" s="54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4" t="s">
        <v>149</v>
      </c>
      <c r="P961" s="54">
        <f>HEX2DEC(RIGHT(Table132321432[[#This Row],[h1]],8))</f>
        <v>0</v>
      </c>
      <c r="Q961" s="54" t="s">
        <v>149</v>
      </c>
      <c r="R961" s="54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4" t="s">
        <v>149</v>
      </c>
      <c r="P962" s="54">
        <f>HEX2DEC(RIGHT(Table132321432[[#This Row],[h1]],8))</f>
        <v>0</v>
      </c>
      <c r="Q962" s="54" t="s">
        <v>149</v>
      </c>
      <c r="R962" s="54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4" t="s">
        <v>149</v>
      </c>
      <c r="P963" s="54">
        <f>HEX2DEC(RIGHT(Table132321432[[#This Row],[h1]],8))</f>
        <v>0</v>
      </c>
      <c r="Q963" s="54" t="s">
        <v>149</v>
      </c>
      <c r="R963" s="54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4" t="s">
        <v>149</v>
      </c>
      <c r="P964" s="54">
        <f>HEX2DEC(RIGHT(Table132321432[[#This Row],[h1]],8))</f>
        <v>0</v>
      </c>
      <c r="Q964" s="54" t="s">
        <v>149</v>
      </c>
      <c r="R964" s="54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4" t="s">
        <v>149</v>
      </c>
      <c r="P965" s="54">
        <f>HEX2DEC(RIGHT(Table132321432[[#This Row],[h1]],8))</f>
        <v>0</v>
      </c>
      <c r="Q965" s="54" t="s">
        <v>149</v>
      </c>
      <c r="R965" s="54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4" t="s">
        <v>149</v>
      </c>
      <c r="P966" s="54">
        <f>HEX2DEC(RIGHT(Table132321432[[#This Row],[h1]],8))</f>
        <v>0</v>
      </c>
      <c r="Q966" s="54" t="s">
        <v>149</v>
      </c>
      <c r="R966" s="54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4" t="s">
        <v>149</v>
      </c>
      <c r="P967" s="54">
        <f>HEX2DEC(RIGHT(Table132321432[[#This Row],[h1]],8))</f>
        <v>0</v>
      </c>
      <c r="Q967" s="54" t="s">
        <v>149</v>
      </c>
      <c r="R967" s="54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4" t="s">
        <v>149</v>
      </c>
      <c r="P968" s="54">
        <f>HEX2DEC(RIGHT(Table132321432[[#This Row],[h1]],8))</f>
        <v>0</v>
      </c>
      <c r="Q968" s="54" t="s">
        <v>149</v>
      </c>
      <c r="R968" s="54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4" t="s">
        <v>149</v>
      </c>
      <c r="P969" s="54">
        <f>HEX2DEC(RIGHT(Table132321432[[#This Row],[h1]],8))</f>
        <v>0</v>
      </c>
      <c r="Q969" s="54" t="s">
        <v>149</v>
      </c>
      <c r="R969" s="54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4" t="s">
        <v>149</v>
      </c>
      <c r="P970" s="54">
        <f>HEX2DEC(RIGHT(Table132321432[[#This Row],[h1]],8))</f>
        <v>0</v>
      </c>
      <c r="Q970" s="54" t="s">
        <v>149</v>
      </c>
      <c r="R970" s="54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4" t="s">
        <v>149</v>
      </c>
      <c r="P971" s="54">
        <f>HEX2DEC(RIGHT(Table132321432[[#This Row],[h1]],8))</f>
        <v>0</v>
      </c>
      <c r="Q971" s="54" t="s">
        <v>149</v>
      </c>
      <c r="R971" s="54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4" t="s">
        <v>149</v>
      </c>
      <c r="P972" s="54">
        <f>HEX2DEC(RIGHT(Table132321432[[#This Row],[h1]],8))</f>
        <v>0</v>
      </c>
      <c r="Q972" s="54" t="s">
        <v>149</v>
      </c>
      <c r="R972" s="54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4" t="s">
        <v>149</v>
      </c>
      <c r="P973" s="54">
        <f>HEX2DEC(RIGHT(Table132321432[[#This Row],[h1]],8))</f>
        <v>0</v>
      </c>
      <c r="Q973" s="54" t="s">
        <v>149</v>
      </c>
      <c r="R973" s="54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4" t="s">
        <v>149</v>
      </c>
      <c r="P974" s="54">
        <f>HEX2DEC(RIGHT(Table132321432[[#This Row],[h1]],8))</f>
        <v>0</v>
      </c>
      <c r="Q974" s="54" t="s">
        <v>149</v>
      </c>
      <c r="R974" s="54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4" t="s">
        <v>149</v>
      </c>
      <c r="P975" s="54">
        <f>HEX2DEC(RIGHT(Table132321432[[#This Row],[h1]],8))</f>
        <v>0</v>
      </c>
      <c r="Q975" s="54" t="s">
        <v>149</v>
      </c>
      <c r="R975" s="54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4" t="s">
        <v>149</v>
      </c>
      <c r="P976" s="54">
        <f>HEX2DEC(RIGHT(Table132321432[[#This Row],[h1]],8))</f>
        <v>0</v>
      </c>
      <c r="Q976" s="54" t="s">
        <v>149</v>
      </c>
      <c r="R976" s="54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4" t="s">
        <v>149</v>
      </c>
      <c r="P977" s="54">
        <f>HEX2DEC(RIGHT(Table132321432[[#This Row],[h1]],8))</f>
        <v>0</v>
      </c>
      <c r="Q977" s="54" t="s">
        <v>149</v>
      </c>
      <c r="R977" s="54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4" t="s">
        <v>149</v>
      </c>
      <c r="P978" s="54">
        <f>HEX2DEC(RIGHT(Table132321432[[#This Row],[h1]],8))</f>
        <v>0</v>
      </c>
      <c r="Q978" s="54" t="s">
        <v>149</v>
      </c>
      <c r="R978" s="54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4" t="s">
        <v>149</v>
      </c>
      <c r="P979" s="54">
        <f>HEX2DEC(RIGHT(Table132321432[[#This Row],[h1]],8))</f>
        <v>0</v>
      </c>
      <c r="Q979" s="54" t="s">
        <v>149</v>
      </c>
      <c r="R979" s="54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4" t="s">
        <v>149</v>
      </c>
      <c r="P980" s="54">
        <f>HEX2DEC(RIGHT(Table132321432[[#This Row],[h1]],8))</f>
        <v>0</v>
      </c>
      <c r="Q980" s="54" t="s">
        <v>149</v>
      </c>
      <c r="R980" s="54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4" t="s">
        <v>149</v>
      </c>
      <c r="P981" s="54">
        <f>HEX2DEC(RIGHT(Table132321432[[#This Row],[h1]],8))</f>
        <v>0</v>
      </c>
      <c r="Q981" s="54" t="s">
        <v>149</v>
      </c>
      <c r="R981" s="54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4" t="s">
        <v>149</v>
      </c>
      <c r="P982" s="54">
        <f>HEX2DEC(RIGHT(Table132321432[[#This Row],[h1]],8))</f>
        <v>0</v>
      </c>
      <c r="Q982" s="54" t="s">
        <v>149</v>
      </c>
      <c r="R982" s="54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4" t="s">
        <v>149</v>
      </c>
      <c r="P983" s="54">
        <f>HEX2DEC(RIGHT(Table132321432[[#This Row],[h1]],8))</f>
        <v>0</v>
      </c>
      <c r="Q983" s="54" t="s">
        <v>149</v>
      </c>
      <c r="R983" s="54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4" t="s">
        <v>149</v>
      </c>
      <c r="P984" s="54">
        <f>HEX2DEC(RIGHT(Table132321432[[#This Row],[h1]],8))</f>
        <v>0</v>
      </c>
      <c r="Q984" s="54" t="s">
        <v>149</v>
      </c>
      <c r="R984" s="54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4" t="s">
        <v>149</v>
      </c>
      <c r="P985" s="54">
        <f>HEX2DEC(RIGHT(Table132321432[[#This Row],[h1]],8))</f>
        <v>0</v>
      </c>
      <c r="Q985" s="54" t="s">
        <v>149</v>
      </c>
      <c r="R985" s="54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4" t="s">
        <v>149</v>
      </c>
      <c r="P986" s="54">
        <f>HEX2DEC(RIGHT(Table132321432[[#This Row],[h1]],8))</f>
        <v>0</v>
      </c>
      <c r="Q986" s="54" t="s">
        <v>149</v>
      </c>
      <c r="R986" s="54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4" t="s">
        <v>149</v>
      </c>
      <c r="P987" s="54">
        <f>HEX2DEC(RIGHT(Table132321432[[#This Row],[h1]],8))</f>
        <v>0</v>
      </c>
      <c r="Q987" s="54" t="s">
        <v>149</v>
      </c>
      <c r="R987" s="54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4" t="s">
        <v>149</v>
      </c>
      <c r="P988" s="54">
        <f>HEX2DEC(RIGHT(Table132321432[[#This Row],[h1]],8))</f>
        <v>0</v>
      </c>
      <c r="Q988" s="54" t="s">
        <v>149</v>
      </c>
      <c r="R988" s="54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4" t="s">
        <v>149</v>
      </c>
      <c r="P989" s="54">
        <f>HEX2DEC(RIGHT(Table132321432[[#This Row],[h1]],8))</f>
        <v>0</v>
      </c>
      <c r="Q989" s="54" t="s">
        <v>149</v>
      </c>
      <c r="R989" s="54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4" t="s">
        <v>149</v>
      </c>
      <c r="P990" s="54">
        <f>HEX2DEC(RIGHT(Table132321432[[#This Row],[h1]],8))</f>
        <v>0</v>
      </c>
      <c r="Q990" s="54" t="s">
        <v>149</v>
      </c>
      <c r="R990" s="54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4" t="s">
        <v>149</v>
      </c>
      <c r="P991" s="54">
        <f>HEX2DEC(RIGHT(Table132321432[[#This Row],[h1]],8))</f>
        <v>0</v>
      </c>
      <c r="Q991" s="54" t="s">
        <v>149</v>
      </c>
      <c r="R991" s="54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4" t="s">
        <v>149</v>
      </c>
      <c r="P992" s="54">
        <f>HEX2DEC(RIGHT(Table132321432[[#This Row],[h1]],8))</f>
        <v>0</v>
      </c>
      <c r="Q992" s="54" t="s">
        <v>149</v>
      </c>
      <c r="R992" s="54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4" t="s">
        <v>149</v>
      </c>
      <c r="P993" s="54">
        <f>HEX2DEC(RIGHT(Table132321432[[#This Row],[h1]],8))</f>
        <v>0</v>
      </c>
      <c r="Q993" s="54" t="s">
        <v>149</v>
      </c>
      <c r="R993" s="54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4" t="s">
        <v>149</v>
      </c>
      <c r="P994" s="54">
        <f>HEX2DEC(RIGHT(Table132321432[[#This Row],[h1]],8))</f>
        <v>0</v>
      </c>
      <c r="Q994" s="54" t="s">
        <v>149</v>
      </c>
      <c r="R994" s="54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4" t="s">
        <v>149</v>
      </c>
      <c r="P995" s="54">
        <f>HEX2DEC(RIGHT(Table132321432[[#This Row],[h1]],8))</f>
        <v>0</v>
      </c>
      <c r="Q995" s="54" t="s">
        <v>149</v>
      </c>
      <c r="R995" s="54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4" t="s">
        <v>149</v>
      </c>
      <c r="P996" s="54">
        <f>HEX2DEC(RIGHT(Table132321432[[#This Row],[h1]],8))</f>
        <v>0</v>
      </c>
      <c r="Q996" s="54" t="s">
        <v>149</v>
      </c>
      <c r="R996" s="54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4" t="s">
        <v>149</v>
      </c>
      <c r="P997" s="54">
        <f>HEX2DEC(RIGHT(Table132321432[[#This Row],[h1]],8))</f>
        <v>0</v>
      </c>
      <c r="Q997" s="54" t="s">
        <v>149</v>
      </c>
      <c r="R997" s="54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4" t="s">
        <v>149</v>
      </c>
      <c r="P998" s="54">
        <f>HEX2DEC(RIGHT(Table132321432[[#This Row],[h1]],8))</f>
        <v>0</v>
      </c>
      <c r="Q998" s="54" t="s">
        <v>149</v>
      </c>
      <c r="R998" s="54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4" t="s">
        <v>149</v>
      </c>
      <c r="P999" s="54">
        <f>HEX2DEC(RIGHT(Table132321432[[#This Row],[h1]],8))</f>
        <v>0</v>
      </c>
      <c r="Q999" s="54" t="s">
        <v>149</v>
      </c>
      <c r="R999" s="54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4" t="s">
        <v>149</v>
      </c>
      <c r="P1000" s="54">
        <f>HEX2DEC(RIGHT(Table132321432[[#This Row],[h1]],8))</f>
        <v>0</v>
      </c>
      <c r="Q1000" s="54" t="s">
        <v>149</v>
      </c>
      <c r="R1000" s="54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4" t="s">
        <v>149</v>
      </c>
      <c r="P1001" s="54">
        <f>HEX2DEC(RIGHT(Table132321432[[#This Row],[h1]],8))</f>
        <v>0</v>
      </c>
      <c r="Q1001" s="54" t="s">
        <v>149</v>
      </c>
      <c r="R1001" s="54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4" t="s">
        <v>149</v>
      </c>
      <c r="P1002" s="54">
        <f>HEX2DEC(RIGHT(Table132321432[[#This Row],[h1]],8))</f>
        <v>0</v>
      </c>
      <c r="Q1002" s="54" t="s">
        <v>149</v>
      </c>
      <c r="R1002" s="54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4" t="s">
        <v>149</v>
      </c>
      <c r="P1003" s="54">
        <f>HEX2DEC(RIGHT(Table132321432[[#This Row],[h1]],8))</f>
        <v>0</v>
      </c>
      <c r="Q1003" s="54" t="s">
        <v>149</v>
      </c>
      <c r="R1003" s="54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4" t="s">
        <v>149</v>
      </c>
      <c r="P1004" s="54">
        <f>HEX2DEC(RIGHT(Table132321432[[#This Row],[h1]],8))</f>
        <v>0</v>
      </c>
      <c r="Q1004" s="54" t="s">
        <v>149</v>
      </c>
      <c r="R1004" s="54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4" t="s">
        <v>149</v>
      </c>
      <c r="P1005" s="54">
        <f>HEX2DEC(RIGHT(Table132321432[[#This Row],[h1]],8))</f>
        <v>0</v>
      </c>
      <c r="Q1005" s="54" t="s">
        <v>149</v>
      </c>
      <c r="R1005" s="54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4" t="s">
        <v>149</v>
      </c>
      <c r="P1006" s="54">
        <f>HEX2DEC(RIGHT(Table132321432[[#This Row],[h1]],8))</f>
        <v>0</v>
      </c>
      <c r="Q1006" s="54" t="s">
        <v>149</v>
      </c>
      <c r="R1006" s="54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4" t="s">
        <v>149</v>
      </c>
      <c r="P1007" s="54">
        <f>HEX2DEC(RIGHT(Table132321432[[#This Row],[h1]],8))</f>
        <v>0</v>
      </c>
      <c r="Q1007" s="54" t="s">
        <v>149</v>
      </c>
      <c r="R1007" s="54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4" t="s">
        <v>149</v>
      </c>
      <c r="P1008" s="54">
        <f>HEX2DEC(RIGHT(Table132321432[[#This Row],[h1]],8))</f>
        <v>0</v>
      </c>
      <c r="Q1008" s="54" t="s">
        <v>149</v>
      </c>
      <c r="R1008" s="54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4" t="s">
        <v>149</v>
      </c>
      <c r="P1009" s="54">
        <f>HEX2DEC(RIGHT(Table132321432[[#This Row],[h1]],8))</f>
        <v>0</v>
      </c>
      <c r="Q1009" s="54" t="s">
        <v>149</v>
      </c>
      <c r="R1009" s="54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4" t="s">
        <v>149</v>
      </c>
      <c r="P1010" s="54">
        <f>HEX2DEC(RIGHT(Table132321432[[#This Row],[h1]],8))</f>
        <v>0</v>
      </c>
      <c r="Q1010" s="54" t="s">
        <v>149</v>
      </c>
      <c r="R1010" s="54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4" t="s">
        <v>149</v>
      </c>
      <c r="P1011" s="54">
        <f>HEX2DEC(RIGHT(Table132321432[[#This Row],[h1]],8))</f>
        <v>0</v>
      </c>
      <c r="Q1011" s="54" t="s">
        <v>149</v>
      </c>
      <c r="R1011" s="54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4" t="s">
        <v>149</v>
      </c>
      <c r="P1012" s="54">
        <f>HEX2DEC(RIGHT(Table132321432[[#This Row],[h1]],8))</f>
        <v>0</v>
      </c>
      <c r="Q1012" s="54" t="s">
        <v>149</v>
      </c>
      <c r="R1012" s="54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4" t="s">
        <v>149</v>
      </c>
      <c r="P1013" s="54">
        <f>HEX2DEC(RIGHT(Table132321432[[#This Row],[h1]],8))</f>
        <v>0</v>
      </c>
      <c r="Q1013" s="54" t="s">
        <v>149</v>
      </c>
      <c r="R1013" s="54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4" t="s">
        <v>149</v>
      </c>
      <c r="P1014" s="54">
        <f>HEX2DEC(RIGHT(Table132321432[[#This Row],[h1]],8))</f>
        <v>0</v>
      </c>
      <c r="Q1014" s="54" t="s">
        <v>149</v>
      </c>
      <c r="R1014" s="54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4" t="s">
        <v>149</v>
      </c>
      <c r="P1015" s="54">
        <f>HEX2DEC(RIGHT(Table132321432[[#This Row],[h1]],8))</f>
        <v>0</v>
      </c>
      <c r="Q1015" s="54" t="s">
        <v>149</v>
      </c>
      <c r="R1015" s="54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4" t="s">
        <v>149</v>
      </c>
      <c r="P1016" s="54">
        <f>HEX2DEC(RIGHT(Table132321432[[#This Row],[h1]],8))</f>
        <v>0</v>
      </c>
      <c r="Q1016" s="54" t="s">
        <v>149</v>
      </c>
      <c r="R1016" s="54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4" t="s">
        <v>149</v>
      </c>
      <c r="P1017" s="54">
        <f>HEX2DEC(RIGHT(Table132321432[[#This Row],[h1]],8))</f>
        <v>0</v>
      </c>
      <c r="Q1017" s="54" t="s">
        <v>149</v>
      </c>
      <c r="R1017" s="54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4" t="s">
        <v>149</v>
      </c>
      <c r="P1018" s="54">
        <f>HEX2DEC(RIGHT(Table132321432[[#This Row],[h1]],8))</f>
        <v>0</v>
      </c>
      <c r="Q1018" s="54" t="s">
        <v>149</v>
      </c>
      <c r="R1018" s="54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4" t="s">
        <v>149</v>
      </c>
      <c r="P1019" s="54">
        <f>HEX2DEC(RIGHT(Table132321432[[#This Row],[h1]],8))</f>
        <v>0</v>
      </c>
      <c r="Q1019" s="54" t="s">
        <v>149</v>
      </c>
      <c r="R1019" s="54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4" t="s">
        <v>149</v>
      </c>
      <c r="P1020" s="54">
        <f>HEX2DEC(RIGHT(Table132321432[[#This Row],[h1]],8))</f>
        <v>0</v>
      </c>
      <c r="Q1020" s="54" t="s">
        <v>149</v>
      </c>
      <c r="R1020" s="54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4" t="s">
        <v>149</v>
      </c>
      <c r="P1021" s="54">
        <f>HEX2DEC(RIGHT(Table132321432[[#This Row],[h1]],8))</f>
        <v>0</v>
      </c>
      <c r="Q1021" s="54" t="s">
        <v>149</v>
      </c>
      <c r="R1021" s="54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4" t="s">
        <v>149</v>
      </c>
      <c r="P1022" s="54">
        <f>HEX2DEC(RIGHT(Table132321432[[#This Row],[h1]],8))</f>
        <v>0</v>
      </c>
      <c r="Q1022" s="54" t="s">
        <v>149</v>
      </c>
      <c r="R1022" s="54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4" t="s">
        <v>149</v>
      </c>
      <c r="P1023" s="54">
        <f>HEX2DEC(RIGHT(Table132321432[[#This Row],[h1]],8))</f>
        <v>0</v>
      </c>
      <c r="Q1023" s="54" t="s">
        <v>149</v>
      </c>
      <c r="R1023" s="54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4" t="s">
        <v>149</v>
      </c>
      <c r="P1024" s="54">
        <f>HEX2DEC(RIGHT(Table132321432[[#This Row],[h1]],8))</f>
        <v>0</v>
      </c>
      <c r="Q1024" s="54" t="s">
        <v>149</v>
      </c>
      <c r="R1024" s="54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4" t="s">
        <v>149</v>
      </c>
      <c r="P1025" s="54">
        <f>HEX2DEC(RIGHT(Table132321432[[#This Row],[h1]],8))</f>
        <v>0</v>
      </c>
      <c r="Q1025" s="54" t="s">
        <v>149</v>
      </c>
      <c r="R1025" s="54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4" t="s">
        <v>149</v>
      </c>
      <c r="P1026" s="54">
        <f>HEX2DEC(RIGHT(Table132321432[[#This Row],[h1]],8))</f>
        <v>0</v>
      </c>
      <c r="Q1026" s="54" t="s">
        <v>149</v>
      </c>
      <c r="R1026" s="54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4" t="s">
        <v>149</v>
      </c>
      <c r="P1027" s="54">
        <f>HEX2DEC(RIGHT(Table132321432[[#This Row],[h1]],8))</f>
        <v>0</v>
      </c>
      <c r="Q1027" s="54" t="s">
        <v>149</v>
      </c>
      <c r="R1027" s="54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4" t="s">
        <v>149</v>
      </c>
      <c r="P1028" s="54">
        <f>HEX2DEC(RIGHT(Table132321432[[#This Row],[h1]],8))</f>
        <v>0</v>
      </c>
      <c r="Q1028" s="54" t="s">
        <v>149</v>
      </c>
      <c r="R1028" s="54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4" t="s">
        <v>149</v>
      </c>
      <c r="P1029" s="54">
        <f>HEX2DEC(RIGHT(Table132321432[[#This Row],[h1]],8))</f>
        <v>0</v>
      </c>
      <c r="Q1029" s="54" t="s">
        <v>149</v>
      </c>
      <c r="R1029" s="54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4" t="s">
        <v>149</v>
      </c>
      <c r="P1030" s="54">
        <f>HEX2DEC(RIGHT(Table132321432[[#This Row],[h1]],8))</f>
        <v>0</v>
      </c>
      <c r="Q1030" s="54" t="s">
        <v>149</v>
      </c>
      <c r="R1030" s="54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4" t="s">
        <v>149</v>
      </c>
      <c r="P1031" s="54">
        <f>HEX2DEC(RIGHT(Table132321432[[#This Row],[h1]],8))</f>
        <v>0</v>
      </c>
      <c r="Q1031" s="54" t="s">
        <v>149</v>
      </c>
      <c r="R1031" s="54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4" t="s">
        <v>149</v>
      </c>
      <c r="P1032" s="54">
        <f>HEX2DEC(RIGHT(Table132321432[[#This Row],[h1]],8))</f>
        <v>0</v>
      </c>
      <c r="Q1032" s="54" t="s">
        <v>149</v>
      </c>
      <c r="R1032" s="54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4" t="s">
        <v>149</v>
      </c>
      <c r="P1033" s="54">
        <f>HEX2DEC(RIGHT(Table132321432[[#This Row],[h1]],8))</f>
        <v>0</v>
      </c>
      <c r="Q1033" s="54" t="s">
        <v>149</v>
      </c>
      <c r="R1033" s="54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4" t="s">
        <v>149</v>
      </c>
      <c r="P1034" s="54">
        <f>HEX2DEC(RIGHT(Table132321432[[#This Row],[h1]],8))</f>
        <v>0</v>
      </c>
      <c r="Q1034" s="54" t="s">
        <v>149</v>
      </c>
      <c r="R1034" s="54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4" t="s">
        <v>149</v>
      </c>
      <c r="P1035" s="54">
        <f>HEX2DEC(RIGHT(Table132321432[[#This Row],[h1]],8))</f>
        <v>0</v>
      </c>
      <c r="Q1035" s="54" t="s">
        <v>149</v>
      </c>
      <c r="R1035" s="54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4" t="s">
        <v>149</v>
      </c>
      <c r="P1036" s="54">
        <f>HEX2DEC(RIGHT(Table132321432[[#This Row],[h1]],8))</f>
        <v>0</v>
      </c>
      <c r="Q1036" s="54" t="s">
        <v>149</v>
      </c>
      <c r="R1036" s="54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4" t="s">
        <v>149</v>
      </c>
      <c r="P1037" s="54">
        <f>HEX2DEC(RIGHT(Table132321432[[#This Row],[h1]],8))</f>
        <v>0</v>
      </c>
      <c r="Q1037" s="54" t="s">
        <v>149</v>
      </c>
      <c r="R1037" s="54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4" t="s">
        <v>149</v>
      </c>
      <c r="P1038" s="54">
        <f>HEX2DEC(RIGHT(Table132321432[[#This Row],[h1]],8))</f>
        <v>0</v>
      </c>
      <c r="Q1038" s="54" t="s">
        <v>149</v>
      </c>
      <c r="R1038" s="54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4" t="s">
        <v>149</v>
      </c>
      <c r="P1039" s="54">
        <f>HEX2DEC(RIGHT(Table132321432[[#This Row],[h1]],8))</f>
        <v>0</v>
      </c>
      <c r="Q1039" s="54" t="s">
        <v>149</v>
      </c>
      <c r="R1039" s="54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4" t="s">
        <v>149</v>
      </c>
      <c r="P1040" s="54">
        <f>HEX2DEC(RIGHT(Table132321432[[#This Row],[h1]],8))</f>
        <v>0</v>
      </c>
      <c r="Q1040" s="54" t="s">
        <v>149</v>
      </c>
      <c r="R1040" s="54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4" t="s">
        <v>149</v>
      </c>
      <c r="P1041" s="54">
        <f>HEX2DEC(RIGHT(Table132321432[[#This Row],[h1]],8))</f>
        <v>0</v>
      </c>
      <c r="Q1041" s="54" t="s">
        <v>149</v>
      </c>
      <c r="R1041" s="54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4" t="s">
        <v>149</v>
      </c>
      <c r="P1042" s="54">
        <f>HEX2DEC(RIGHT(Table132321432[[#This Row],[h1]],8))</f>
        <v>0</v>
      </c>
      <c r="Q1042" s="54" t="s">
        <v>149</v>
      </c>
      <c r="R1042" s="54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4" t="s">
        <v>149</v>
      </c>
      <c r="P1043" s="54">
        <f>HEX2DEC(RIGHT(Table132321432[[#This Row],[h1]],8))</f>
        <v>0</v>
      </c>
      <c r="Q1043" s="54" t="s">
        <v>149</v>
      </c>
      <c r="R1043" s="54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4" t="s">
        <v>149</v>
      </c>
      <c r="P1044" s="54">
        <f>HEX2DEC(RIGHT(Table132321432[[#This Row],[h1]],8))</f>
        <v>0</v>
      </c>
      <c r="Q1044" s="54" t="s">
        <v>149</v>
      </c>
      <c r="R1044" s="54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4" t="s">
        <v>149</v>
      </c>
      <c r="P1045" s="54">
        <f>HEX2DEC(RIGHT(Table132321432[[#This Row],[h1]],8))</f>
        <v>0</v>
      </c>
      <c r="Q1045" s="54" t="s">
        <v>149</v>
      </c>
      <c r="R1045" s="54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4" t="s">
        <v>149</v>
      </c>
      <c r="P1046" s="54">
        <f>HEX2DEC(RIGHT(Table132321432[[#This Row],[h1]],8))</f>
        <v>0</v>
      </c>
      <c r="Q1046" s="54" t="s">
        <v>149</v>
      </c>
      <c r="R1046" s="54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4" t="s">
        <v>149</v>
      </c>
      <c r="P1047" s="54">
        <f>HEX2DEC(RIGHT(Table132321432[[#This Row],[h1]],8))</f>
        <v>0</v>
      </c>
      <c r="Q1047" s="54" t="s">
        <v>149</v>
      </c>
      <c r="R1047" s="54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4" t="s">
        <v>149</v>
      </c>
      <c r="P1048" s="54">
        <f>HEX2DEC(RIGHT(Table132321432[[#This Row],[h1]],8))</f>
        <v>0</v>
      </c>
      <c r="Q1048" s="54" t="s">
        <v>149</v>
      </c>
      <c r="R1048" s="54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4" t="s">
        <v>149</v>
      </c>
      <c r="P1049" s="54">
        <f>HEX2DEC(RIGHT(Table132321432[[#This Row],[h1]],8))</f>
        <v>0</v>
      </c>
      <c r="Q1049" s="54" t="s">
        <v>149</v>
      </c>
      <c r="R1049" s="54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4" t="s">
        <v>149</v>
      </c>
      <c r="P1050" s="54">
        <f>HEX2DEC(RIGHT(Table132321432[[#This Row],[h1]],8))</f>
        <v>0</v>
      </c>
      <c r="Q1050" s="54" t="s">
        <v>149</v>
      </c>
      <c r="R1050" s="54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4" t="s">
        <v>149</v>
      </c>
      <c r="P1051" s="54">
        <f>HEX2DEC(RIGHT(Table132321432[[#This Row],[h1]],8))</f>
        <v>0</v>
      </c>
      <c r="Q1051" s="54" t="s">
        <v>149</v>
      </c>
      <c r="R1051" s="54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4" t="s">
        <v>149</v>
      </c>
      <c r="P1052" s="54">
        <f>HEX2DEC(RIGHT(Table132321432[[#This Row],[h1]],8))</f>
        <v>0</v>
      </c>
      <c r="Q1052" s="54" t="s">
        <v>149</v>
      </c>
      <c r="R1052" s="54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4" t="s">
        <v>149</v>
      </c>
      <c r="P1053" s="54">
        <f>HEX2DEC(RIGHT(Table132321432[[#This Row],[h1]],8))</f>
        <v>0</v>
      </c>
      <c r="Q1053" s="54" t="s">
        <v>149</v>
      </c>
      <c r="R1053" s="54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4" t="s">
        <v>149</v>
      </c>
      <c r="P1054" s="54">
        <f>HEX2DEC(RIGHT(Table132321432[[#This Row],[h1]],8))</f>
        <v>0</v>
      </c>
      <c r="Q1054" s="54" t="s">
        <v>149</v>
      </c>
      <c r="R1054" s="54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4" t="s">
        <v>149</v>
      </c>
      <c r="P1055" s="54">
        <f>HEX2DEC(RIGHT(Table132321432[[#This Row],[h1]],8))</f>
        <v>0</v>
      </c>
      <c r="Q1055" s="54" t="s">
        <v>149</v>
      </c>
      <c r="R1055" s="54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4" t="s">
        <v>149</v>
      </c>
      <c r="P1056" s="54">
        <f>HEX2DEC(RIGHT(Table132321432[[#This Row],[h1]],8))</f>
        <v>0</v>
      </c>
      <c r="Q1056" s="54" t="s">
        <v>149</v>
      </c>
      <c r="R1056" s="54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4" t="s">
        <v>149</v>
      </c>
      <c r="P1057" s="54">
        <f>HEX2DEC(RIGHT(Table132321432[[#This Row],[h1]],8))</f>
        <v>0</v>
      </c>
      <c r="Q1057" s="54" t="s">
        <v>149</v>
      </c>
      <c r="R1057" s="54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4" t="s">
        <v>149</v>
      </c>
      <c r="P1058" s="54">
        <f>HEX2DEC(RIGHT(Table132321432[[#This Row],[h1]],8))</f>
        <v>0</v>
      </c>
      <c r="Q1058" s="54" t="s">
        <v>149</v>
      </c>
      <c r="R1058" s="54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4" t="s">
        <v>149</v>
      </c>
      <c r="P1059" s="54">
        <f>HEX2DEC(RIGHT(Table132321432[[#This Row],[h1]],8))</f>
        <v>0</v>
      </c>
      <c r="Q1059" s="54" t="s">
        <v>149</v>
      </c>
      <c r="R1059" s="54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4" t="s">
        <v>149</v>
      </c>
      <c r="P1060" s="54">
        <f>HEX2DEC(RIGHT(Table132321432[[#This Row],[h1]],8))</f>
        <v>0</v>
      </c>
      <c r="Q1060" s="54" t="s">
        <v>149</v>
      </c>
      <c r="R1060" s="54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4" t="s">
        <v>149</v>
      </c>
      <c r="P1061" s="54">
        <f>HEX2DEC(RIGHT(Table132321432[[#This Row],[h1]],8))</f>
        <v>0</v>
      </c>
      <c r="Q1061" s="54" t="s">
        <v>149</v>
      </c>
      <c r="R1061" s="54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4" t="s">
        <v>149</v>
      </c>
      <c r="P1062" s="54">
        <f>HEX2DEC(RIGHT(Table132321432[[#This Row],[h1]],8))</f>
        <v>0</v>
      </c>
      <c r="Q1062" s="54" t="s">
        <v>149</v>
      </c>
      <c r="R1062" s="54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4" t="s">
        <v>149</v>
      </c>
      <c r="P1063" s="54">
        <f>HEX2DEC(RIGHT(Table132321432[[#This Row],[h1]],8))</f>
        <v>0</v>
      </c>
      <c r="Q1063" s="54" t="s">
        <v>149</v>
      </c>
      <c r="R1063" s="54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4" t="s">
        <v>149</v>
      </c>
      <c r="P1064" s="54">
        <f>HEX2DEC(RIGHT(Table132321432[[#This Row],[h1]],8))</f>
        <v>0</v>
      </c>
      <c r="Q1064" s="54" t="s">
        <v>149</v>
      </c>
      <c r="R1064" s="54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4" t="s">
        <v>149</v>
      </c>
      <c r="P1065" s="54">
        <f>HEX2DEC(RIGHT(Table132321432[[#This Row],[h1]],8))</f>
        <v>0</v>
      </c>
      <c r="Q1065" s="54" t="s">
        <v>149</v>
      </c>
      <c r="R1065" s="54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4" t="s">
        <v>149</v>
      </c>
      <c r="P1066" s="54">
        <f>HEX2DEC(RIGHT(Table132321432[[#This Row],[h1]],8))</f>
        <v>0</v>
      </c>
      <c r="Q1066" s="54" t="s">
        <v>149</v>
      </c>
      <c r="R1066" s="54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4" t="s">
        <v>149</v>
      </c>
      <c r="P1067" s="54">
        <f>HEX2DEC(RIGHT(Table132321432[[#This Row],[h1]],8))</f>
        <v>0</v>
      </c>
      <c r="Q1067" s="54" t="s">
        <v>149</v>
      </c>
      <c r="R1067" s="54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4" t="s">
        <v>149</v>
      </c>
      <c r="P1068" s="54">
        <f>HEX2DEC(RIGHT(Table132321432[[#This Row],[h1]],8))</f>
        <v>0</v>
      </c>
      <c r="Q1068" s="54" t="s">
        <v>149</v>
      </c>
      <c r="R1068" s="54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4" t="s">
        <v>149</v>
      </c>
      <c r="P1069" s="54">
        <f>HEX2DEC(RIGHT(Table132321432[[#This Row],[h1]],8))</f>
        <v>0</v>
      </c>
      <c r="Q1069" s="54" t="s">
        <v>149</v>
      </c>
      <c r="R1069" s="54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4" t="s">
        <v>149</v>
      </c>
      <c r="P1070" s="54">
        <f>HEX2DEC(RIGHT(Table132321432[[#This Row],[h1]],8))</f>
        <v>0</v>
      </c>
      <c r="Q1070" s="54" t="s">
        <v>149</v>
      </c>
      <c r="R1070" s="54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4" t="s">
        <v>149</v>
      </c>
      <c r="P1071" s="54">
        <f>HEX2DEC(RIGHT(Table132321432[[#This Row],[h1]],8))</f>
        <v>0</v>
      </c>
      <c r="Q1071" s="54" t="s">
        <v>149</v>
      </c>
      <c r="R1071" s="54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4" t="s">
        <v>149</v>
      </c>
      <c r="P1072" s="54">
        <f>HEX2DEC(RIGHT(Table132321432[[#This Row],[h1]],8))</f>
        <v>0</v>
      </c>
      <c r="Q1072" s="54" t="s">
        <v>149</v>
      </c>
      <c r="R1072" s="54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4" t="s">
        <v>149</v>
      </c>
      <c r="P1073" s="54">
        <f>HEX2DEC(RIGHT(Table132321432[[#This Row],[h1]],8))</f>
        <v>0</v>
      </c>
      <c r="Q1073" s="54" t="s">
        <v>149</v>
      </c>
      <c r="R1073" s="54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4" t="s">
        <v>149</v>
      </c>
      <c r="P1074" s="54">
        <f>HEX2DEC(RIGHT(Table132321432[[#This Row],[h1]],8))</f>
        <v>0</v>
      </c>
      <c r="Q1074" s="54" t="s">
        <v>149</v>
      </c>
      <c r="R1074" s="54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4" t="s">
        <v>149</v>
      </c>
      <c r="P1075" s="54">
        <f>HEX2DEC(RIGHT(Table132321432[[#This Row],[h1]],8))</f>
        <v>0</v>
      </c>
      <c r="Q1075" s="54" t="s">
        <v>149</v>
      </c>
      <c r="R1075" s="54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4" t="s">
        <v>149</v>
      </c>
      <c r="P1076" s="54">
        <f>HEX2DEC(RIGHT(Table132321432[[#This Row],[h1]],8))</f>
        <v>0</v>
      </c>
      <c r="Q1076" s="54" t="s">
        <v>149</v>
      </c>
      <c r="R1076" s="54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4" t="s">
        <v>149</v>
      </c>
      <c r="P1077" s="54">
        <f>HEX2DEC(RIGHT(Table132321432[[#This Row],[h1]],8))</f>
        <v>0</v>
      </c>
      <c r="Q1077" s="54" t="s">
        <v>149</v>
      </c>
      <c r="R1077" s="54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4" t="s">
        <v>149</v>
      </c>
      <c r="P1078" s="54">
        <f>HEX2DEC(RIGHT(Table132321432[[#This Row],[h1]],8))</f>
        <v>0</v>
      </c>
      <c r="Q1078" s="54" t="s">
        <v>149</v>
      </c>
      <c r="R1078" s="54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4" t="s">
        <v>149</v>
      </c>
      <c r="P1079" s="54">
        <f>HEX2DEC(RIGHT(Table132321432[[#This Row],[h1]],8))</f>
        <v>0</v>
      </c>
      <c r="Q1079" s="54" t="s">
        <v>149</v>
      </c>
      <c r="R1079" s="54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4" t="s">
        <v>149</v>
      </c>
      <c r="P1080" s="54">
        <f>HEX2DEC(RIGHT(Table132321432[[#This Row],[h1]],8))</f>
        <v>0</v>
      </c>
      <c r="Q1080" s="54" t="s">
        <v>149</v>
      </c>
      <c r="R1080" s="54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4" t="s">
        <v>149</v>
      </c>
      <c r="P1081" s="54">
        <f>HEX2DEC(RIGHT(Table132321432[[#This Row],[h1]],8))</f>
        <v>0</v>
      </c>
      <c r="Q1081" s="54" t="s">
        <v>149</v>
      </c>
      <c r="R1081" s="54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4" t="s">
        <v>149</v>
      </c>
      <c r="P1082" s="54">
        <f>HEX2DEC(RIGHT(Table132321432[[#This Row],[h1]],8))</f>
        <v>0</v>
      </c>
      <c r="Q1082" s="54" t="s">
        <v>149</v>
      </c>
      <c r="R1082" s="54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4" t="s">
        <v>149</v>
      </c>
      <c r="P1083" s="54">
        <f>HEX2DEC(RIGHT(Table132321432[[#This Row],[h1]],8))</f>
        <v>0</v>
      </c>
      <c r="Q1083" s="54" t="s">
        <v>149</v>
      </c>
      <c r="R1083" s="54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4" t="s">
        <v>149</v>
      </c>
      <c r="P1084" s="54">
        <f>HEX2DEC(RIGHT(Table132321432[[#This Row],[h1]],8))</f>
        <v>0</v>
      </c>
      <c r="Q1084" s="54" t="s">
        <v>149</v>
      </c>
      <c r="R1084" s="54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4" t="s">
        <v>149</v>
      </c>
      <c r="P1085" s="54">
        <f>HEX2DEC(RIGHT(Table132321432[[#This Row],[h1]],8))</f>
        <v>0</v>
      </c>
      <c r="Q1085" s="54" t="s">
        <v>149</v>
      </c>
      <c r="R1085" s="54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4" t="s">
        <v>149</v>
      </c>
      <c r="P1086" s="54">
        <f>HEX2DEC(RIGHT(Table132321432[[#This Row],[h1]],8))</f>
        <v>0</v>
      </c>
      <c r="Q1086" s="54" t="s">
        <v>149</v>
      </c>
      <c r="R1086" s="54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4" t="s">
        <v>149</v>
      </c>
      <c r="P1087" s="54">
        <f>HEX2DEC(RIGHT(Table132321432[[#This Row],[h1]],8))</f>
        <v>0</v>
      </c>
      <c r="Q1087" s="54" t="s">
        <v>149</v>
      </c>
      <c r="R1087" s="54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4" t="s">
        <v>149</v>
      </c>
      <c r="P1088" s="54">
        <f>HEX2DEC(RIGHT(Table132321432[[#This Row],[h1]],8))</f>
        <v>0</v>
      </c>
      <c r="Q1088" s="54" t="s">
        <v>149</v>
      </c>
      <c r="R1088" s="54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4" t="s">
        <v>149</v>
      </c>
      <c r="P1089" s="54">
        <f>HEX2DEC(RIGHT(Table132321432[[#This Row],[h1]],8))</f>
        <v>0</v>
      </c>
      <c r="Q1089" s="54" t="s">
        <v>149</v>
      </c>
      <c r="R1089" s="54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4" t="s">
        <v>149</v>
      </c>
      <c r="P1090" s="54">
        <f>HEX2DEC(RIGHT(Table132321432[[#This Row],[h1]],8))</f>
        <v>0</v>
      </c>
      <c r="Q1090" s="54" t="s">
        <v>149</v>
      </c>
      <c r="R1090" s="54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4" t="s">
        <v>149</v>
      </c>
      <c r="P1091" s="54">
        <f>HEX2DEC(RIGHT(Table132321432[[#This Row],[h1]],8))</f>
        <v>0</v>
      </c>
      <c r="Q1091" s="54" t="s">
        <v>149</v>
      </c>
      <c r="R1091" s="54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4" t="s">
        <v>149</v>
      </c>
      <c r="P1092" s="54">
        <f>HEX2DEC(RIGHT(Table132321432[[#This Row],[h1]],8))</f>
        <v>0</v>
      </c>
      <c r="Q1092" s="54" t="s">
        <v>149</v>
      </c>
      <c r="R1092" s="54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4" t="s">
        <v>149</v>
      </c>
      <c r="P1093" s="54">
        <f>HEX2DEC(RIGHT(Table132321432[[#This Row],[h1]],8))</f>
        <v>0</v>
      </c>
      <c r="Q1093" s="54" t="s">
        <v>149</v>
      </c>
      <c r="R1093" s="54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4" t="s">
        <v>149</v>
      </c>
      <c r="P1094" s="54">
        <f>HEX2DEC(RIGHT(Table132321432[[#This Row],[h1]],8))</f>
        <v>0</v>
      </c>
      <c r="Q1094" s="54" t="s">
        <v>149</v>
      </c>
      <c r="R1094" s="54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4" t="s">
        <v>149</v>
      </c>
      <c r="P1095" s="54">
        <f>HEX2DEC(RIGHT(Table132321432[[#This Row],[h1]],8))</f>
        <v>0</v>
      </c>
      <c r="Q1095" s="54" t="s">
        <v>149</v>
      </c>
      <c r="R1095" s="54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4" t="s">
        <v>149</v>
      </c>
      <c r="P1096" s="54">
        <f>HEX2DEC(RIGHT(Table132321432[[#This Row],[h1]],8))</f>
        <v>0</v>
      </c>
      <c r="Q1096" s="54" t="s">
        <v>149</v>
      </c>
      <c r="R1096" s="54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4" t="s">
        <v>149</v>
      </c>
      <c r="P1097" s="54">
        <f>HEX2DEC(RIGHT(Table132321432[[#This Row],[h1]],8))</f>
        <v>0</v>
      </c>
      <c r="Q1097" s="54" t="s">
        <v>149</v>
      </c>
      <c r="R1097" s="54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4" t="s">
        <v>149</v>
      </c>
      <c r="P1098" s="54">
        <f>HEX2DEC(RIGHT(Table132321432[[#This Row],[h1]],8))</f>
        <v>0</v>
      </c>
      <c r="Q1098" s="54" t="s">
        <v>149</v>
      </c>
      <c r="R1098" s="54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4" t="s">
        <v>149</v>
      </c>
      <c r="P1099" s="54">
        <f>HEX2DEC(RIGHT(Table132321432[[#This Row],[h1]],8))</f>
        <v>0</v>
      </c>
      <c r="Q1099" s="54" t="s">
        <v>149</v>
      </c>
      <c r="R1099" s="54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4" t="s">
        <v>149</v>
      </c>
      <c r="P1100" s="54">
        <f>HEX2DEC(RIGHT(Table132321432[[#This Row],[h1]],8))</f>
        <v>0</v>
      </c>
      <c r="Q1100" s="54" t="s">
        <v>149</v>
      </c>
      <c r="R1100" s="54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4" t="s">
        <v>149</v>
      </c>
      <c r="P1101" s="54">
        <f>HEX2DEC(RIGHT(Table132321432[[#This Row],[h1]],8))</f>
        <v>0</v>
      </c>
      <c r="Q1101" s="54" t="s">
        <v>149</v>
      </c>
      <c r="R1101" s="54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4" t="s">
        <v>149</v>
      </c>
      <c r="P1102" s="54">
        <f>HEX2DEC(RIGHT(Table132321432[[#This Row],[h1]],8))</f>
        <v>0</v>
      </c>
      <c r="Q1102" s="54" t="s">
        <v>149</v>
      </c>
      <c r="R1102" s="54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4" t="s">
        <v>149</v>
      </c>
      <c r="P1103" s="54">
        <f>HEX2DEC(RIGHT(Table132321432[[#This Row],[h1]],8))</f>
        <v>0</v>
      </c>
      <c r="Q1103" s="54" t="s">
        <v>149</v>
      </c>
      <c r="R1103" s="54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4" t="s">
        <v>149</v>
      </c>
      <c r="P1104" s="54">
        <f>HEX2DEC(RIGHT(Table132321432[[#This Row],[h1]],8))</f>
        <v>0</v>
      </c>
      <c r="Q1104" s="54" t="s">
        <v>149</v>
      </c>
      <c r="R1104" s="54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4" t="s">
        <v>149</v>
      </c>
      <c r="P1105" s="54">
        <f>HEX2DEC(RIGHT(Table132321432[[#This Row],[h1]],8))</f>
        <v>0</v>
      </c>
      <c r="Q1105" s="54" t="s">
        <v>149</v>
      </c>
      <c r="R1105" s="54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4" t="s">
        <v>149</v>
      </c>
      <c r="P1106" s="54">
        <f>HEX2DEC(RIGHT(Table132321432[[#This Row],[h1]],8))</f>
        <v>0</v>
      </c>
      <c r="Q1106" s="54" t="s">
        <v>149</v>
      </c>
      <c r="R1106" s="54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4" t="s">
        <v>149</v>
      </c>
      <c r="P1107" s="54">
        <f>HEX2DEC(RIGHT(Table132321432[[#This Row],[h1]],8))</f>
        <v>0</v>
      </c>
      <c r="Q1107" s="54" t="s">
        <v>149</v>
      </c>
      <c r="R1107" s="54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4" t="s">
        <v>149</v>
      </c>
      <c r="P1108" s="54">
        <f>HEX2DEC(RIGHT(Table132321432[[#This Row],[h1]],8))</f>
        <v>0</v>
      </c>
      <c r="Q1108" s="54" t="s">
        <v>149</v>
      </c>
      <c r="R1108" s="54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4" t="s">
        <v>149</v>
      </c>
      <c r="P1109" s="54">
        <f>HEX2DEC(RIGHT(Table132321432[[#This Row],[h1]],8))</f>
        <v>0</v>
      </c>
      <c r="Q1109" s="54" t="s">
        <v>149</v>
      </c>
      <c r="R1109" s="54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4" t="s">
        <v>149</v>
      </c>
      <c r="P1110" s="54">
        <f>HEX2DEC(RIGHT(Table132321432[[#This Row],[h1]],8))</f>
        <v>0</v>
      </c>
      <c r="Q1110" s="54" t="s">
        <v>149</v>
      </c>
      <c r="R1110" s="54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4" t="s">
        <v>149</v>
      </c>
      <c r="P1111" s="54">
        <f>HEX2DEC(RIGHT(Table132321432[[#This Row],[h1]],8))</f>
        <v>0</v>
      </c>
      <c r="Q1111" s="54" t="s">
        <v>149</v>
      </c>
      <c r="R1111" s="54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4" t="s">
        <v>149</v>
      </c>
      <c r="P1112" s="54">
        <f>HEX2DEC(RIGHT(Table132321432[[#This Row],[h1]],8))</f>
        <v>0</v>
      </c>
      <c r="Q1112" s="54" t="s">
        <v>149</v>
      </c>
      <c r="R1112" s="54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4" t="s">
        <v>149</v>
      </c>
      <c r="P1113" s="54">
        <f>HEX2DEC(RIGHT(Table132321432[[#This Row],[h1]],8))</f>
        <v>0</v>
      </c>
      <c r="Q1113" s="54" t="s">
        <v>149</v>
      </c>
      <c r="R1113" s="54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4" t="s">
        <v>149</v>
      </c>
      <c r="P1114" s="54">
        <f>HEX2DEC(RIGHT(Table132321432[[#This Row],[h1]],8))</f>
        <v>0</v>
      </c>
      <c r="Q1114" s="54" t="s">
        <v>149</v>
      </c>
      <c r="R1114" s="54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4" t="s">
        <v>149</v>
      </c>
      <c r="P1115" s="54">
        <f>HEX2DEC(RIGHT(Table132321432[[#This Row],[h1]],8))</f>
        <v>0</v>
      </c>
      <c r="Q1115" s="54" t="s">
        <v>149</v>
      </c>
      <c r="R1115" s="54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4" t="s">
        <v>149</v>
      </c>
      <c r="P1116" s="54">
        <f>HEX2DEC(RIGHT(Table132321432[[#This Row],[h1]],8))</f>
        <v>0</v>
      </c>
      <c r="Q1116" s="54" t="s">
        <v>149</v>
      </c>
      <c r="R1116" s="54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4" t="s">
        <v>149</v>
      </c>
      <c r="P1117" s="54">
        <f>HEX2DEC(RIGHT(Table132321432[[#This Row],[h1]],8))</f>
        <v>0</v>
      </c>
      <c r="Q1117" s="54" t="s">
        <v>149</v>
      </c>
      <c r="R1117" s="54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4" t="s">
        <v>149</v>
      </c>
      <c r="P1118" s="54">
        <f>HEX2DEC(RIGHT(Table132321432[[#This Row],[h1]],8))</f>
        <v>0</v>
      </c>
      <c r="Q1118" s="54" t="s">
        <v>149</v>
      </c>
      <c r="R1118" s="54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4" t="s">
        <v>149</v>
      </c>
      <c r="P1119" s="54">
        <f>HEX2DEC(RIGHT(Table132321432[[#This Row],[h1]],8))</f>
        <v>0</v>
      </c>
      <c r="Q1119" s="54" t="s">
        <v>149</v>
      </c>
      <c r="R1119" s="54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4" t="s">
        <v>149</v>
      </c>
      <c r="P1120" s="54">
        <f>HEX2DEC(RIGHT(Table132321432[[#This Row],[h1]],8))</f>
        <v>0</v>
      </c>
      <c r="Q1120" s="54" t="s">
        <v>149</v>
      </c>
      <c r="R1120" s="54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4" t="s">
        <v>149</v>
      </c>
      <c r="P1121" s="54">
        <f>HEX2DEC(RIGHT(Table132321432[[#This Row],[h1]],8))</f>
        <v>0</v>
      </c>
      <c r="Q1121" s="54" t="s">
        <v>149</v>
      </c>
      <c r="R1121" s="54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4" t="s">
        <v>149</v>
      </c>
      <c r="P1122" s="54">
        <f>HEX2DEC(RIGHT(Table132321432[[#This Row],[h1]],8))</f>
        <v>0</v>
      </c>
      <c r="Q1122" s="54" t="s">
        <v>149</v>
      </c>
      <c r="R1122" s="54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4" t="s">
        <v>149</v>
      </c>
      <c r="P1123" s="54">
        <f>HEX2DEC(RIGHT(Table132321432[[#This Row],[h1]],8))</f>
        <v>0</v>
      </c>
      <c r="Q1123" s="54" t="s">
        <v>149</v>
      </c>
      <c r="R1123" s="54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4" t="s">
        <v>149</v>
      </c>
      <c r="P1124" s="54">
        <f>HEX2DEC(RIGHT(Table132321432[[#This Row],[h1]],8))</f>
        <v>0</v>
      </c>
      <c r="Q1124" s="54" t="s">
        <v>149</v>
      </c>
      <c r="R1124" s="54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4" t="s">
        <v>149</v>
      </c>
      <c r="P1125" s="54">
        <f>HEX2DEC(RIGHT(Table132321432[[#This Row],[h1]],8))</f>
        <v>0</v>
      </c>
      <c r="Q1125" s="54" t="s">
        <v>149</v>
      </c>
      <c r="R1125" s="54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4" t="s">
        <v>149</v>
      </c>
      <c r="P1126" s="54">
        <f>HEX2DEC(RIGHT(Table132321432[[#This Row],[h1]],8))</f>
        <v>0</v>
      </c>
      <c r="Q1126" s="54" t="s">
        <v>149</v>
      </c>
      <c r="R1126" s="54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4" t="s">
        <v>149</v>
      </c>
      <c r="P1127" s="54">
        <f>HEX2DEC(RIGHT(Table132321432[[#This Row],[h1]],8))</f>
        <v>0</v>
      </c>
      <c r="Q1127" s="54" t="s">
        <v>149</v>
      </c>
      <c r="R1127" s="54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4" t="s">
        <v>149</v>
      </c>
      <c r="P1128" s="54">
        <f>HEX2DEC(RIGHT(Table132321432[[#This Row],[h1]],8))</f>
        <v>0</v>
      </c>
      <c r="Q1128" s="54" t="s">
        <v>149</v>
      </c>
      <c r="R1128" s="54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4" t="s">
        <v>149</v>
      </c>
      <c r="P1129" s="54">
        <f>HEX2DEC(RIGHT(Table132321432[[#This Row],[h1]],8))</f>
        <v>0</v>
      </c>
      <c r="Q1129" s="54" t="s">
        <v>149</v>
      </c>
      <c r="R1129" s="54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4" t="s">
        <v>149</v>
      </c>
      <c r="P1130" s="54">
        <f>HEX2DEC(RIGHT(Table132321432[[#This Row],[h1]],8))</f>
        <v>0</v>
      </c>
      <c r="Q1130" s="54" t="s">
        <v>149</v>
      </c>
      <c r="R1130" s="54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4" t="s">
        <v>149</v>
      </c>
      <c r="P1131" s="54">
        <f>HEX2DEC(RIGHT(Table132321432[[#This Row],[h1]],8))</f>
        <v>0</v>
      </c>
      <c r="Q1131" s="54" t="s">
        <v>149</v>
      </c>
      <c r="R1131" s="54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4" t="s">
        <v>149</v>
      </c>
      <c r="P1132" s="54">
        <f>HEX2DEC(RIGHT(Table132321432[[#This Row],[h1]],8))</f>
        <v>0</v>
      </c>
      <c r="Q1132" s="54" t="s">
        <v>149</v>
      </c>
      <c r="R1132" s="54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4" t="s">
        <v>149</v>
      </c>
      <c r="P1133" s="54">
        <f>HEX2DEC(RIGHT(Table132321432[[#This Row],[h1]],8))</f>
        <v>0</v>
      </c>
      <c r="Q1133" s="54" t="s">
        <v>149</v>
      </c>
      <c r="R1133" s="54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4" t="s">
        <v>149</v>
      </c>
      <c r="P1134" s="54">
        <f>HEX2DEC(RIGHT(Table132321432[[#This Row],[h1]],8))</f>
        <v>0</v>
      </c>
      <c r="Q1134" s="54" t="s">
        <v>149</v>
      </c>
      <c r="R1134" s="54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4" t="s">
        <v>149</v>
      </c>
      <c r="P1135" s="54">
        <f>HEX2DEC(RIGHT(Table132321432[[#This Row],[h1]],8))</f>
        <v>0</v>
      </c>
      <c r="Q1135" s="54" t="s">
        <v>149</v>
      </c>
      <c r="R1135" s="54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4" t="s">
        <v>149</v>
      </c>
      <c r="P1136" s="54">
        <f>HEX2DEC(RIGHT(Table132321432[[#This Row],[h1]],8))</f>
        <v>0</v>
      </c>
      <c r="Q1136" s="54" t="s">
        <v>149</v>
      </c>
      <c r="R1136" s="54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4" t="s">
        <v>149</v>
      </c>
      <c r="P1137" s="54">
        <f>HEX2DEC(RIGHT(Table132321432[[#This Row],[h1]],8))</f>
        <v>0</v>
      </c>
      <c r="Q1137" s="54" t="s">
        <v>149</v>
      </c>
      <c r="R1137" s="54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4" t="s">
        <v>149</v>
      </c>
      <c r="P1138" s="54">
        <f>HEX2DEC(RIGHT(Table132321432[[#This Row],[h1]],8))</f>
        <v>0</v>
      </c>
      <c r="Q1138" s="54" t="s">
        <v>149</v>
      </c>
      <c r="R1138" s="54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4" t="s">
        <v>149</v>
      </c>
      <c r="P1139" s="54">
        <f>HEX2DEC(RIGHT(Table132321432[[#This Row],[h1]],8))</f>
        <v>0</v>
      </c>
      <c r="Q1139" s="54" t="s">
        <v>149</v>
      </c>
      <c r="R1139" s="54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4" t="s">
        <v>149</v>
      </c>
      <c r="P1140" s="54">
        <f>HEX2DEC(RIGHT(Table132321432[[#This Row],[h1]],8))</f>
        <v>0</v>
      </c>
      <c r="Q1140" s="54" t="s">
        <v>149</v>
      </c>
      <c r="R1140" s="54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4" t="s">
        <v>149</v>
      </c>
      <c r="P1141" s="54">
        <f>HEX2DEC(RIGHT(Table132321432[[#This Row],[h1]],8))</f>
        <v>0</v>
      </c>
      <c r="Q1141" s="54" t="s">
        <v>149</v>
      </c>
      <c r="R1141" s="54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4" t="s">
        <v>149</v>
      </c>
      <c r="P1142" s="54">
        <f>HEX2DEC(RIGHT(Table132321432[[#This Row],[h1]],8))</f>
        <v>0</v>
      </c>
      <c r="Q1142" s="54" t="s">
        <v>149</v>
      </c>
      <c r="R1142" s="54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4" t="s">
        <v>149</v>
      </c>
      <c r="P1143" s="54">
        <f>HEX2DEC(RIGHT(Table132321432[[#This Row],[h1]],8))</f>
        <v>0</v>
      </c>
      <c r="Q1143" s="54" t="s">
        <v>149</v>
      </c>
      <c r="R1143" s="54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4" t="s">
        <v>149</v>
      </c>
      <c r="P1144" s="54">
        <f>HEX2DEC(RIGHT(Table132321432[[#This Row],[h1]],8))</f>
        <v>0</v>
      </c>
      <c r="Q1144" s="54" t="s">
        <v>149</v>
      </c>
      <c r="R1144" s="54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4" t="s">
        <v>149</v>
      </c>
      <c r="P1145" s="54">
        <f>HEX2DEC(RIGHT(Table132321432[[#This Row],[h1]],8))</f>
        <v>0</v>
      </c>
      <c r="Q1145" s="54" t="s">
        <v>149</v>
      </c>
      <c r="R1145" s="54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4" t="s">
        <v>149</v>
      </c>
      <c r="P1146" s="54">
        <f>HEX2DEC(RIGHT(Table132321432[[#This Row],[h1]],8))</f>
        <v>0</v>
      </c>
      <c r="Q1146" s="54" t="s">
        <v>149</v>
      </c>
      <c r="R1146" s="54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4" t="s">
        <v>149</v>
      </c>
      <c r="P1147" s="54">
        <f>HEX2DEC(RIGHT(Table132321432[[#This Row],[h1]],8))</f>
        <v>0</v>
      </c>
      <c r="Q1147" s="54" t="s">
        <v>149</v>
      </c>
      <c r="R1147" s="54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4" t="s">
        <v>149</v>
      </c>
      <c r="P1148" s="54">
        <f>HEX2DEC(RIGHT(Table132321432[[#This Row],[h1]],8))</f>
        <v>0</v>
      </c>
      <c r="Q1148" s="54" t="s">
        <v>149</v>
      </c>
      <c r="R1148" s="54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4" t="s">
        <v>149</v>
      </c>
      <c r="P1149" s="54">
        <f>HEX2DEC(RIGHT(Table132321432[[#This Row],[h1]],8))</f>
        <v>0</v>
      </c>
      <c r="Q1149" s="54" t="s">
        <v>149</v>
      </c>
      <c r="R1149" s="54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4" t="s">
        <v>149</v>
      </c>
      <c r="P1150" s="54">
        <f>HEX2DEC(RIGHT(Table132321432[[#This Row],[h1]],8))</f>
        <v>0</v>
      </c>
      <c r="Q1150" s="54" t="s">
        <v>149</v>
      </c>
      <c r="R1150" s="54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4" t="s">
        <v>149</v>
      </c>
      <c r="P1151" s="54">
        <f>HEX2DEC(RIGHT(Table132321432[[#This Row],[h1]],8))</f>
        <v>0</v>
      </c>
      <c r="Q1151" s="54" t="s">
        <v>149</v>
      </c>
      <c r="R1151" s="54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4" t="s">
        <v>149</v>
      </c>
      <c r="P1152" s="54">
        <f>HEX2DEC(RIGHT(Table132321432[[#This Row],[h1]],8))</f>
        <v>0</v>
      </c>
      <c r="Q1152" s="54" t="s">
        <v>149</v>
      </c>
      <c r="R1152" s="54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4" t="s">
        <v>149</v>
      </c>
      <c r="P1153" s="54">
        <f>HEX2DEC(RIGHT(Table132321432[[#This Row],[h1]],8))</f>
        <v>0</v>
      </c>
      <c r="Q1153" s="54" t="s">
        <v>149</v>
      </c>
      <c r="R1153" s="54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4" t="s">
        <v>149</v>
      </c>
      <c r="P1154" s="54">
        <f>HEX2DEC(RIGHT(Table132321432[[#This Row],[h1]],8))</f>
        <v>0</v>
      </c>
      <c r="Q1154" s="54" t="s">
        <v>149</v>
      </c>
      <c r="R1154" s="54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4" t="s">
        <v>149</v>
      </c>
      <c r="P1155" s="54">
        <f>HEX2DEC(RIGHT(Table132321432[[#This Row],[h1]],8))</f>
        <v>0</v>
      </c>
      <c r="Q1155" s="54" t="s">
        <v>149</v>
      </c>
      <c r="R1155" s="54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4" t="s">
        <v>149</v>
      </c>
      <c r="P1156" s="54">
        <f>HEX2DEC(RIGHT(Table132321432[[#This Row],[h1]],8))</f>
        <v>0</v>
      </c>
      <c r="Q1156" s="54" t="s">
        <v>149</v>
      </c>
      <c r="R1156" s="54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4" t="s">
        <v>149</v>
      </c>
      <c r="P1157" s="54">
        <f>HEX2DEC(RIGHT(Table132321432[[#This Row],[h1]],8))</f>
        <v>0</v>
      </c>
      <c r="Q1157" s="54" t="s">
        <v>149</v>
      </c>
      <c r="R1157" s="54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4" t="s">
        <v>149</v>
      </c>
      <c r="P1158" s="54">
        <f>HEX2DEC(RIGHT(Table132321432[[#This Row],[h1]],8))</f>
        <v>0</v>
      </c>
      <c r="Q1158" s="54" t="s">
        <v>149</v>
      </c>
      <c r="R1158" s="54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4" t="s">
        <v>149</v>
      </c>
      <c r="P1159" s="54">
        <f>HEX2DEC(RIGHT(Table132321432[[#This Row],[h1]],8))</f>
        <v>0</v>
      </c>
      <c r="Q1159" s="54" t="s">
        <v>149</v>
      </c>
      <c r="R1159" s="54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4" t="s">
        <v>149</v>
      </c>
      <c r="P1160" s="54">
        <f>HEX2DEC(RIGHT(Table132321432[[#This Row],[h1]],8))</f>
        <v>0</v>
      </c>
      <c r="Q1160" s="54" t="s">
        <v>149</v>
      </c>
      <c r="R1160" s="54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4" t="s">
        <v>149</v>
      </c>
      <c r="P1161" s="54">
        <f>HEX2DEC(RIGHT(Table132321432[[#This Row],[h1]],8))</f>
        <v>0</v>
      </c>
      <c r="Q1161" s="54" t="s">
        <v>149</v>
      </c>
      <c r="R1161" s="54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4" t="s">
        <v>149</v>
      </c>
      <c r="P1162" s="54">
        <f>HEX2DEC(RIGHT(Table132321432[[#This Row],[h1]],8))</f>
        <v>0</v>
      </c>
      <c r="Q1162" s="54" t="s">
        <v>149</v>
      </c>
      <c r="R1162" s="54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4" t="s">
        <v>149</v>
      </c>
      <c r="P1163" s="54">
        <f>HEX2DEC(RIGHT(Table132321432[[#This Row],[h1]],8))</f>
        <v>0</v>
      </c>
      <c r="Q1163" s="54" t="s">
        <v>149</v>
      </c>
      <c r="R1163" s="54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4" t="s">
        <v>149</v>
      </c>
      <c r="P1164" s="54">
        <f>HEX2DEC(RIGHT(Table132321432[[#This Row],[h1]],8))</f>
        <v>0</v>
      </c>
      <c r="Q1164" s="54" t="s">
        <v>149</v>
      </c>
      <c r="R1164" s="54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4" t="s">
        <v>149</v>
      </c>
      <c r="P1165" s="54">
        <f>HEX2DEC(RIGHT(Table132321432[[#This Row],[h1]],8))</f>
        <v>0</v>
      </c>
      <c r="Q1165" s="54" t="s">
        <v>149</v>
      </c>
      <c r="R1165" s="54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4" t="s">
        <v>149</v>
      </c>
      <c r="P1166" s="54">
        <f>HEX2DEC(RIGHT(Table132321432[[#This Row],[h1]],8))</f>
        <v>0</v>
      </c>
      <c r="Q1166" s="54" t="s">
        <v>149</v>
      </c>
      <c r="R1166" s="54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4" t="s">
        <v>149</v>
      </c>
      <c r="P1167" s="54">
        <f>HEX2DEC(RIGHT(Table132321432[[#This Row],[h1]],8))</f>
        <v>0</v>
      </c>
      <c r="Q1167" s="54" t="s">
        <v>149</v>
      </c>
      <c r="R1167" s="54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4" t="s">
        <v>149</v>
      </c>
      <c r="P1168" s="54">
        <f>HEX2DEC(RIGHT(Table132321432[[#This Row],[h1]],8))</f>
        <v>0</v>
      </c>
      <c r="Q1168" s="54" t="s">
        <v>149</v>
      </c>
      <c r="R1168" s="54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4" t="s">
        <v>149</v>
      </c>
      <c r="P1169" s="54">
        <f>HEX2DEC(RIGHT(Table132321432[[#This Row],[h1]],8))</f>
        <v>0</v>
      </c>
      <c r="Q1169" s="54" t="s">
        <v>149</v>
      </c>
      <c r="R1169" s="54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4" t="s">
        <v>149</v>
      </c>
      <c r="P1170" s="54">
        <f>HEX2DEC(RIGHT(Table132321432[[#This Row],[h1]],8))</f>
        <v>0</v>
      </c>
      <c r="Q1170" s="54" t="s">
        <v>149</v>
      </c>
      <c r="R1170" s="54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4" t="s">
        <v>149</v>
      </c>
      <c r="P1171" s="54">
        <f>HEX2DEC(RIGHT(Table132321432[[#This Row],[h1]],8))</f>
        <v>0</v>
      </c>
      <c r="Q1171" s="54" t="s">
        <v>149</v>
      </c>
      <c r="R1171" s="54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4" t="s">
        <v>149</v>
      </c>
      <c r="P1172" s="54">
        <f>HEX2DEC(RIGHT(Table132321432[[#This Row],[h1]],8))</f>
        <v>0</v>
      </c>
      <c r="Q1172" s="54" t="s">
        <v>149</v>
      </c>
      <c r="R1172" s="54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4" t="s">
        <v>149</v>
      </c>
      <c r="P1173" s="54">
        <f>HEX2DEC(RIGHT(Table132321432[[#This Row],[h1]],8))</f>
        <v>0</v>
      </c>
      <c r="Q1173" s="54" t="s">
        <v>149</v>
      </c>
      <c r="R1173" s="54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4" t="s">
        <v>149</v>
      </c>
      <c r="P1174" s="54">
        <f>HEX2DEC(RIGHT(Table132321432[[#This Row],[h1]],8))</f>
        <v>0</v>
      </c>
      <c r="Q1174" s="54" t="s">
        <v>149</v>
      </c>
      <c r="R1174" s="54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4" t="s">
        <v>149</v>
      </c>
      <c r="P1175" s="54">
        <f>HEX2DEC(RIGHT(Table132321432[[#This Row],[h1]],8))</f>
        <v>0</v>
      </c>
      <c r="Q1175" s="54" t="s">
        <v>149</v>
      </c>
      <c r="R1175" s="54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4" t="s">
        <v>149</v>
      </c>
      <c r="P1176" s="54">
        <f>HEX2DEC(RIGHT(Table132321432[[#This Row],[h1]],8))</f>
        <v>0</v>
      </c>
      <c r="Q1176" s="54" t="s">
        <v>149</v>
      </c>
      <c r="R1176" s="54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4" t="s">
        <v>149</v>
      </c>
      <c r="P1177" s="54">
        <f>HEX2DEC(RIGHT(Table132321432[[#This Row],[h1]],8))</f>
        <v>0</v>
      </c>
      <c r="Q1177" s="54" t="s">
        <v>149</v>
      </c>
      <c r="R1177" s="54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4" t="s">
        <v>149</v>
      </c>
      <c r="P1178" s="54">
        <f>HEX2DEC(RIGHT(Table132321432[[#This Row],[h1]],8))</f>
        <v>0</v>
      </c>
      <c r="Q1178" s="54" t="s">
        <v>149</v>
      </c>
      <c r="R1178" s="54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4" t="s">
        <v>149</v>
      </c>
      <c r="P1179" s="54">
        <f>HEX2DEC(RIGHT(Table132321432[[#This Row],[h1]],8))</f>
        <v>0</v>
      </c>
      <c r="Q1179" s="54" t="s">
        <v>149</v>
      </c>
      <c r="R1179" s="54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4" t="s">
        <v>149</v>
      </c>
      <c r="P1180" s="54">
        <f>HEX2DEC(RIGHT(Table132321432[[#This Row],[h1]],8))</f>
        <v>0</v>
      </c>
      <c r="Q1180" s="54" t="s">
        <v>149</v>
      </c>
      <c r="R1180" s="54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4" t="s">
        <v>149</v>
      </c>
      <c r="P1181" s="54">
        <f>HEX2DEC(RIGHT(Table132321432[[#This Row],[h1]],8))</f>
        <v>0</v>
      </c>
      <c r="Q1181" s="54" t="s">
        <v>149</v>
      </c>
      <c r="R1181" s="54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4" t="s">
        <v>149</v>
      </c>
      <c r="P1182" s="54">
        <f>HEX2DEC(RIGHT(Table132321432[[#This Row],[h1]],8))</f>
        <v>0</v>
      </c>
      <c r="Q1182" s="54" t="s">
        <v>149</v>
      </c>
      <c r="R1182" s="54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4" t="s">
        <v>149</v>
      </c>
      <c r="P1183" s="54">
        <f>HEX2DEC(RIGHT(Table132321432[[#This Row],[h1]],8))</f>
        <v>0</v>
      </c>
      <c r="Q1183" s="54" t="s">
        <v>149</v>
      </c>
      <c r="R1183" s="54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4" t="s">
        <v>149</v>
      </c>
      <c r="P1184" s="54">
        <f>HEX2DEC(RIGHT(Table132321432[[#This Row],[h1]],8))</f>
        <v>0</v>
      </c>
      <c r="Q1184" s="54" t="s">
        <v>149</v>
      </c>
      <c r="R1184" s="54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4" t="s">
        <v>149</v>
      </c>
      <c r="P1185" s="54">
        <f>HEX2DEC(RIGHT(Table132321432[[#This Row],[h1]],8))</f>
        <v>0</v>
      </c>
      <c r="Q1185" s="54" t="s">
        <v>149</v>
      </c>
      <c r="R1185" s="54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4" t="s">
        <v>149</v>
      </c>
      <c r="P1186" s="54">
        <f>HEX2DEC(RIGHT(Table132321432[[#This Row],[h1]],8))</f>
        <v>0</v>
      </c>
      <c r="Q1186" s="54" t="s">
        <v>149</v>
      </c>
      <c r="R1186" s="54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4" t="s">
        <v>149</v>
      </c>
      <c r="P1187" s="54">
        <f>HEX2DEC(RIGHT(Table132321432[[#This Row],[h1]],8))</f>
        <v>0</v>
      </c>
      <c r="Q1187" s="54" t="s">
        <v>149</v>
      </c>
      <c r="R1187" s="54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4" t="s">
        <v>149</v>
      </c>
      <c r="P1188" s="54">
        <f>HEX2DEC(RIGHT(Table132321432[[#This Row],[h1]],8))</f>
        <v>0</v>
      </c>
      <c r="Q1188" s="54" t="s">
        <v>149</v>
      </c>
      <c r="R1188" s="54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4" t="s">
        <v>149</v>
      </c>
      <c r="P1189" s="54">
        <f>HEX2DEC(RIGHT(Table132321432[[#This Row],[h1]],8))</f>
        <v>0</v>
      </c>
      <c r="Q1189" s="54" t="s">
        <v>149</v>
      </c>
      <c r="R1189" s="54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4" t="s">
        <v>149</v>
      </c>
      <c r="P1190" s="54">
        <f>HEX2DEC(RIGHT(Table132321432[[#This Row],[h1]],8))</f>
        <v>0</v>
      </c>
      <c r="Q1190" s="54" t="s">
        <v>149</v>
      </c>
      <c r="R1190" s="54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4" t="s">
        <v>149</v>
      </c>
      <c r="P1191" s="54">
        <f>HEX2DEC(RIGHT(Table132321432[[#This Row],[h1]],8))</f>
        <v>0</v>
      </c>
      <c r="Q1191" s="54" t="s">
        <v>149</v>
      </c>
      <c r="R1191" s="54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4" t="s">
        <v>149</v>
      </c>
      <c r="P1192" s="54">
        <f>HEX2DEC(RIGHT(Table132321432[[#This Row],[h1]],8))</f>
        <v>0</v>
      </c>
      <c r="Q1192" s="54" t="s">
        <v>149</v>
      </c>
      <c r="R1192" s="54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4" t="s">
        <v>149</v>
      </c>
      <c r="P1193" s="54">
        <f>HEX2DEC(RIGHT(Table132321432[[#This Row],[h1]],8))</f>
        <v>0</v>
      </c>
      <c r="Q1193" s="54" t="s">
        <v>149</v>
      </c>
      <c r="R1193" s="54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4" t="s">
        <v>149</v>
      </c>
      <c r="P1194" s="54">
        <f>HEX2DEC(RIGHT(Table132321432[[#This Row],[h1]],8))</f>
        <v>0</v>
      </c>
      <c r="Q1194" s="54" t="s">
        <v>149</v>
      </c>
      <c r="R1194" s="54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4" t="s">
        <v>149</v>
      </c>
      <c r="P1195" s="54">
        <f>HEX2DEC(RIGHT(Table132321432[[#This Row],[h1]],8))</f>
        <v>0</v>
      </c>
      <c r="Q1195" s="54" t="s">
        <v>149</v>
      </c>
      <c r="R1195" s="54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4" t="s">
        <v>149</v>
      </c>
      <c r="P1196" s="54">
        <f>HEX2DEC(RIGHT(Table132321432[[#This Row],[h1]],8))</f>
        <v>0</v>
      </c>
      <c r="Q1196" s="54" t="s">
        <v>149</v>
      </c>
      <c r="R1196" s="54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4" t="s">
        <v>149</v>
      </c>
      <c r="P1197" s="54">
        <f>HEX2DEC(RIGHT(Table132321432[[#This Row],[h1]],8))</f>
        <v>0</v>
      </c>
      <c r="Q1197" s="54" t="s">
        <v>149</v>
      </c>
      <c r="R1197" s="54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4" t="s">
        <v>149</v>
      </c>
      <c r="P1198" s="54">
        <f>HEX2DEC(RIGHT(Table132321432[[#This Row],[h1]],8))</f>
        <v>0</v>
      </c>
      <c r="Q1198" s="54" t="s">
        <v>149</v>
      </c>
      <c r="R1198" s="54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4" t="s">
        <v>149</v>
      </c>
      <c r="P1199" s="54">
        <f>HEX2DEC(RIGHT(Table132321432[[#This Row],[h1]],8))</f>
        <v>0</v>
      </c>
      <c r="Q1199" s="54" t="s">
        <v>149</v>
      </c>
      <c r="R1199" s="54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4" t="s">
        <v>149</v>
      </c>
      <c r="P1200" s="54">
        <f>HEX2DEC(RIGHT(Table132321432[[#This Row],[h1]],8))</f>
        <v>0</v>
      </c>
      <c r="Q1200" s="54" t="s">
        <v>149</v>
      </c>
      <c r="R1200" s="54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4" t="s">
        <v>149</v>
      </c>
      <c r="P1201" s="54">
        <f>HEX2DEC(RIGHT(Table132321432[[#This Row],[h1]],8))</f>
        <v>0</v>
      </c>
      <c r="Q1201" s="54" t="s">
        <v>149</v>
      </c>
      <c r="R1201" s="54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4" t="s">
        <v>149</v>
      </c>
      <c r="P1202" s="54">
        <f>HEX2DEC(RIGHT(Table132321432[[#This Row],[h1]],8))</f>
        <v>0</v>
      </c>
      <c r="Q1202" s="54" t="s">
        <v>149</v>
      </c>
      <c r="R1202" s="54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4" t="s">
        <v>149</v>
      </c>
      <c r="P1203" s="54">
        <f>HEX2DEC(RIGHT(Table132321432[[#This Row],[h1]],8))</f>
        <v>0</v>
      </c>
      <c r="Q1203" s="54" t="s">
        <v>149</v>
      </c>
      <c r="R1203" s="54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4" t="s">
        <v>149</v>
      </c>
      <c r="P1204" s="54">
        <f>HEX2DEC(RIGHT(Table132321432[[#This Row],[h1]],8))</f>
        <v>0</v>
      </c>
      <c r="Q1204" s="54" t="s">
        <v>149</v>
      </c>
      <c r="R1204" s="54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4" t="s">
        <v>149</v>
      </c>
      <c r="P1205" s="54">
        <f>HEX2DEC(RIGHT(Table132321432[[#This Row],[h1]],8))</f>
        <v>0</v>
      </c>
      <c r="Q1205" s="54" t="s">
        <v>149</v>
      </c>
      <c r="R1205" s="54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4" t="s">
        <v>149</v>
      </c>
      <c r="P1206" s="54">
        <f>HEX2DEC(RIGHT(Table132321432[[#This Row],[h1]],8))</f>
        <v>0</v>
      </c>
      <c r="Q1206" s="54" t="s">
        <v>149</v>
      </c>
      <c r="R1206" s="54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4" t="s">
        <v>149</v>
      </c>
      <c r="P1207" s="54">
        <f>HEX2DEC(RIGHT(Table132321432[[#This Row],[h1]],8))</f>
        <v>0</v>
      </c>
      <c r="Q1207" s="54" t="s">
        <v>149</v>
      </c>
      <c r="R1207" s="54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4" t="s">
        <v>149</v>
      </c>
      <c r="P1208" s="54">
        <f>HEX2DEC(RIGHT(Table132321432[[#This Row],[h1]],8))</f>
        <v>0</v>
      </c>
      <c r="Q1208" s="54" t="s">
        <v>149</v>
      </c>
      <c r="R1208" s="54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4" t="s">
        <v>149</v>
      </c>
      <c r="P1209" s="54">
        <f>HEX2DEC(RIGHT(Table132321432[[#This Row],[h1]],8))</f>
        <v>0</v>
      </c>
      <c r="Q1209" s="54" t="s">
        <v>149</v>
      </c>
      <c r="R1209" s="54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4" t="s">
        <v>149</v>
      </c>
      <c r="P1210" s="54">
        <f>HEX2DEC(RIGHT(Table132321432[[#This Row],[h1]],8))</f>
        <v>0</v>
      </c>
      <c r="Q1210" s="54" t="s">
        <v>149</v>
      </c>
      <c r="R1210" s="54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4" t="s">
        <v>149</v>
      </c>
      <c r="P1211" s="54">
        <f>HEX2DEC(RIGHT(Table132321432[[#This Row],[h1]],8))</f>
        <v>0</v>
      </c>
      <c r="Q1211" s="54" t="s">
        <v>149</v>
      </c>
      <c r="R1211" s="54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4" t="s">
        <v>149</v>
      </c>
      <c r="P1212" s="54">
        <f>HEX2DEC(RIGHT(Table132321432[[#This Row],[h1]],8))</f>
        <v>0</v>
      </c>
      <c r="Q1212" s="54" t="s">
        <v>149</v>
      </c>
      <c r="R1212" s="54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4" t="s">
        <v>149</v>
      </c>
      <c r="P1213" s="54">
        <f>HEX2DEC(RIGHT(Table132321432[[#This Row],[h1]],8))</f>
        <v>0</v>
      </c>
      <c r="Q1213" s="54" t="s">
        <v>149</v>
      </c>
      <c r="R1213" s="54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4" t="s">
        <v>149</v>
      </c>
      <c r="P1214" s="54">
        <f>HEX2DEC(RIGHT(Table132321432[[#This Row],[h1]],8))</f>
        <v>0</v>
      </c>
      <c r="Q1214" s="54" t="s">
        <v>149</v>
      </c>
      <c r="R1214" s="54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4" t="s">
        <v>149</v>
      </c>
      <c r="P1215" s="54">
        <f>HEX2DEC(RIGHT(Table132321432[[#This Row],[h1]],8))</f>
        <v>0</v>
      </c>
      <c r="Q1215" s="54" t="s">
        <v>149</v>
      </c>
      <c r="R1215" s="54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4" t="s">
        <v>149</v>
      </c>
      <c r="P1216" s="54">
        <f>HEX2DEC(RIGHT(Table132321432[[#This Row],[h1]],8))</f>
        <v>0</v>
      </c>
      <c r="Q1216" s="54" t="s">
        <v>149</v>
      </c>
      <c r="R1216" s="54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4" t="s">
        <v>149</v>
      </c>
      <c r="P1217" s="54">
        <f>HEX2DEC(RIGHT(Table132321432[[#This Row],[h1]],8))</f>
        <v>0</v>
      </c>
      <c r="Q1217" s="54" t="s">
        <v>149</v>
      </c>
      <c r="R1217" s="54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4" t="s">
        <v>149</v>
      </c>
      <c r="P1218" s="54">
        <f>HEX2DEC(RIGHT(Table132321432[[#This Row],[h1]],8))</f>
        <v>0</v>
      </c>
      <c r="Q1218" s="54" t="s">
        <v>149</v>
      </c>
      <c r="R1218" s="54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4" t="s">
        <v>149</v>
      </c>
      <c r="P1219" s="54">
        <f>HEX2DEC(RIGHT(Table132321432[[#This Row],[h1]],8))</f>
        <v>0</v>
      </c>
      <c r="Q1219" s="54" t="s">
        <v>149</v>
      </c>
      <c r="R1219" s="54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4" t="s">
        <v>149</v>
      </c>
      <c r="P1220" s="54">
        <f>HEX2DEC(RIGHT(Table132321432[[#This Row],[h1]],8))</f>
        <v>0</v>
      </c>
      <c r="Q1220" s="54" t="s">
        <v>149</v>
      </c>
      <c r="R1220" s="54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4" t="s">
        <v>149</v>
      </c>
      <c r="P1221" s="54">
        <f>HEX2DEC(RIGHT(Table132321432[[#This Row],[h1]],8))</f>
        <v>0</v>
      </c>
      <c r="Q1221" s="54" t="s">
        <v>149</v>
      </c>
      <c r="R1221" s="54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4" t="s">
        <v>149</v>
      </c>
      <c r="P1222" s="54">
        <f>HEX2DEC(RIGHT(Table132321432[[#This Row],[h1]],8))</f>
        <v>0</v>
      </c>
      <c r="Q1222" s="54" t="s">
        <v>149</v>
      </c>
      <c r="R1222" s="54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4" t="s">
        <v>149</v>
      </c>
      <c r="P1223" s="54">
        <f>HEX2DEC(RIGHT(Table132321432[[#This Row],[h1]],8))</f>
        <v>0</v>
      </c>
      <c r="Q1223" s="54" t="s">
        <v>149</v>
      </c>
      <c r="R1223" s="54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4" t="s">
        <v>149</v>
      </c>
      <c r="P1224" s="54">
        <f>HEX2DEC(RIGHT(Table132321432[[#This Row],[h1]],8))</f>
        <v>0</v>
      </c>
      <c r="Q1224" s="54" t="s">
        <v>149</v>
      </c>
      <c r="R1224" s="54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4" t="s">
        <v>149</v>
      </c>
      <c r="P1225" s="54">
        <f>HEX2DEC(RIGHT(Table132321432[[#This Row],[h1]],8))</f>
        <v>0</v>
      </c>
      <c r="Q1225" s="54" t="s">
        <v>149</v>
      </c>
      <c r="R1225" s="54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4" t="s">
        <v>149</v>
      </c>
      <c r="P1226" s="54">
        <f>HEX2DEC(RIGHT(Table132321432[[#This Row],[h1]],8))</f>
        <v>0</v>
      </c>
      <c r="Q1226" s="54" t="s">
        <v>149</v>
      </c>
      <c r="R1226" s="54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4" t="s">
        <v>149</v>
      </c>
      <c r="P1227" s="54">
        <f>HEX2DEC(RIGHT(Table132321432[[#This Row],[h1]],8))</f>
        <v>0</v>
      </c>
      <c r="Q1227" s="54" t="s">
        <v>149</v>
      </c>
      <c r="R1227" s="54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4" t="s">
        <v>149</v>
      </c>
      <c r="P1228" s="54">
        <f>HEX2DEC(RIGHT(Table132321432[[#This Row],[h1]],8))</f>
        <v>0</v>
      </c>
      <c r="Q1228" s="54" t="s">
        <v>149</v>
      </c>
      <c r="R1228" s="54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4" t="s">
        <v>149</v>
      </c>
      <c r="P1229" s="54">
        <f>HEX2DEC(RIGHT(Table132321432[[#This Row],[h1]],8))</f>
        <v>0</v>
      </c>
      <c r="Q1229" s="54" t="s">
        <v>149</v>
      </c>
      <c r="R1229" s="54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4" t="s">
        <v>149</v>
      </c>
      <c r="P1230" s="54">
        <f>HEX2DEC(RIGHT(Table132321432[[#This Row],[h1]],8))</f>
        <v>0</v>
      </c>
      <c r="Q1230" s="54" t="s">
        <v>149</v>
      </c>
      <c r="R1230" s="54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4" t="s">
        <v>149</v>
      </c>
      <c r="P1231" s="54">
        <f>HEX2DEC(RIGHT(Table132321432[[#This Row],[h1]],8))</f>
        <v>0</v>
      </c>
      <c r="Q1231" s="54" t="s">
        <v>149</v>
      </c>
      <c r="R1231" s="54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4" t="s">
        <v>149</v>
      </c>
      <c r="P1232" s="54">
        <f>HEX2DEC(RIGHT(Table132321432[[#This Row],[h1]],8))</f>
        <v>0</v>
      </c>
      <c r="Q1232" s="54" t="s">
        <v>149</v>
      </c>
      <c r="R1232" s="54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4" t="s">
        <v>149</v>
      </c>
      <c r="P1233" s="54">
        <f>HEX2DEC(RIGHT(Table132321432[[#This Row],[h1]],8))</f>
        <v>0</v>
      </c>
      <c r="Q1233" s="54" t="s">
        <v>149</v>
      </c>
      <c r="R1233" s="54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4" t="s">
        <v>149</v>
      </c>
      <c r="P1234" s="54">
        <f>HEX2DEC(RIGHT(Table132321432[[#This Row],[h1]],8))</f>
        <v>0</v>
      </c>
      <c r="Q1234" s="54" t="s">
        <v>149</v>
      </c>
      <c r="R1234" s="54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4" t="s">
        <v>149</v>
      </c>
      <c r="P1235" s="54">
        <f>HEX2DEC(RIGHT(Table132321432[[#This Row],[h1]],8))</f>
        <v>0</v>
      </c>
      <c r="Q1235" s="54" t="s">
        <v>149</v>
      </c>
      <c r="R1235" s="54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4" t="s">
        <v>149</v>
      </c>
      <c r="P1236" s="54">
        <f>HEX2DEC(RIGHT(Table132321432[[#This Row],[h1]],8))</f>
        <v>0</v>
      </c>
      <c r="Q1236" s="54" t="s">
        <v>149</v>
      </c>
      <c r="R1236" s="54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4" t="s">
        <v>149</v>
      </c>
      <c r="P1237" s="54">
        <f>HEX2DEC(RIGHT(Table132321432[[#This Row],[h1]],8))</f>
        <v>0</v>
      </c>
      <c r="Q1237" s="54" t="s">
        <v>149</v>
      </c>
      <c r="R1237" s="54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4" t="s">
        <v>149</v>
      </c>
      <c r="P1238" s="54">
        <f>HEX2DEC(RIGHT(Table132321432[[#This Row],[h1]],8))</f>
        <v>0</v>
      </c>
      <c r="Q1238" s="54" t="s">
        <v>149</v>
      </c>
      <c r="R1238" s="54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4" t="s">
        <v>149</v>
      </c>
      <c r="P1239" s="54">
        <f>HEX2DEC(RIGHT(Table132321432[[#This Row],[h1]],8))</f>
        <v>0</v>
      </c>
      <c r="Q1239" s="54" t="s">
        <v>149</v>
      </c>
      <c r="R1239" s="54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4" t="s">
        <v>149</v>
      </c>
      <c r="P1240" s="54">
        <f>HEX2DEC(RIGHT(Table132321432[[#This Row],[h1]],8))</f>
        <v>0</v>
      </c>
      <c r="Q1240" s="54" t="s">
        <v>149</v>
      </c>
      <c r="R1240" s="54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4" t="s">
        <v>149</v>
      </c>
      <c r="P1241" s="54">
        <f>HEX2DEC(RIGHT(Table132321432[[#This Row],[h1]],8))</f>
        <v>0</v>
      </c>
      <c r="Q1241" s="54" t="s">
        <v>149</v>
      </c>
      <c r="R1241" s="54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4" t="s">
        <v>149</v>
      </c>
      <c r="P1242" s="54">
        <f>HEX2DEC(RIGHT(Table132321432[[#This Row],[h1]],8))</f>
        <v>0</v>
      </c>
      <c r="Q1242" s="54" t="s">
        <v>149</v>
      </c>
      <c r="R1242" s="54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4" t="s">
        <v>149</v>
      </c>
      <c r="P1243" s="54">
        <f>HEX2DEC(RIGHT(Table132321432[[#This Row],[h1]],8))</f>
        <v>0</v>
      </c>
      <c r="Q1243" s="54" t="s">
        <v>149</v>
      </c>
      <c r="R1243" s="54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4" t="s">
        <v>149</v>
      </c>
      <c r="P1244" s="54">
        <f>HEX2DEC(RIGHT(Table132321432[[#This Row],[h1]],8))</f>
        <v>0</v>
      </c>
      <c r="Q1244" s="54" t="s">
        <v>149</v>
      </c>
      <c r="R1244" s="54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4" t="s">
        <v>149</v>
      </c>
      <c r="P1245" s="54">
        <f>HEX2DEC(RIGHT(Table132321432[[#This Row],[h1]],8))</f>
        <v>0</v>
      </c>
      <c r="Q1245" s="54" t="s">
        <v>149</v>
      </c>
      <c r="R1245" s="54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4" t="s">
        <v>149</v>
      </c>
      <c r="P1246" s="54">
        <f>HEX2DEC(RIGHT(Table132321432[[#This Row],[h1]],8))</f>
        <v>0</v>
      </c>
      <c r="Q1246" s="54" t="s">
        <v>149</v>
      </c>
      <c r="R1246" s="54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4" t="s">
        <v>149</v>
      </c>
      <c r="P1247" s="54">
        <f>HEX2DEC(RIGHT(Table132321432[[#This Row],[h1]],8))</f>
        <v>0</v>
      </c>
      <c r="Q1247" s="54" t="s">
        <v>149</v>
      </c>
      <c r="R1247" s="54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4" t="s">
        <v>149</v>
      </c>
      <c r="P1248" s="54">
        <f>HEX2DEC(RIGHT(Table132321432[[#This Row],[h1]],8))</f>
        <v>0</v>
      </c>
      <c r="Q1248" s="54" t="s">
        <v>149</v>
      </c>
      <c r="R1248" s="54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4" t="s">
        <v>149</v>
      </c>
      <c r="P1249" s="54">
        <f>HEX2DEC(RIGHT(Table132321432[[#This Row],[h1]],8))</f>
        <v>0</v>
      </c>
      <c r="Q1249" s="54" t="s">
        <v>149</v>
      </c>
      <c r="R1249" s="54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4" t="s">
        <v>149</v>
      </c>
      <c r="P1250" s="54">
        <f>HEX2DEC(RIGHT(Table132321432[[#This Row],[h1]],8))</f>
        <v>0</v>
      </c>
      <c r="Q1250" s="54" t="s">
        <v>149</v>
      </c>
      <c r="R1250" s="54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4" t="s">
        <v>149</v>
      </c>
      <c r="P1251" s="54">
        <f>HEX2DEC(RIGHT(Table132321432[[#This Row],[h1]],8))</f>
        <v>0</v>
      </c>
      <c r="Q1251" s="54" t="s">
        <v>149</v>
      </c>
      <c r="R1251" s="54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4" t="s">
        <v>149</v>
      </c>
      <c r="P1252" s="54">
        <f>HEX2DEC(RIGHT(Table132321432[[#This Row],[h1]],8))</f>
        <v>0</v>
      </c>
      <c r="Q1252" s="54" t="s">
        <v>149</v>
      </c>
      <c r="R1252" s="54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4" t="s">
        <v>149</v>
      </c>
      <c r="P1253" s="54">
        <f>HEX2DEC(RIGHT(Table132321432[[#This Row],[h1]],8))</f>
        <v>0</v>
      </c>
      <c r="Q1253" s="54" t="s">
        <v>149</v>
      </c>
      <c r="R1253" s="54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4" t="s">
        <v>149</v>
      </c>
      <c r="P1254" s="54">
        <f>HEX2DEC(RIGHT(Table132321432[[#This Row],[h1]],8))</f>
        <v>0</v>
      </c>
      <c r="Q1254" s="54" t="s">
        <v>149</v>
      </c>
      <c r="R1254" s="54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4" t="s">
        <v>149</v>
      </c>
      <c r="P1255" s="54">
        <f>HEX2DEC(RIGHT(Table132321432[[#This Row],[h1]],8))</f>
        <v>0</v>
      </c>
      <c r="Q1255" s="54" t="s">
        <v>149</v>
      </c>
      <c r="R1255" s="54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4" t="s">
        <v>149</v>
      </c>
      <c r="P1256" s="54">
        <f>HEX2DEC(RIGHT(Table132321432[[#This Row],[h1]],8))</f>
        <v>0</v>
      </c>
      <c r="Q1256" s="54" t="s">
        <v>149</v>
      </c>
      <c r="R1256" s="54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4" t="s">
        <v>149</v>
      </c>
      <c r="P1257" s="54">
        <f>HEX2DEC(RIGHT(Table132321432[[#This Row],[h1]],8))</f>
        <v>0</v>
      </c>
      <c r="Q1257" s="54" t="s">
        <v>149</v>
      </c>
      <c r="R1257" s="54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4" t="s">
        <v>149</v>
      </c>
      <c r="P1258" s="54">
        <f>HEX2DEC(RIGHT(Table132321432[[#This Row],[h1]],8))</f>
        <v>0</v>
      </c>
      <c r="Q1258" s="54" t="s">
        <v>149</v>
      </c>
      <c r="R1258" s="54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4" t="s">
        <v>149</v>
      </c>
      <c r="P1259" s="54">
        <f>HEX2DEC(RIGHT(Table132321432[[#This Row],[h1]],8))</f>
        <v>0</v>
      </c>
      <c r="Q1259" s="54" t="s">
        <v>149</v>
      </c>
      <c r="R1259" s="54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4" t="s">
        <v>149</v>
      </c>
      <c r="P1260" s="54">
        <f>HEX2DEC(RIGHT(Table132321432[[#This Row],[h1]],8))</f>
        <v>0</v>
      </c>
      <c r="Q1260" s="54" t="s">
        <v>149</v>
      </c>
      <c r="R1260" s="54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4" t="s">
        <v>149</v>
      </c>
      <c r="P1261" s="54">
        <f>HEX2DEC(RIGHT(Table132321432[[#This Row],[h1]],8))</f>
        <v>0</v>
      </c>
      <c r="Q1261" s="54" t="s">
        <v>149</v>
      </c>
      <c r="R1261" s="54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4" t="s">
        <v>149</v>
      </c>
      <c r="P1262" s="54">
        <f>HEX2DEC(RIGHT(Table132321432[[#This Row],[h1]],8))</f>
        <v>0</v>
      </c>
      <c r="Q1262" s="54" t="s">
        <v>149</v>
      </c>
      <c r="R1262" s="54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4" t="s">
        <v>149</v>
      </c>
      <c r="P1263" s="54">
        <f>HEX2DEC(RIGHT(Table132321432[[#This Row],[h1]],8))</f>
        <v>0</v>
      </c>
      <c r="Q1263" s="54" t="s">
        <v>149</v>
      </c>
      <c r="R1263" s="54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4" t="s">
        <v>149</v>
      </c>
      <c r="P1264" s="54">
        <f>HEX2DEC(RIGHT(Table132321432[[#This Row],[h1]],8))</f>
        <v>0</v>
      </c>
      <c r="Q1264" s="54" t="s">
        <v>149</v>
      </c>
      <c r="R1264" s="54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4" t="s">
        <v>149</v>
      </c>
      <c r="P1265" s="54">
        <f>HEX2DEC(RIGHT(Table132321432[[#This Row],[h1]],8))</f>
        <v>0</v>
      </c>
      <c r="Q1265" s="54" t="s">
        <v>149</v>
      </c>
      <c r="R1265" s="54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4" t="s">
        <v>149</v>
      </c>
      <c r="P1266" s="54">
        <f>HEX2DEC(RIGHT(Table132321432[[#This Row],[h1]],8))</f>
        <v>0</v>
      </c>
      <c r="Q1266" s="54" t="s">
        <v>149</v>
      </c>
      <c r="R1266" s="54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4" t="s">
        <v>149</v>
      </c>
      <c r="P1267" s="54">
        <f>HEX2DEC(RIGHT(Table132321432[[#This Row],[h1]],8))</f>
        <v>0</v>
      </c>
      <c r="Q1267" s="54" t="s">
        <v>149</v>
      </c>
      <c r="R1267" s="54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4" t="s">
        <v>149</v>
      </c>
      <c r="P1268" s="54">
        <f>HEX2DEC(RIGHT(Table132321432[[#This Row],[h1]],8))</f>
        <v>0</v>
      </c>
      <c r="Q1268" s="54" t="s">
        <v>149</v>
      </c>
      <c r="R1268" s="54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4" t="s">
        <v>149</v>
      </c>
      <c r="P1269" s="54">
        <f>HEX2DEC(RIGHT(Table132321432[[#This Row],[h1]],8))</f>
        <v>0</v>
      </c>
      <c r="Q1269" s="54" t="s">
        <v>149</v>
      </c>
      <c r="R1269" s="54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4" t="s">
        <v>149</v>
      </c>
      <c r="P1270" s="54">
        <f>HEX2DEC(RIGHT(Table132321432[[#This Row],[h1]],8))</f>
        <v>0</v>
      </c>
      <c r="Q1270" s="54" t="s">
        <v>149</v>
      </c>
      <c r="R1270" s="54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4" t="s">
        <v>149</v>
      </c>
      <c r="P1271" s="54">
        <f>HEX2DEC(RIGHT(Table132321432[[#This Row],[h1]],8))</f>
        <v>0</v>
      </c>
      <c r="Q1271" s="54" t="s">
        <v>149</v>
      </c>
      <c r="R1271" s="54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4" t="s">
        <v>149</v>
      </c>
      <c r="P1272" s="54">
        <f>HEX2DEC(RIGHT(Table132321432[[#This Row],[h1]],8))</f>
        <v>0</v>
      </c>
      <c r="Q1272" s="54" t="s">
        <v>149</v>
      </c>
      <c r="R1272" s="54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4" t="s">
        <v>149</v>
      </c>
      <c r="P1273" s="54">
        <f>HEX2DEC(RIGHT(Table132321432[[#This Row],[h1]],8))</f>
        <v>0</v>
      </c>
      <c r="Q1273" s="54" t="s">
        <v>149</v>
      </c>
      <c r="R1273" s="54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4" t="s">
        <v>149</v>
      </c>
      <c r="P1274" s="54">
        <f>HEX2DEC(RIGHT(Table132321432[[#This Row],[h1]],8))</f>
        <v>0</v>
      </c>
      <c r="Q1274" s="54" t="s">
        <v>149</v>
      </c>
      <c r="R1274" s="54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4" t="s">
        <v>149</v>
      </c>
      <c r="P1275" s="54">
        <f>HEX2DEC(RIGHT(Table132321432[[#This Row],[h1]],8))</f>
        <v>0</v>
      </c>
      <c r="Q1275" s="54" t="s">
        <v>149</v>
      </c>
      <c r="R1275" s="54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4" t="s">
        <v>149</v>
      </c>
      <c r="P1276" s="54">
        <f>HEX2DEC(RIGHT(Table132321432[[#This Row],[h1]],8))</f>
        <v>0</v>
      </c>
      <c r="Q1276" s="54" t="s">
        <v>149</v>
      </c>
      <c r="R1276" s="54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4" t="s">
        <v>149</v>
      </c>
      <c r="P1277" s="54">
        <f>HEX2DEC(RIGHT(Table132321432[[#This Row],[h1]],8))</f>
        <v>0</v>
      </c>
      <c r="Q1277" s="54" t="s">
        <v>149</v>
      </c>
      <c r="R1277" s="54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4" t="s">
        <v>149</v>
      </c>
      <c r="P1278" s="54">
        <f>HEX2DEC(RIGHT(Table132321432[[#This Row],[h1]],8))</f>
        <v>0</v>
      </c>
      <c r="Q1278" s="54" t="s">
        <v>149</v>
      </c>
      <c r="R1278" s="54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4" t="s">
        <v>149</v>
      </c>
      <c r="P1279" s="54">
        <f>HEX2DEC(RIGHT(Table132321432[[#This Row],[h1]],8))</f>
        <v>0</v>
      </c>
      <c r="Q1279" s="54" t="s">
        <v>149</v>
      </c>
      <c r="R1279" s="54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4" t="s">
        <v>149</v>
      </c>
      <c r="P1280" s="54">
        <f>HEX2DEC(RIGHT(Table132321432[[#This Row],[h1]],8))</f>
        <v>0</v>
      </c>
      <c r="Q1280" s="54" t="s">
        <v>149</v>
      </c>
      <c r="R1280" s="54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4" t="s">
        <v>149</v>
      </c>
      <c r="P1281" s="54">
        <f>HEX2DEC(RIGHT(Table132321432[[#This Row],[h1]],8))</f>
        <v>0</v>
      </c>
      <c r="Q1281" s="54" t="s">
        <v>149</v>
      </c>
      <c r="R1281" s="54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4" t="s">
        <v>149</v>
      </c>
      <c r="P1282" s="54">
        <f>HEX2DEC(RIGHT(Table132321432[[#This Row],[h1]],8))</f>
        <v>0</v>
      </c>
      <c r="Q1282" s="54" t="s">
        <v>149</v>
      </c>
      <c r="R1282" s="54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4" t="s">
        <v>149</v>
      </c>
      <c r="P1283" s="54">
        <f>HEX2DEC(RIGHT(Table132321432[[#This Row],[h1]],8))</f>
        <v>0</v>
      </c>
      <c r="Q1283" s="54" t="s">
        <v>149</v>
      </c>
      <c r="R1283" s="54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4" t="s">
        <v>149</v>
      </c>
      <c r="P1284" s="54">
        <f>HEX2DEC(RIGHT(Table132321432[[#This Row],[h1]],8))</f>
        <v>0</v>
      </c>
      <c r="Q1284" s="54" t="s">
        <v>149</v>
      </c>
      <c r="R1284" s="54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4" t="s">
        <v>149</v>
      </c>
      <c r="P1285" s="54">
        <f>HEX2DEC(RIGHT(Table132321432[[#This Row],[h1]],8))</f>
        <v>0</v>
      </c>
      <c r="Q1285" s="54" t="s">
        <v>149</v>
      </c>
      <c r="R1285" s="54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4" t="s">
        <v>149</v>
      </c>
      <c r="P1286" s="54">
        <f>HEX2DEC(RIGHT(Table132321432[[#This Row],[h1]],8))</f>
        <v>0</v>
      </c>
      <c r="Q1286" s="54" t="s">
        <v>149</v>
      </c>
      <c r="R1286" s="54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4" t="s">
        <v>149</v>
      </c>
      <c r="P1287" s="54">
        <f>HEX2DEC(RIGHT(Table132321432[[#This Row],[h1]],8))</f>
        <v>0</v>
      </c>
      <c r="Q1287" s="54" t="s">
        <v>149</v>
      </c>
      <c r="R1287" s="54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4" t="s">
        <v>149</v>
      </c>
      <c r="P1288" s="54">
        <f>HEX2DEC(RIGHT(Table132321432[[#This Row],[h1]],8))</f>
        <v>0</v>
      </c>
      <c r="Q1288" s="54" t="s">
        <v>149</v>
      </c>
      <c r="R1288" s="54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4" t="s">
        <v>149</v>
      </c>
      <c r="P1289" s="54">
        <f>HEX2DEC(RIGHT(Table132321432[[#This Row],[h1]],8))</f>
        <v>0</v>
      </c>
      <c r="Q1289" s="54" t="s">
        <v>149</v>
      </c>
      <c r="R1289" s="54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4" t="s">
        <v>149</v>
      </c>
      <c r="P1290" s="54">
        <f>HEX2DEC(RIGHT(Table132321432[[#This Row],[h1]],8))</f>
        <v>0</v>
      </c>
      <c r="Q1290" s="54" t="s">
        <v>149</v>
      </c>
      <c r="R1290" s="54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4" t="s">
        <v>149</v>
      </c>
      <c r="P1291" s="54">
        <f>HEX2DEC(RIGHT(Table132321432[[#This Row],[h1]],8))</f>
        <v>0</v>
      </c>
      <c r="Q1291" s="54" t="s">
        <v>149</v>
      </c>
      <c r="R1291" s="54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4" t="s">
        <v>149</v>
      </c>
      <c r="P1292" s="54">
        <f>HEX2DEC(RIGHT(Table132321432[[#This Row],[h1]],8))</f>
        <v>0</v>
      </c>
      <c r="Q1292" s="54" t="s">
        <v>149</v>
      </c>
      <c r="R1292" s="54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4" t="s">
        <v>149</v>
      </c>
      <c r="P1293" s="54">
        <f>HEX2DEC(RIGHT(Table132321432[[#This Row],[h1]],8))</f>
        <v>0</v>
      </c>
      <c r="Q1293" s="54" t="s">
        <v>149</v>
      </c>
      <c r="R1293" s="54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4" t="s">
        <v>149</v>
      </c>
      <c r="P1294" s="54">
        <f>HEX2DEC(RIGHT(Table132321432[[#This Row],[h1]],8))</f>
        <v>0</v>
      </c>
      <c r="Q1294" s="54" t="s">
        <v>149</v>
      </c>
      <c r="R1294" s="54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4" t="s">
        <v>149</v>
      </c>
      <c r="P1295" s="54">
        <f>HEX2DEC(RIGHT(Table132321432[[#This Row],[h1]],8))</f>
        <v>0</v>
      </c>
      <c r="Q1295" s="54" t="s">
        <v>149</v>
      </c>
      <c r="R1295" s="54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4" t="s">
        <v>149</v>
      </c>
      <c r="P1296" s="54">
        <f>HEX2DEC(RIGHT(Table132321432[[#This Row],[h1]],8))</f>
        <v>0</v>
      </c>
      <c r="Q1296" s="54" t="s">
        <v>149</v>
      </c>
      <c r="R1296" s="54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4" t="s">
        <v>149</v>
      </c>
      <c r="P1297" s="54">
        <f>HEX2DEC(RIGHT(Table132321432[[#This Row],[h1]],8))</f>
        <v>0</v>
      </c>
      <c r="Q1297" s="54" t="s">
        <v>149</v>
      </c>
      <c r="R1297" s="54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4" t="s">
        <v>149</v>
      </c>
      <c r="P1298" s="54">
        <f>HEX2DEC(RIGHT(Table132321432[[#This Row],[h1]],8))</f>
        <v>0</v>
      </c>
      <c r="Q1298" s="54" t="s">
        <v>149</v>
      </c>
      <c r="R1298" s="54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4" t="s">
        <v>149</v>
      </c>
      <c r="P1299" s="54">
        <f>HEX2DEC(RIGHT(Table132321432[[#This Row],[h1]],8))</f>
        <v>0</v>
      </c>
      <c r="Q1299" s="54" t="s">
        <v>149</v>
      </c>
      <c r="R1299" s="54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4" t="s">
        <v>149</v>
      </c>
      <c r="P1300" s="54">
        <f>HEX2DEC(RIGHT(Table132321432[[#This Row],[h1]],8))</f>
        <v>0</v>
      </c>
      <c r="Q1300" s="54" t="s">
        <v>149</v>
      </c>
      <c r="R1300" s="54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4" t="s">
        <v>149</v>
      </c>
      <c r="P1301" s="54">
        <f>HEX2DEC(RIGHT(Table132321432[[#This Row],[h1]],8))</f>
        <v>0</v>
      </c>
      <c r="Q1301" s="54" t="s">
        <v>149</v>
      </c>
      <c r="R1301" s="54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4" t="s">
        <v>149</v>
      </c>
      <c r="P1302" s="54">
        <f>HEX2DEC(RIGHT(Table132321432[[#This Row],[h1]],8))</f>
        <v>0</v>
      </c>
      <c r="Q1302" s="54" t="s">
        <v>149</v>
      </c>
      <c r="R1302" s="54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4" t="s">
        <v>149</v>
      </c>
      <c r="P1303" s="54">
        <f>HEX2DEC(RIGHT(Table132321432[[#This Row],[h1]],8))</f>
        <v>0</v>
      </c>
      <c r="Q1303" s="54" t="s">
        <v>149</v>
      </c>
      <c r="R1303" s="54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4" t="s">
        <v>149</v>
      </c>
      <c r="P1304" s="54">
        <f>HEX2DEC(RIGHT(Table132321432[[#This Row],[h1]],8))</f>
        <v>0</v>
      </c>
      <c r="Q1304" s="54" t="s">
        <v>149</v>
      </c>
      <c r="R1304" s="54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4" t="s">
        <v>149</v>
      </c>
      <c r="P1305" s="54">
        <f>HEX2DEC(RIGHT(Table132321432[[#This Row],[h1]],8))</f>
        <v>0</v>
      </c>
      <c r="Q1305" s="54" t="s">
        <v>149</v>
      </c>
      <c r="R1305" s="54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4" t="s">
        <v>149</v>
      </c>
      <c r="P1306" s="54">
        <f>HEX2DEC(RIGHT(Table132321432[[#This Row],[h1]],8))</f>
        <v>0</v>
      </c>
      <c r="Q1306" s="54" t="s">
        <v>149</v>
      </c>
      <c r="R1306" s="54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4" t="s">
        <v>149</v>
      </c>
      <c r="P1307" s="54">
        <f>HEX2DEC(RIGHT(Table132321432[[#This Row],[h1]],8))</f>
        <v>0</v>
      </c>
      <c r="Q1307" s="54" t="s">
        <v>149</v>
      </c>
      <c r="R1307" s="54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4" t="s">
        <v>149</v>
      </c>
      <c r="P1308" s="54">
        <f>HEX2DEC(RIGHT(Table132321432[[#This Row],[h1]],8))</f>
        <v>0</v>
      </c>
      <c r="Q1308" s="54" t="s">
        <v>149</v>
      </c>
      <c r="R1308" s="54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4" t="s">
        <v>149</v>
      </c>
      <c r="P1309" s="54">
        <f>HEX2DEC(RIGHT(Table132321432[[#This Row],[h1]],8))</f>
        <v>0</v>
      </c>
      <c r="Q1309" s="54" t="s">
        <v>149</v>
      </c>
      <c r="R1309" s="54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4" t="s">
        <v>149</v>
      </c>
      <c r="P1310" s="54">
        <f>HEX2DEC(RIGHT(Table132321432[[#This Row],[h1]],8))</f>
        <v>0</v>
      </c>
      <c r="Q1310" s="54" t="s">
        <v>149</v>
      </c>
      <c r="R1310" s="54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4" t="s">
        <v>149</v>
      </c>
      <c r="P1311" s="54">
        <f>HEX2DEC(RIGHT(Table132321432[[#This Row],[h1]],8))</f>
        <v>0</v>
      </c>
      <c r="Q1311" s="54" t="s">
        <v>149</v>
      </c>
      <c r="R1311" s="54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4" t="s">
        <v>149</v>
      </c>
      <c r="P1312" s="54">
        <f>HEX2DEC(RIGHT(Table132321432[[#This Row],[h1]],8))</f>
        <v>0</v>
      </c>
      <c r="Q1312" s="54" t="s">
        <v>149</v>
      </c>
      <c r="R1312" s="54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4" t="s">
        <v>149</v>
      </c>
      <c r="P1313" s="54">
        <f>HEX2DEC(RIGHT(Table132321432[[#This Row],[h1]],8))</f>
        <v>0</v>
      </c>
      <c r="Q1313" s="54" t="s">
        <v>149</v>
      </c>
      <c r="R1313" s="54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4" t="s">
        <v>149</v>
      </c>
      <c r="P1314" s="54">
        <f>HEX2DEC(RIGHT(Table132321432[[#This Row],[h1]],8))</f>
        <v>0</v>
      </c>
      <c r="Q1314" s="54" t="s">
        <v>149</v>
      </c>
      <c r="R1314" s="54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4" t="s">
        <v>149</v>
      </c>
      <c r="P1315" s="54">
        <f>HEX2DEC(RIGHT(Table132321432[[#This Row],[h1]],8))</f>
        <v>0</v>
      </c>
      <c r="Q1315" s="54" t="s">
        <v>149</v>
      </c>
      <c r="R1315" s="54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4" t="s">
        <v>149</v>
      </c>
      <c r="P1316" s="54">
        <f>HEX2DEC(RIGHT(Table132321432[[#This Row],[h1]],8))</f>
        <v>0</v>
      </c>
      <c r="Q1316" s="54" t="s">
        <v>149</v>
      </c>
      <c r="R1316" s="54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4" t="s">
        <v>149</v>
      </c>
      <c r="P1317" s="54">
        <f>HEX2DEC(RIGHT(Table132321432[[#This Row],[h1]],8))</f>
        <v>0</v>
      </c>
      <c r="Q1317" s="54" t="s">
        <v>149</v>
      </c>
      <c r="R1317" s="54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4" t="s">
        <v>149</v>
      </c>
      <c r="P1318" s="54">
        <f>HEX2DEC(RIGHT(Table132321432[[#This Row],[h1]],8))</f>
        <v>0</v>
      </c>
      <c r="Q1318" s="54" t="s">
        <v>149</v>
      </c>
      <c r="R1318" s="54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4" t="s">
        <v>149</v>
      </c>
      <c r="P1319" s="54">
        <f>HEX2DEC(RIGHT(Table132321432[[#This Row],[h1]],8))</f>
        <v>0</v>
      </c>
      <c r="Q1319" s="54" t="s">
        <v>149</v>
      </c>
      <c r="R1319" s="54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4" t="s">
        <v>149</v>
      </c>
      <c r="P1320" s="54">
        <f>HEX2DEC(RIGHT(Table132321432[[#This Row],[h1]],8))</f>
        <v>0</v>
      </c>
      <c r="Q1320" s="54" t="s">
        <v>149</v>
      </c>
      <c r="R1320" s="54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4" t="s">
        <v>149</v>
      </c>
      <c r="P1321" s="54">
        <f>HEX2DEC(RIGHT(Table132321432[[#This Row],[h1]],8))</f>
        <v>0</v>
      </c>
      <c r="Q1321" s="54" t="s">
        <v>149</v>
      </c>
      <c r="R1321" s="54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4" t="s">
        <v>149</v>
      </c>
      <c r="P1322" s="54">
        <f>HEX2DEC(RIGHT(Table132321432[[#This Row],[h1]],8))</f>
        <v>0</v>
      </c>
      <c r="Q1322" s="54" t="s">
        <v>149</v>
      </c>
      <c r="R1322" s="54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4" t="s">
        <v>149</v>
      </c>
      <c r="P1323" s="54">
        <f>HEX2DEC(RIGHT(Table132321432[[#This Row],[h1]],8))</f>
        <v>0</v>
      </c>
      <c r="Q1323" s="54" t="s">
        <v>149</v>
      </c>
      <c r="R1323" s="54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4" t="s">
        <v>149</v>
      </c>
      <c r="P1324" s="54">
        <f>HEX2DEC(RIGHT(Table132321432[[#This Row],[h1]],8))</f>
        <v>0</v>
      </c>
      <c r="Q1324" s="54" t="s">
        <v>149</v>
      </c>
      <c r="R1324" s="54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4" t="s">
        <v>149</v>
      </c>
      <c r="P1325" s="54">
        <f>HEX2DEC(RIGHT(Table132321432[[#This Row],[h1]],8))</f>
        <v>0</v>
      </c>
      <c r="Q1325" s="54" t="s">
        <v>149</v>
      </c>
      <c r="R1325" s="54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4" t="s">
        <v>149</v>
      </c>
      <c r="P1326" s="54">
        <f>HEX2DEC(RIGHT(Table132321432[[#This Row],[h1]],8))</f>
        <v>0</v>
      </c>
      <c r="Q1326" s="54" t="s">
        <v>149</v>
      </c>
      <c r="R1326" s="54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4" t="s">
        <v>149</v>
      </c>
      <c r="P1327" s="54">
        <f>HEX2DEC(RIGHT(Table132321432[[#This Row],[h1]],8))</f>
        <v>0</v>
      </c>
      <c r="Q1327" s="54" t="s">
        <v>149</v>
      </c>
      <c r="R1327" s="54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4" t="s">
        <v>149</v>
      </c>
      <c r="P1328" s="54">
        <f>HEX2DEC(RIGHT(Table132321432[[#This Row],[h1]],8))</f>
        <v>0</v>
      </c>
      <c r="Q1328" s="54" t="s">
        <v>149</v>
      </c>
      <c r="R1328" s="54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4" t="s">
        <v>149</v>
      </c>
      <c r="P1329" s="54">
        <f>HEX2DEC(RIGHT(Table132321432[[#This Row],[h1]],8))</f>
        <v>0</v>
      </c>
      <c r="Q1329" s="54" t="s">
        <v>149</v>
      </c>
      <c r="R1329" s="54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4" t="s">
        <v>149</v>
      </c>
      <c r="P1330" s="54">
        <f>HEX2DEC(RIGHT(Table132321432[[#This Row],[h1]],8))</f>
        <v>0</v>
      </c>
      <c r="Q1330" s="54" t="s">
        <v>149</v>
      </c>
      <c r="R1330" s="54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4" t="s">
        <v>149</v>
      </c>
      <c r="P1331" s="54">
        <f>HEX2DEC(RIGHT(Table132321432[[#This Row],[h1]],8))</f>
        <v>0</v>
      </c>
      <c r="Q1331" s="54" t="s">
        <v>149</v>
      </c>
      <c r="R1331" s="54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4" t="s">
        <v>149</v>
      </c>
      <c r="P1332" s="54">
        <f>HEX2DEC(RIGHT(Table132321432[[#This Row],[h1]],8))</f>
        <v>0</v>
      </c>
      <c r="Q1332" s="54" t="s">
        <v>149</v>
      </c>
      <c r="R1332" s="54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4" t="s">
        <v>149</v>
      </c>
      <c r="P1333" s="54">
        <f>HEX2DEC(RIGHT(Table132321432[[#This Row],[h1]],8))</f>
        <v>0</v>
      </c>
      <c r="Q1333" s="54" t="s">
        <v>149</v>
      </c>
      <c r="R1333" s="54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4" t="s">
        <v>149</v>
      </c>
      <c r="P1334" s="54">
        <f>HEX2DEC(RIGHT(Table132321432[[#This Row],[h1]],8))</f>
        <v>0</v>
      </c>
      <c r="Q1334" s="54" t="s">
        <v>149</v>
      </c>
      <c r="R1334" s="54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4" t="s">
        <v>149</v>
      </c>
      <c r="P1335" s="54">
        <f>HEX2DEC(RIGHT(Table132321432[[#This Row],[h1]],8))</f>
        <v>0</v>
      </c>
      <c r="Q1335" s="54" t="s">
        <v>149</v>
      </c>
      <c r="R1335" s="54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4" t="s">
        <v>149</v>
      </c>
      <c r="P1336" s="54">
        <f>HEX2DEC(RIGHT(Table132321432[[#This Row],[h1]],8))</f>
        <v>0</v>
      </c>
      <c r="Q1336" s="54" t="s">
        <v>149</v>
      </c>
      <c r="R1336" s="54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4" t="s">
        <v>149</v>
      </c>
      <c r="P1337" s="54">
        <f>HEX2DEC(RIGHT(Table132321432[[#This Row],[h1]],8))</f>
        <v>0</v>
      </c>
      <c r="Q1337" s="54" t="s">
        <v>149</v>
      </c>
      <c r="R1337" s="54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4" t="s">
        <v>149</v>
      </c>
      <c r="P1338" s="54">
        <f>HEX2DEC(RIGHT(Table132321432[[#This Row],[h1]],8))</f>
        <v>0</v>
      </c>
      <c r="Q1338" s="54" t="s">
        <v>149</v>
      </c>
      <c r="R1338" s="54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4" t="s">
        <v>149</v>
      </c>
      <c r="P1339" s="54">
        <f>HEX2DEC(RIGHT(Table132321432[[#This Row],[h1]],8))</f>
        <v>0</v>
      </c>
      <c r="Q1339" s="54" t="s">
        <v>149</v>
      </c>
      <c r="R1339" s="54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4" t="s">
        <v>149</v>
      </c>
      <c r="P1340" s="54">
        <f>HEX2DEC(RIGHT(Table132321432[[#This Row],[h1]],8))</f>
        <v>0</v>
      </c>
      <c r="Q1340" s="54" t="s">
        <v>149</v>
      </c>
      <c r="R1340" s="54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4" t="s">
        <v>149</v>
      </c>
      <c r="P1341" s="54">
        <f>HEX2DEC(RIGHT(Table132321432[[#This Row],[h1]],8))</f>
        <v>0</v>
      </c>
      <c r="Q1341" s="54" t="s">
        <v>149</v>
      </c>
      <c r="R1341" s="54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4" t="s">
        <v>149</v>
      </c>
      <c r="P1342" s="54">
        <f>HEX2DEC(RIGHT(Table132321432[[#This Row],[h1]],8))</f>
        <v>0</v>
      </c>
      <c r="Q1342" s="54" t="s">
        <v>149</v>
      </c>
      <c r="R1342" s="54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4" t="s">
        <v>149</v>
      </c>
      <c r="P1343" s="54">
        <f>HEX2DEC(RIGHT(Table132321432[[#This Row],[h1]],8))</f>
        <v>0</v>
      </c>
      <c r="Q1343" s="54" t="s">
        <v>149</v>
      </c>
      <c r="R1343" s="54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4" t="s">
        <v>149</v>
      </c>
      <c r="P1344" s="54">
        <f>HEX2DEC(RIGHT(Table132321432[[#This Row],[h1]],8))</f>
        <v>0</v>
      </c>
      <c r="Q1344" s="54" t="s">
        <v>149</v>
      </c>
      <c r="R1344" s="54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4" t="s">
        <v>149</v>
      </c>
      <c r="P1345" s="54">
        <f>HEX2DEC(RIGHT(Table132321432[[#This Row],[h1]],8))</f>
        <v>0</v>
      </c>
      <c r="Q1345" s="54" t="s">
        <v>149</v>
      </c>
      <c r="R1345" s="54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4" t="s">
        <v>149</v>
      </c>
      <c r="P1346" s="54">
        <f>HEX2DEC(RIGHT(Table132321432[[#This Row],[h1]],8))</f>
        <v>0</v>
      </c>
      <c r="Q1346" s="54" t="s">
        <v>149</v>
      </c>
      <c r="R1346" s="54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4" t="s">
        <v>149</v>
      </c>
      <c r="P1347" s="54">
        <f>HEX2DEC(RIGHT(Table132321432[[#This Row],[h1]],8))</f>
        <v>0</v>
      </c>
      <c r="Q1347" s="54" t="s">
        <v>149</v>
      </c>
      <c r="R1347" s="54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4" t="s">
        <v>149</v>
      </c>
      <c r="P1348" s="54">
        <f>HEX2DEC(RIGHT(Table132321432[[#This Row],[h1]],8))</f>
        <v>0</v>
      </c>
      <c r="Q1348" s="54" t="s">
        <v>149</v>
      </c>
      <c r="R1348" s="54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4" t="s">
        <v>149</v>
      </c>
      <c r="P1349" s="54">
        <f>HEX2DEC(RIGHT(Table132321432[[#This Row],[h1]],8))</f>
        <v>0</v>
      </c>
      <c r="Q1349" s="54" t="s">
        <v>149</v>
      </c>
      <c r="R1349" s="54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4" t="s">
        <v>149</v>
      </c>
      <c r="P1350" s="54">
        <f>HEX2DEC(RIGHT(Table132321432[[#This Row],[h1]],8))</f>
        <v>0</v>
      </c>
      <c r="Q1350" s="54" t="s">
        <v>149</v>
      </c>
      <c r="R1350" s="54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4" t="s">
        <v>149</v>
      </c>
      <c r="P1351" s="54">
        <f>HEX2DEC(RIGHT(Table132321432[[#This Row],[h1]],8))</f>
        <v>0</v>
      </c>
      <c r="Q1351" s="54" t="s">
        <v>149</v>
      </c>
      <c r="R1351" s="54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4" t="s">
        <v>149</v>
      </c>
      <c r="P1352" s="54">
        <f>HEX2DEC(RIGHT(Table132321432[[#This Row],[h1]],8))</f>
        <v>0</v>
      </c>
      <c r="Q1352" s="54" t="s">
        <v>149</v>
      </c>
      <c r="R1352" s="54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4" t="s">
        <v>149</v>
      </c>
      <c r="P1353" s="54">
        <f>HEX2DEC(RIGHT(Table132321432[[#This Row],[h1]],8))</f>
        <v>0</v>
      </c>
      <c r="Q1353" s="54" t="s">
        <v>149</v>
      </c>
      <c r="R1353" s="54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4" t="s">
        <v>149</v>
      </c>
      <c r="P1354" s="54">
        <f>HEX2DEC(RIGHT(Table132321432[[#This Row],[h1]],8))</f>
        <v>0</v>
      </c>
      <c r="Q1354" s="54" t="s">
        <v>149</v>
      </c>
      <c r="R1354" s="54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4" t="s">
        <v>149</v>
      </c>
      <c r="P1355" s="54">
        <f>HEX2DEC(RIGHT(Table132321432[[#This Row],[h1]],8))</f>
        <v>0</v>
      </c>
      <c r="Q1355" s="54" t="s">
        <v>149</v>
      </c>
      <c r="R1355" s="54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4" t="s">
        <v>149</v>
      </c>
      <c r="P1356" s="54">
        <f>HEX2DEC(RIGHT(Table132321432[[#This Row],[h1]],8))</f>
        <v>0</v>
      </c>
      <c r="Q1356" s="54" t="s">
        <v>149</v>
      </c>
      <c r="R1356" s="54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4" t="s">
        <v>149</v>
      </c>
      <c r="P1357" s="54">
        <f>HEX2DEC(RIGHT(Table132321432[[#This Row],[h1]],8))</f>
        <v>0</v>
      </c>
      <c r="Q1357" s="54" t="s">
        <v>149</v>
      </c>
      <c r="R1357" s="54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4" t="s">
        <v>149</v>
      </c>
      <c r="P1358" s="54">
        <f>HEX2DEC(RIGHT(Table132321432[[#This Row],[h1]],8))</f>
        <v>0</v>
      </c>
      <c r="Q1358" s="54" t="s">
        <v>149</v>
      </c>
      <c r="R1358" s="54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4" t="s">
        <v>149</v>
      </c>
      <c r="P1359" s="54">
        <f>HEX2DEC(RIGHT(Table132321432[[#This Row],[h1]],8))</f>
        <v>0</v>
      </c>
      <c r="Q1359" s="54" t="s">
        <v>149</v>
      </c>
      <c r="R1359" s="54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4" t="s">
        <v>149</v>
      </c>
      <c r="P1360" s="54">
        <f>HEX2DEC(RIGHT(Table132321432[[#This Row],[h1]],8))</f>
        <v>0</v>
      </c>
      <c r="Q1360" s="54" t="s">
        <v>149</v>
      </c>
      <c r="R1360" s="54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4" t="s">
        <v>149</v>
      </c>
      <c r="P1361" s="54">
        <f>HEX2DEC(RIGHT(Table132321432[[#This Row],[h1]],8))</f>
        <v>0</v>
      </c>
      <c r="Q1361" s="54" t="s">
        <v>149</v>
      </c>
      <c r="R1361" s="54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4" t="s">
        <v>149</v>
      </c>
      <c r="P1362" s="54">
        <f>HEX2DEC(RIGHT(Table132321432[[#This Row],[h1]],8))</f>
        <v>0</v>
      </c>
      <c r="Q1362" s="54" t="s">
        <v>149</v>
      </c>
      <c r="R1362" s="54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4" t="s">
        <v>149</v>
      </c>
      <c r="P1363" s="54">
        <f>HEX2DEC(RIGHT(Table132321432[[#This Row],[h1]],8))</f>
        <v>0</v>
      </c>
      <c r="Q1363" s="54" t="s">
        <v>149</v>
      </c>
      <c r="R1363" s="54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4" t="s">
        <v>149</v>
      </c>
      <c r="P1364" s="54">
        <f>HEX2DEC(RIGHT(Table132321432[[#This Row],[h1]],8))</f>
        <v>0</v>
      </c>
      <c r="Q1364" s="54" t="s">
        <v>149</v>
      </c>
      <c r="R1364" s="54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4" t="s">
        <v>149</v>
      </c>
      <c r="P1365" s="54">
        <f>HEX2DEC(RIGHT(Table132321432[[#This Row],[h1]],8))</f>
        <v>0</v>
      </c>
      <c r="Q1365" s="54" t="s">
        <v>149</v>
      </c>
      <c r="R1365" s="54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4" t="s">
        <v>149</v>
      </c>
      <c r="P1366" s="54">
        <f>HEX2DEC(RIGHT(Table132321432[[#This Row],[h1]],8))</f>
        <v>0</v>
      </c>
      <c r="Q1366" s="54" t="s">
        <v>149</v>
      </c>
      <c r="R1366" s="54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4" t="s">
        <v>149</v>
      </c>
      <c r="P1367" s="54">
        <f>HEX2DEC(RIGHT(Table132321432[[#This Row],[h1]],8))</f>
        <v>0</v>
      </c>
      <c r="Q1367" s="54" t="s">
        <v>149</v>
      </c>
      <c r="R1367" s="54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4" t="s">
        <v>149</v>
      </c>
      <c r="P1368" s="54">
        <f>HEX2DEC(RIGHT(Table132321432[[#This Row],[h1]],8))</f>
        <v>0</v>
      </c>
      <c r="Q1368" s="54" t="s">
        <v>149</v>
      </c>
      <c r="R1368" s="54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4" t="s">
        <v>149</v>
      </c>
      <c r="P1369" s="54">
        <f>HEX2DEC(RIGHT(Table132321432[[#This Row],[h1]],8))</f>
        <v>0</v>
      </c>
      <c r="Q1369" s="54" t="s">
        <v>149</v>
      </c>
      <c r="R1369" s="54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4" t="s">
        <v>149</v>
      </c>
      <c r="P1370" s="54">
        <f>HEX2DEC(RIGHT(Table132321432[[#This Row],[h1]],8))</f>
        <v>0</v>
      </c>
      <c r="Q1370" s="54" t="s">
        <v>149</v>
      </c>
      <c r="R1370" s="54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4" t="s">
        <v>149</v>
      </c>
      <c r="P1371" s="54">
        <f>HEX2DEC(RIGHT(Table132321432[[#This Row],[h1]],8))</f>
        <v>0</v>
      </c>
      <c r="Q1371" s="54" t="s">
        <v>149</v>
      </c>
      <c r="R1371" s="54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4" t="s">
        <v>149</v>
      </c>
      <c r="P1372" s="54">
        <f>HEX2DEC(RIGHT(Table132321432[[#This Row],[h1]],8))</f>
        <v>0</v>
      </c>
      <c r="Q1372" s="54" t="s">
        <v>149</v>
      </c>
      <c r="R1372" s="54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4" t="s">
        <v>149</v>
      </c>
      <c r="P1373" s="54">
        <f>HEX2DEC(RIGHT(Table132321432[[#This Row],[h1]],8))</f>
        <v>0</v>
      </c>
      <c r="Q1373" s="54" t="s">
        <v>149</v>
      </c>
      <c r="R1373" s="54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4" t="s">
        <v>149</v>
      </c>
      <c r="P1374" s="54">
        <f>HEX2DEC(RIGHT(Table132321432[[#This Row],[h1]],8))</f>
        <v>0</v>
      </c>
      <c r="Q1374" s="54" t="s">
        <v>149</v>
      </c>
      <c r="R1374" s="54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4" t="s">
        <v>149</v>
      </c>
      <c r="P1375" s="54">
        <f>HEX2DEC(RIGHT(Table132321432[[#This Row],[h1]],8))</f>
        <v>0</v>
      </c>
      <c r="Q1375" s="54" t="s">
        <v>149</v>
      </c>
      <c r="R1375" s="54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4" t="s">
        <v>149</v>
      </c>
      <c r="P1376" s="54">
        <f>HEX2DEC(RIGHT(Table132321432[[#This Row],[h1]],8))</f>
        <v>0</v>
      </c>
      <c r="Q1376" s="54" t="s">
        <v>149</v>
      </c>
      <c r="R1376" s="54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4" t="s">
        <v>149</v>
      </c>
      <c r="P1377" s="54">
        <f>HEX2DEC(RIGHT(Table132321432[[#This Row],[h1]],8))</f>
        <v>0</v>
      </c>
      <c r="Q1377" s="54" t="s">
        <v>149</v>
      </c>
      <c r="R1377" s="54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4" t="s">
        <v>149</v>
      </c>
      <c r="P1378" s="54">
        <f>HEX2DEC(RIGHT(Table132321432[[#This Row],[h1]],8))</f>
        <v>0</v>
      </c>
      <c r="Q1378" s="54" t="s">
        <v>149</v>
      </c>
      <c r="R1378" s="54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4" t="s">
        <v>149</v>
      </c>
      <c r="P1379" s="54">
        <f>HEX2DEC(RIGHT(Table132321432[[#This Row],[h1]],8))</f>
        <v>0</v>
      </c>
      <c r="Q1379" s="54" t="s">
        <v>149</v>
      </c>
      <c r="R1379" s="54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4" t="s">
        <v>149</v>
      </c>
      <c r="P1380" s="54">
        <f>HEX2DEC(RIGHT(Table132321432[[#This Row],[h1]],8))</f>
        <v>0</v>
      </c>
      <c r="Q1380" s="54" t="s">
        <v>149</v>
      </c>
      <c r="R1380" s="54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4" t="s">
        <v>149</v>
      </c>
      <c r="P1381" s="54">
        <f>HEX2DEC(RIGHT(Table132321432[[#This Row],[h1]],8))</f>
        <v>0</v>
      </c>
      <c r="Q1381" s="54" t="s">
        <v>149</v>
      </c>
      <c r="R1381" s="54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4" t="s">
        <v>149</v>
      </c>
      <c r="P1382" s="54">
        <f>HEX2DEC(RIGHT(Table132321432[[#This Row],[h1]],8))</f>
        <v>0</v>
      </c>
      <c r="Q1382" s="54" t="s">
        <v>149</v>
      </c>
      <c r="R1382" s="54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4" t="s">
        <v>149</v>
      </c>
      <c r="P1383" s="54">
        <f>HEX2DEC(RIGHT(Table132321432[[#This Row],[h1]],8))</f>
        <v>0</v>
      </c>
      <c r="Q1383" s="54" t="s">
        <v>149</v>
      </c>
      <c r="R1383" s="54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4" t="s">
        <v>149</v>
      </c>
      <c r="P1384" s="54">
        <f>HEX2DEC(RIGHT(Table132321432[[#This Row],[h1]],8))</f>
        <v>0</v>
      </c>
      <c r="Q1384" s="54" t="s">
        <v>149</v>
      </c>
      <c r="R1384" s="54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4" t="s">
        <v>149</v>
      </c>
      <c r="P1385" s="54">
        <f>HEX2DEC(RIGHT(Table132321432[[#This Row],[h1]],8))</f>
        <v>0</v>
      </c>
      <c r="Q1385" s="54" t="s">
        <v>149</v>
      </c>
      <c r="R1385" s="54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4" t="s">
        <v>149</v>
      </c>
      <c r="P1386" s="54">
        <f>HEX2DEC(RIGHT(Table132321432[[#This Row],[h1]],8))</f>
        <v>0</v>
      </c>
      <c r="Q1386" s="54" t="s">
        <v>149</v>
      </c>
      <c r="R1386" s="54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4" t="s">
        <v>149</v>
      </c>
      <c r="P1387" s="54">
        <f>HEX2DEC(RIGHT(Table132321432[[#This Row],[h1]],8))</f>
        <v>0</v>
      </c>
      <c r="Q1387" s="54" t="s">
        <v>149</v>
      </c>
      <c r="R1387" s="54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4" t="s">
        <v>149</v>
      </c>
      <c r="P1388" s="54">
        <f>HEX2DEC(RIGHT(Table132321432[[#This Row],[h1]],8))</f>
        <v>0</v>
      </c>
      <c r="Q1388" s="54" t="s">
        <v>149</v>
      </c>
      <c r="R1388" s="54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4" t="s">
        <v>149</v>
      </c>
      <c r="P1389" s="54">
        <f>HEX2DEC(RIGHT(Table132321432[[#This Row],[h1]],8))</f>
        <v>0</v>
      </c>
      <c r="Q1389" s="54" t="s">
        <v>149</v>
      </c>
      <c r="R1389" s="54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4" t="s">
        <v>149</v>
      </c>
      <c r="P1390" s="54">
        <f>HEX2DEC(RIGHT(Table132321432[[#This Row],[h1]],8))</f>
        <v>0</v>
      </c>
      <c r="Q1390" s="54" t="s">
        <v>149</v>
      </c>
      <c r="R1390" s="54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4" t="s">
        <v>149</v>
      </c>
      <c r="P1391" s="54">
        <f>HEX2DEC(RIGHT(Table132321432[[#This Row],[h1]],8))</f>
        <v>0</v>
      </c>
      <c r="Q1391" s="54" t="s">
        <v>149</v>
      </c>
      <c r="R1391" s="54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4" t="s">
        <v>149</v>
      </c>
      <c r="P1392" s="54">
        <f>HEX2DEC(RIGHT(Table132321432[[#This Row],[h1]],8))</f>
        <v>0</v>
      </c>
      <c r="Q1392" s="54" t="s">
        <v>149</v>
      </c>
      <c r="R1392" s="54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4" t="s">
        <v>149</v>
      </c>
      <c r="P1393" s="54">
        <f>HEX2DEC(RIGHT(Table132321432[[#This Row],[h1]],8))</f>
        <v>0</v>
      </c>
      <c r="Q1393" s="54" t="s">
        <v>149</v>
      </c>
      <c r="R1393" s="54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4" t="s">
        <v>149</v>
      </c>
      <c r="P1394" s="54">
        <f>HEX2DEC(RIGHT(Table132321432[[#This Row],[h1]],8))</f>
        <v>0</v>
      </c>
      <c r="Q1394" s="54" t="s">
        <v>149</v>
      </c>
      <c r="R1394" s="54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4" t="s">
        <v>149</v>
      </c>
      <c r="P1395" s="54">
        <f>HEX2DEC(RIGHT(Table132321432[[#This Row],[h1]],8))</f>
        <v>0</v>
      </c>
      <c r="Q1395" s="54" t="s">
        <v>149</v>
      </c>
      <c r="R1395" s="54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4" t="s">
        <v>149</v>
      </c>
      <c r="P1396" s="54">
        <f>HEX2DEC(RIGHT(Table132321432[[#This Row],[h1]],8))</f>
        <v>0</v>
      </c>
      <c r="Q1396" s="54" t="s">
        <v>149</v>
      </c>
      <c r="R1396" s="54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4" t="s">
        <v>149</v>
      </c>
      <c r="P1397" s="54">
        <f>HEX2DEC(RIGHT(Table132321432[[#This Row],[h1]],8))</f>
        <v>0</v>
      </c>
      <c r="Q1397" s="54" t="s">
        <v>149</v>
      </c>
      <c r="R1397" s="54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4" t="s">
        <v>149</v>
      </c>
      <c r="P1398" s="54">
        <f>HEX2DEC(RIGHT(Table132321432[[#This Row],[h1]],8))</f>
        <v>0</v>
      </c>
      <c r="Q1398" s="54" t="s">
        <v>149</v>
      </c>
      <c r="R1398" s="54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4" t="s">
        <v>149</v>
      </c>
      <c r="P1399" s="54">
        <f>HEX2DEC(RIGHT(Table132321432[[#This Row],[h1]],8))</f>
        <v>0</v>
      </c>
      <c r="Q1399" s="54" t="s">
        <v>149</v>
      </c>
      <c r="R1399" s="54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4" t="s">
        <v>149</v>
      </c>
      <c r="P1400" s="54">
        <f>HEX2DEC(RIGHT(Table132321432[[#This Row],[h1]],8))</f>
        <v>0</v>
      </c>
      <c r="Q1400" s="54" t="s">
        <v>149</v>
      </c>
      <c r="R1400" s="54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4" t="s">
        <v>149</v>
      </c>
      <c r="P1401" s="54">
        <f>HEX2DEC(RIGHT(Table132321432[[#This Row],[h1]],8))</f>
        <v>0</v>
      </c>
      <c r="Q1401" s="54" t="s">
        <v>149</v>
      </c>
      <c r="R1401" s="54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4" t="s">
        <v>149</v>
      </c>
      <c r="P1402" s="54">
        <f>HEX2DEC(RIGHT(Table132321432[[#This Row],[h1]],8))</f>
        <v>0</v>
      </c>
      <c r="Q1402" s="54" t="s">
        <v>149</v>
      </c>
      <c r="R1402" s="54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4" t="s">
        <v>149</v>
      </c>
      <c r="P1403" s="54">
        <f>HEX2DEC(RIGHT(Table132321432[[#This Row],[h1]],8))</f>
        <v>0</v>
      </c>
      <c r="Q1403" s="54" t="s">
        <v>149</v>
      </c>
      <c r="R1403" s="54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4" t="s">
        <v>149</v>
      </c>
      <c r="P1404" s="54">
        <f>HEX2DEC(RIGHT(Table132321432[[#This Row],[h1]],8))</f>
        <v>0</v>
      </c>
      <c r="Q1404" s="54" t="s">
        <v>149</v>
      </c>
      <c r="R1404" s="54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4" t="s">
        <v>149</v>
      </c>
      <c r="P1405" s="54">
        <f>HEX2DEC(RIGHT(Table132321432[[#This Row],[h1]],8))</f>
        <v>0</v>
      </c>
      <c r="Q1405" s="54" t="s">
        <v>149</v>
      </c>
      <c r="R1405" s="54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4" t="s">
        <v>149</v>
      </c>
      <c r="P1406" s="54">
        <f>HEX2DEC(RIGHT(Table132321432[[#This Row],[h1]],8))</f>
        <v>0</v>
      </c>
      <c r="Q1406" s="54" t="s">
        <v>149</v>
      </c>
      <c r="R1406" s="54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4" t="s">
        <v>149</v>
      </c>
      <c r="P1407" s="54">
        <f>HEX2DEC(RIGHT(Table132321432[[#This Row],[h1]],8))</f>
        <v>0</v>
      </c>
      <c r="Q1407" s="54" t="s">
        <v>149</v>
      </c>
      <c r="R1407" s="54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4" t="s">
        <v>149</v>
      </c>
      <c r="P1408" s="54">
        <f>HEX2DEC(RIGHT(Table132321432[[#This Row],[h1]],8))</f>
        <v>0</v>
      </c>
      <c r="Q1408" s="54" t="s">
        <v>149</v>
      </c>
      <c r="R1408" s="54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4" t="s">
        <v>149</v>
      </c>
      <c r="P1409" s="54">
        <f>HEX2DEC(RIGHT(Table132321432[[#This Row],[h1]],8))</f>
        <v>0</v>
      </c>
      <c r="Q1409" s="54" t="s">
        <v>149</v>
      </c>
      <c r="R1409" s="54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4" t="s">
        <v>149</v>
      </c>
      <c r="P1410" s="54">
        <f>HEX2DEC(RIGHT(Table132321432[[#This Row],[h1]],8))</f>
        <v>0</v>
      </c>
      <c r="Q1410" s="54" t="s">
        <v>149</v>
      </c>
      <c r="R1410" s="54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48</v>
      </c>
      <c r="F1411" s="22"/>
      <c r="G1411" s="22"/>
      <c r="J1411" s="24">
        <v>50000</v>
      </c>
      <c r="M1411" s="24">
        <v>50000</v>
      </c>
      <c r="O1411" s="54" t="s">
        <v>149</v>
      </c>
      <c r="P1411" s="54">
        <f>HEX2DEC(RIGHT(Table132321432[[#This Row],[h1]],8))</f>
        <v>0</v>
      </c>
      <c r="Q1411" s="54" t="s">
        <v>149</v>
      </c>
      <c r="R1411" s="54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4" t="s">
        <v>149</v>
      </c>
      <c r="P1412" s="54">
        <f>HEX2DEC(RIGHT(Table132321432[[#This Row],[h1]],8))</f>
        <v>0</v>
      </c>
      <c r="Q1412" s="54" t="s">
        <v>149</v>
      </c>
      <c r="R1412" s="54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4" t="s">
        <v>149</v>
      </c>
      <c r="P1413" s="54">
        <f>HEX2DEC(RIGHT(Table132321432[[#This Row],[h1]],8))</f>
        <v>0</v>
      </c>
      <c r="Q1413" s="54" t="s">
        <v>149</v>
      </c>
      <c r="R1413" s="54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4" t="s">
        <v>149</v>
      </c>
      <c r="P1414" s="54">
        <f>HEX2DEC(RIGHT(Table132321432[[#This Row],[h1]],8))</f>
        <v>0</v>
      </c>
      <c r="Q1414" s="54" t="s">
        <v>149</v>
      </c>
      <c r="R1414" s="54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4" t="s">
        <v>149</v>
      </c>
      <c r="P1415" s="54">
        <f>HEX2DEC(RIGHT(Table132321432[[#This Row],[h1]],8))</f>
        <v>0</v>
      </c>
      <c r="Q1415" s="54" t="s">
        <v>149</v>
      </c>
      <c r="R1415" s="54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4" t="s">
        <v>149</v>
      </c>
      <c r="P1416" s="54">
        <f>HEX2DEC(RIGHT(Table132321432[[#This Row],[h1]],8))</f>
        <v>0</v>
      </c>
      <c r="Q1416" s="54" t="s">
        <v>149</v>
      </c>
      <c r="R1416" s="54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4" t="s">
        <v>149</v>
      </c>
      <c r="P1417" s="54">
        <f>HEX2DEC(RIGHT(Table132321432[[#This Row],[h1]],8))</f>
        <v>0</v>
      </c>
      <c r="Q1417" s="54" t="s">
        <v>149</v>
      </c>
      <c r="R1417" s="54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4" t="s">
        <v>149</v>
      </c>
      <c r="P1418" s="54">
        <f>HEX2DEC(RIGHT(Table132321432[[#This Row],[h1]],8))</f>
        <v>0</v>
      </c>
      <c r="Q1418" s="54" t="s">
        <v>149</v>
      </c>
      <c r="R1418" s="54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4" t="s">
        <v>149</v>
      </c>
      <c r="P1419" s="54">
        <f>HEX2DEC(RIGHT(Table132321432[[#This Row],[h1]],8))</f>
        <v>0</v>
      </c>
      <c r="Q1419" s="54" t="s">
        <v>149</v>
      </c>
      <c r="R1419" s="54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4" t="s">
        <v>149</v>
      </c>
      <c r="P1420" s="54">
        <f>HEX2DEC(RIGHT(Table132321432[[#This Row],[h1]],8))</f>
        <v>0</v>
      </c>
      <c r="Q1420" s="54" t="s">
        <v>149</v>
      </c>
      <c r="R1420" s="54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4" t="s">
        <v>149</v>
      </c>
      <c r="P1421" s="54">
        <f>HEX2DEC(RIGHT(Table132321432[[#This Row],[h1]],8))</f>
        <v>0</v>
      </c>
      <c r="Q1421" s="54" t="s">
        <v>149</v>
      </c>
      <c r="R1421" s="54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4" t="s">
        <v>149</v>
      </c>
      <c r="P1422" s="54">
        <f>HEX2DEC(RIGHT(Table132321432[[#This Row],[h1]],8))</f>
        <v>0</v>
      </c>
      <c r="Q1422" s="54" t="s">
        <v>149</v>
      </c>
      <c r="R1422" s="54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4" t="s">
        <v>149</v>
      </c>
      <c r="P1423" s="54">
        <f>HEX2DEC(RIGHT(Table132321432[[#This Row],[h1]],8))</f>
        <v>0</v>
      </c>
      <c r="Q1423" s="54" t="s">
        <v>149</v>
      </c>
      <c r="R1423" s="54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4" t="s">
        <v>149</v>
      </c>
      <c r="P1424" s="54">
        <f>HEX2DEC(RIGHT(Table132321432[[#This Row],[h1]],8))</f>
        <v>0</v>
      </c>
      <c r="Q1424" s="54" t="s">
        <v>149</v>
      </c>
      <c r="R1424" s="54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4" t="s">
        <v>149</v>
      </c>
      <c r="P1425" s="54">
        <f>HEX2DEC(RIGHT(Table132321432[[#This Row],[h1]],8))</f>
        <v>0</v>
      </c>
      <c r="Q1425" s="54" t="s">
        <v>149</v>
      </c>
      <c r="R1425" s="54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4" t="s">
        <v>149</v>
      </c>
      <c r="P1426" s="54">
        <f>HEX2DEC(RIGHT(Table132321432[[#This Row],[h1]],8))</f>
        <v>0</v>
      </c>
      <c r="Q1426" s="54" t="s">
        <v>149</v>
      </c>
      <c r="R1426" s="54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4" t="s">
        <v>149</v>
      </c>
      <c r="P1427" s="54">
        <f>HEX2DEC(RIGHT(Table132321432[[#This Row],[h1]],8))</f>
        <v>0</v>
      </c>
      <c r="Q1427" s="54" t="s">
        <v>149</v>
      </c>
      <c r="R1427" s="54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4" t="s">
        <v>149</v>
      </c>
      <c r="P1428" s="54">
        <f>HEX2DEC(RIGHT(Table132321432[[#This Row],[h1]],8))</f>
        <v>0</v>
      </c>
      <c r="Q1428" s="54" t="s">
        <v>149</v>
      </c>
      <c r="R1428" s="54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4" t="s">
        <v>149</v>
      </c>
      <c r="P1429" s="54">
        <f>HEX2DEC(RIGHT(Table132321432[[#This Row],[h1]],8))</f>
        <v>0</v>
      </c>
      <c r="Q1429" s="54" t="s">
        <v>149</v>
      </c>
      <c r="R1429" s="54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4" t="s">
        <v>149</v>
      </c>
      <c r="P1430" s="54">
        <f>HEX2DEC(RIGHT(Table132321432[[#This Row],[h1]],8))</f>
        <v>0</v>
      </c>
      <c r="Q1430" s="54" t="s">
        <v>149</v>
      </c>
      <c r="R1430" s="54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4" t="s">
        <v>149</v>
      </c>
      <c r="P1431" s="54">
        <f>HEX2DEC(RIGHT(Table132321432[[#This Row],[h1]],8))</f>
        <v>0</v>
      </c>
      <c r="Q1431" s="54" t="s">
        <v>149</v>
      </c>
      <c r="R1431" s="54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4" t="s">
        <v>149</v>
      </c>
      <c r="P1432" s="54">
        <f>HEX2DEC(RIGHT(Table132321432[[#This Row],[h1]],8))</f>
        <v>0</v>
      </c>
      <c r="Q1432" s="54" t="s">
        <v>149</v>
      </c>
      <c r="R1432" s="54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4" t="s">
        <v>149</v>
      </c>
      <c r="P1433" s="54">
        <f>HEX2DEC(RIGHT(Table132321432[[#This Row],[h1]],8))</f>
        <v>0</v>
      </c>
      <c r="Q1433" s="54" t="s">
        <v>149</v>
      </c>
      <c r="R1433" s="54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4" t="s">
        <v>149</v>
      </c>
      <c r="P1434" s="54">
        <f>HEX2DEC(RIGHT(Table132321432[[#This Row],[h1]],8))</f>
        <v>0</v>
      </c>
      <c r="Q1434" s="54" t="s">
        <v>149</v>
      </c>
      <c r="R1434" s="54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4" t="s">
        <v>149</v>
      </c>
      <c r="P1435" s="54">
        <f>HEX2DEC(RIGHT(Table132321432[[#This Row],[h1]],8))</f>
        <v>0</v>
      </c>
      <c r="Q1435" s="54" t="s">
        <v>149</v>
      </c>
      <c r="R1435" s="54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4" t="s">
        <v>149</v>
      </c>
      <c r="P1436" s="54">
        <f>HEX2DEC(RIGHT(Table132321432[[#This Row],[h1]],8))</f>
        <v>0</v>
      </c>
      <c r="Q1436" s="54" t="s">
        <v>149</v>
      </c>
      <c r="R1436" s="54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4" t="s">
        <v>149</v>
      </c>
      <c r="P1437" s="54">
        <f>HEX2DEC(RIGHT(Table132321432[[#This Row],[h1]],8))</f>
        <v>0</v>
      </c>
      <c r="Q1437" s="54" t="s">
        <v>149</v>
      </c>
      <c r="R1437" s="54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4" t="s">
        <v>149</v>
      </c>
      <c r="P1438" s="54">
        <f>HEX2DEC(RIGHT(Table132321432[[#This Row],[h1]],8))</f>
        <v>0</v>
      </c>
      <c r="Q1438" s="54" t="s">
        <v>149</v>
      </c>
      <c r="R1438" s="54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4" t="s">
        <v>149</v>
      </c>
      <c r="P1439" s="54">
        <f>HEX2DEC(RIGHT(Table132321432[[#This Row],[h1]],8))</f>
        <v>0</v>
      </c>
      <c r="Q1439" s="54" t="s">
        <v>149</v>
      </c>
      <c r="R1439" s="54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4" t="s">
        <v>149</v>
      </c>
      <c r="P1440" s="54">
        <f>HEX2DEC(RIGHT(Table132321432[[#This Row],[h1]],8))</f>
        <v>0</v>
      </c>
      <c r="Q1440" s="54" t="s">
        <v>149</v>
      </c>
      <c r="R1440" s="54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4" t="s">
        <v>149</v>
      </c>
      <c r="P1441" s="54">
        <f>HEX2DEC(RIGHT(Table132321432[[#This Row],[h1]],8))</f>
        <v>0</v>
      </c>
      <c r="Q1441" s="54" t="s">
        <v>149</v>
      </c>
      <c r="R1441" s="54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4" t="s">
        <v>149</v>
      </c>
      <c r="P1442" s="54">
        <f>HEX2DEC(RIGHT(Table132321432[[#This Row],[h1]],8))</f>
        <v>0</v>
      </c>
      <c r="Q1442" s="54" t="s">
        <v>149</v>
      </c>
      <c r="R1442" s="54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4" t="s">
        <v>149</v>
      </c>
      <c r="P1443" s="54">
        <f>HEX2DEC(RIGHT(Table132321432[[#This Row],[h1]],8))</f>
        <v>0</v>
      </c>
      <c r="Q1443" s="54" t="s">
        <v>149</v>
      </c>
      <c r="R1443" s="54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4" t="s">
        <v>149</v>
      </c>
      <c r="P1444" s="54">
        <f>HEX2DEC(RIGHT(Table132321432[[#This Row],[h1]],8))</f>
        <v>0</v>
      </c>
      <c r="Q1444" s="54" t="s">
        <v>149</v>
      </c>
      <c r="R1444" s="54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4" t="s">
        <v>149</v>
      </c>
      <c r="P1445" s="54">
        <f>HEX2DEC(RIGHT(Table132321432[[#This Row],[h1]],8))</f>
        <v>0</v>
      </c>
      <c r="Q1445" s="54" t="s">
        <v>149</v>
      </c>
      <c r="R1445" s="54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4" t="s">
        <v>149</v>
      </c>
      <c r="P1446" s="54">
        <f>HEX2DEC(RIGHT(Table132321432[[#This Row],[h1]],8))</f>
        <v>0</v>
      </c>
      <c r="Q1446" s="54" t="s">
        <v>149</v>
      </c>
      <c r="R1446" s="54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4" t="s">
        <v>149</v>
      </c>
      <c r="P1447" s="54">
        <f>HEX2DEC(RIGHT(Table132321432[[#This Row],[h1]],8))</f>
        <v>0</v>
      </c>
      <c r="Q1447" s="54" t="s">
        <v>149</v>
      </c>
      <c r="R1447" s="54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4" t="s">
        <v>149</v>
      </c>
      <c r="P1448" s="54">
        <f>HEX2DEC(RIGHT(Table132321432[[#This Row],[h1]],8))</f>
        <v>0</v>
      </c>
      <c r="Q1448" s="54" t="s">
        <v>149</v>
      </c>
      <c r="R1448" s="54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4" t="s">
        <v>149</v>
      </c>
      <c r="P1449" s="54">
        <f>HEX2DEC(RIGHT(Table132321432[[#This Row],[h1]],8))</f>
        <v>0</v>
      </c>
      <c r="Q1449" s="54" t="s">
        <v>149</v>
      </c>
      <c r="R1449" s="54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4" t="s">
        <v>149</v>
      </c>
      <c r="P1450" s="54">
        <f>HEX2DEC(RIGHT(Table132321432[[#This Row],[h1]],8))</f>
        <v>0</v>
      </c>
      <c r="Q1450" s="54" t="s">
        <v>149</v>
      </c>
      <c r="R1450" s="54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4" t="s">
        <v>149</v>
      </c>
      <c r="P1451" s="54">
        <f>HEX2DEC(RIGHT(Table132321432[[#This Row],[h1]],8))</f>
        <v>0</v>
      </c>
      <c r="Q1451" s="54" t="s">
        <v>149</v>
      </c>
      <c r="R1451" s="54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4" t="s">
        <v>149</v>
      </c>
      <c r="P1452" s="54">
        <f>HEX2DEC(RIGHT(Table132321432[[#This Row],[h1]],8))</f>
        <v>0</v>
      </c>
      <c r="Q1452" s="54" t="s">
        <v>149</v>
      </c>
      <c r="R1452" s="54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4" t="s">
        <v>149</v>
      </c>
      <c r="P1453" s="54">
        <f>HEX2DEC(RIGHT(Table132321432[[#This Row],[h1]],8))</f>
        <v>0</v>
      </c>
      <c r="Q1453" s="54" t="s">
        <v>149</v>
      </c>
      <c r="R1453" s="54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4" t="s">
        <v>149</v>
      </c>
      <c r="P1454" s="54">
        <f>HEX2DEC(RIGHT(Table132321432[[#This Row],[h1]],8))</f>
        <v>0</v>
      </c>
      <c r="Q1454" s="54" t="s">
        <v>149</v>
      </c>
      <c r="R1454" s="54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4" t="s">
        <v>149</v>
      </c>
      <c r="P1455" s="54">
        <f>HEX2DEC(RIGHT(Table132321432[[#This Row],[h1]],8))</f>
        <v>0</v>
      </c>
      <c r="Q1455" s="54" t="s">
        <v>149</v>
      </c>
      <c r="R1455" s="54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4" t="s">
        <v>149</v>
      </c>
      <c r="P1456" s="54">
        <f>HEX2DEC(RIGHT(Table132321432[[#This Row],[h1]],8))</f>
        <v>0</v>
      </c>
      <c r="Q1456" s="54" t="s">
        <v>149</v>
      </c>
      <c r="R1456" s="54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4" t="s">
        <v>149</v>
      </c>
      <c r="P1457" s="54">
        <f>HEX2DEC(RIGHT(Table132321432[[#This Row],[h1]],8))</f>
        <v>0</v>
      </c>
      <c r="Q1457" s="54" t="s">
        <v>149</v>
      </c>
      <c r="R1457" s="54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4" t="s">
        <v>149</v>
      </c>
      <c r="P1458" s="54">
        <f>HEX2DEC(RIGHT(Table132321432[[#This Row],[h1]],8))</f>
        <v>0</v>
      </c>
      <c r="Q1458" s="54" t="s">
        <v>149</v>
      </c>
      <c r="R1458" s="54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4" t="s">
        <v>149</v>
      </c>
      <c r="P1459" s="54">
        <f>HEX2DEC(RIGHT(Table132321432[[#This Row],[h1]],8))</f>
        <v>0</v>
      </c>
      <c r="Q1459" s="54" t="s">
        <v>149</v>
      </c>
      <c r="R1459" s="54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4" t="s">
        <v>149</v>
      </c>
      <c r="P1460" s="54">
        <f>HEX2DEC(RIGHT(Table132321432[[#This Row],[h1]],8))</f>
        <v>0</v>
      </c>
      <c r="Q1460" s="54" t="s">
        <v>149</v>
      </c>
      <c r="R1460" s="54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4" t="s">
        <v>149</v>
      </c>
      <c r="P1461" s="54">
        <f>HEX2DEC(RIGHT(Table132321432[[#This Row],[h1]],8))</f>
        <v>0</v>
      </c>
      <c r="Q1461" s="54" t="s">
        <v>149</v>
      </c>
      <c r="R1461" s="54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4" t="s">
        <v>149</v>
      </c>
      <c r="P1462" s="54">
        <f>HEX2DEC(RIGHT(Table132321432[[#This Row],[h1]],8))</f>
        <v>0</v>
      </c>
      <c r="Q1462" s="54" t="s">
        <v>149</v>
      </c>
      <c r="R1462" s="54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4" t="s">
        <v>149</v>
      </c>
      <c r="P1463" s="54">
        <f>HEX2DEC(RIGHT(Table132321432[[#This Row],[h1]],8))</f>
        <v>0</v>
      </c>
      <c r="Q1463" s="54" t="s">
        <v>149</v>
      </c>
      <c r="R1463" s="54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4" t="s">
        <v>149</v>
      </c>
      <c r="P1464" s="54">
        <f>HEX2DEC(RIGHT(Table132321432[[#This Row],[h1]],8))</f>
        <v>0</v>
      </c>
      <c r="Q1464" s="54" t="s">
        <v>149</v>
      </c>
      <c r="R1464" s="54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4" t="s">
        <v>149</v>
      </c>
      <c r="P1465" s="54">
        <f>HEX2DEC(RIGHT(Table132321432[[#This Row],[h1]],8))</f>
        <v>0</v>
      </c>
      <c r="Q1465" s="54" t="s">
        <v>149</v>
      </c>
      <c r="R1465" s="54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4" t="s">
        <v>149</v>
      </c>
      <c r="P1466" s="54">
        <f>HEX2DEC(RIGHT(Table132321432[[#This Row],[h1]],8))</f>
        <v>0</v>
      </c>
      <c r="Q1466" s="54" t="s">
        <v>149</v>
      </c>
      <c r="R1466" s="54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4" t="s">
        <v>149</v>
      </c>
      <c r="P1467" s="54">
        <f>HEX2DEC(RIGHT(Table132321432[[#This Row],[h1]],8))</f>
        <v>0</v>
      </c>
      <c r="Q1467" s="54" t="s">
        <v>149</v>
      </c>
      <c r="R1467" s="54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4" t="s">
        <v>149</v>
      </c>
      <c r="P1468" s="54">
        <f>HEX2DEC(RIGHT(Table132321432[[#This Row],[h1]],8))</f>
        <v>0</v>
      </c>
      <c r="Q1468" s="54" t="s">
        <v>149</v>
      </c>
      <c r="R1468" s="54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4" t="s">
        <v>149</v>
      </c>
      <c r="P1469" s="54">
        <f>HEX2DEC(RIGHT(Table132321432[[#This Row],[h1]],8))</f>
        <v>0</v>
      </c>
      <c r="Q1469" s="54" t="s">
        <v>149</v>
      </c>
      <c r="R1469" s="54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4" t="s">
        <v>149</v>
      </c>
      <c r="P1470" s="54">
        <f>HEX2DEC(RIGHT(Table132321432[[#This Row],[h1]],8))</f>
        <v>0</v>
      </c>
      <c r="Q1470" s="54" t="s">
        <v>149</v>
      </c>
      <c r="R1470" s="54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4" t="s">
        <v>149</v>
      </c>
      <c r="P1471" s="54">
        <f>HEX2DEC(RIGHT(Table132321432[[#This Row],[h1]],8))</f>
        <v>0</v>
      </c>
      <c r="Q1471" s="54" t="s">
        <v>149</v>
      </c>
      <c r="R1471" s="54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4" t="s">
        <v>149</v>
      </c>
      <c r="P1472" s="54">
        <f>HEX2DEC(RIGHT(Table132321432[[#This Row],[h1]],8))</f>
        <v>0</v>
      </c>
      <c r="Q1472" s="54" t="s">
        <v>149</v>
      </c>
      <c r="R1472" s="54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4" t="s">
        <v>149</v>
      </c>
      <c r="P1473" s="54">
        <f>HEX2DEC(RIGHT(Table132321432[[#This Row],[h1]],8))</f>
        <v>0</v>
      </c>
      <c r="Q1473" s="54" t="s">
        <v>149</v>
      </c>
      <c r="R1473" s="54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4" t="s">
        <v>149</v>
      </c>
      <c r="P1474" s="54">
        <f>HEX2DEC(RIGHT(Table132321432[[#This Row],[h1]],8))</f>
        <v>0</v>
      </c>
      <c r="Q1474" s="54" t="s">
        <v>149</v>
      </c>
      <c r="R1474" s="54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4" t="s">
        <v>149</v>
      </c>
      <c r="P1475" s="54">
        <f>HEX2DEC(RIGHT(Table132321432[[#This Row],[h1]],8))</f>
        <v>0</v>
      </c>
      <c r="Q1475" s="54" t="s">
        <v>149</v>
      </c>
      <c r="R1475" s="54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4" t="s">
        <v>149</v>
      </c>
      <c r="P1476" s="54">
        <f>HEX2DEC(RIGHT(Table132321432[[#This Row],[h1]],8))</f>
        <v>0</v>
      </c>
      <c r="Q1476" s="54" t="s">
        <v>149</v>
      </c>
      <c r="R1476" s="54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4" t="s">
        <v>149</v>
      </c>
      <c r="P1477" s="54">
        <f>HEX2DEC(RIGHT(Table132321432[[#This Row],[h1]],8))</f>
        <v>0</v>
      </c>
      <c r="Q1477" s="54" t="s">
        <v>149</v>
      </c>
      <c r="R1477" s="54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4" t="s">
        <v>149</v>
      </c>
      <c r="P1478" s="54">
        <f>HEX2DEC(RIGHT(Table132321432[[#This Row],[h1]],8))</f>
        <v>0</v>
      </c>
      <c r="Q1478" s="54" t="s">
        <v>149</v>
      </c>
      <c r="R1478" s="54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4" t="s">
        <v>149</v>
      </c>
      <c r="P1479" s="54">
        <f>HEX2DEC(RIGHT(Table132321432[[#This Row],[h1]],8))</f>
        <v>0</v>
      </c>
      <c r="Q1479" s="54" t="s">
        <v>149</v>
      </c>
      <c r="R1479" s="54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4" t="s">
        <v>149</v>
      </c>
      <c r="P1480" s="54">
        <f>HEX2DEC(RIGHT(Table132321432[[#This Row],[h1]],8))</f>
        <v>0</v>
      </c>
      <c r="Q1480" s="54" t="s">
        <v>149</v>
      </c>
      <c r="R1480" s="54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4" t="s">
        <v>149</v>
      </c>
      <c r="P1481" s="54">
        <f>HEX2DEC(RIGHT(Table132321432[[#This Row],[h1]],8))</f>
        <v>0</v>
      </c>
      <c r="Q1481" s="54" t="s">
        <v>149</v>
      </c>
      <c r="R1481" s="54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4" t="s">
        <v>149</v>
      </c>
      <c r="P1482" s="54">
        <f>HEX2DEC(RIGHT(Table132321432[[#This Row],[h1]],8))</f>
        <v>0</v>
      </c>
      <c r="Q1482" s="54" t="s">
        <v>149</v>
      </c>
      <c r="R1482" s="54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4" t="s">
        <v>149</v>
      </c>
      <c r="P1483" s="54">
        <f>HEX2DEC(RIGHT(Table132321432[[#This Row],[h1]],8))</f>
        <v>0</v>
      </c>
      <c r="Q1483" s="54" t="s">
        <v>149</v>
      </c>
      <c r="R1483" s="54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4" t="s">
        <v>149</v>
      </c>
      <c r="P1484" s="54">
        <f>HEX2DEC(RIGHT(Table132321432[[#This Row],[h1]],8))</f>
        <v>0</v>
      </c>
      <c r="Q1484" s="54" t="s">
        <v>149</v>
      </c>
      <c r="R1484" s="54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4" t="s">
        <v>149</v>
      </c>
      <c r="P1485" s="54">
        <f>HEX2DEC(RIGHT(Table132321432[[#This Row],[h1]],8))</f>
        <v>0</v>
      </c>
      <c r="Q1485" s="54" t="s">
        <v>149</v>
      </c>
      <c r="R1485" s="54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4" t="s">
        <v>149</v>
      </c>
      <c r="P1486" s="54">
        <f>HEX2DEC(RIGHT(Table132321432[[#This Row],[h1]],8))</f>
        <v>0</v>
      </c>
      <c r="Q1486" s="54" t="s">
        <v>149</v>
      </c>
      <c r="R1486" s="54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4" t="s">
        <v>149</v>
      </c>
      <c r="P1487" s="54">
        <f>HEX2DEC(RIGHT(Table132321432[[#This Row],[h1]],8))</f>
        <v>0</v>
      </c>
      <c r="Q1487" s="54" t="s">
        <v>149</v>
      </c>
      <c r="R1487" s="54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4" t="s">
        <v>149</v>
      </c>
      <c r="P1488" s="54">
        <f>HEX2DEC(RIGHT(Table132321432[[#This Row],[h1]],8))</f>
        <v>0</v>
      </c>
      <c r="Q1488" s="54" t="s">
        <v>149</v>
      </c>
      <c r="R1488" s="54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4" t="s">
        <v>149</v>
      </c>
      <c r="P1489" s="54">
        <f>HEX2DEC(RIGHT(Table132321432[[#This Row],[h1]],8))</f>
        <v>0</v>
      </c>
      <c r="Q1489" s="54" t="s">
        <v>149</v>
      </c>
      <c r="R1489" s="54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4" t="s">
        <v>149</v>
      </c>
      <c r="P1490" s="54">
        <f>HEX2DEC(RIGHT(Table132321432[[#This Row],[h1]],8))</f>
        <v>0</v>
      </c>
      <c r="Q1490" s="54" t="s">
        <v>149</v>
      </c>
      <c r="R1490" s="54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4" t="s">
        <v>149</v>
      </c>
      <c r="P1491" s="54">
        <f>HEX2DEC(RIGHT(Table132321432[[#This Row],[h1]],8))</f>
        <v>0</v>
      </c>
      <c r="Q1491" s="54" t="s">
        <v>149</v>
      </c>
      <c r="R1491" s="54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4" t="s">
        <v>149</v>
      </c>
      <c r="P1492" s="54">
        <f>HEX2DEC(RIGHT(Table132321432[[#This Row],[h1]],8))</f>
        <v>0</v>
      </c>
      <c r="Q1492" s="54" t="s">
        <v>149</v>
      </c>
      <c r="R1492" s="54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4" t="s">
        <v>149</v>
      </c>
      <c r="P1493" s="54">
        <f>HEX2DEC(RIGHT(Table132321432[[#This Row],[h1]],8))</f>
        <v>0</v>
      </c>
      <c r="Q1493" s="54" t="s">
        <v>149</v>
      </c>
      <c r="R1493" s="54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4" t="s">
        <v>149</v>
      </c>
      <c r="P1494" s="54">
        <f>HEX2DEC(RIGHT(Table132321432[[#This Row],[h1]],8))</f>
        <v>0</v>
      </c>
      <c r="Q1494" s="54" t="s">
        <v>149</v>
      </c>
      <c r="R1494" s="54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4" t="s">
        <v>149</v>
      </c>
      <c r="P1495" s="54">
        <f>HEX2DEC(RIGHT(Table132321432[[#This Row],[h1]],8))</f>
        <v>0</v>
      </c>
      <c r="Q1495" s="54" t="s">
        <v>149</v>
      </c>
      <c r="R1495" s="54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4" t="s">
        <v>149</v>
      </c>
      <c r="P1496" s="54">
        <f>HEX2DEC(RIGHT(Table132321432[[#This Row],[h1]],8))</f>
        <v>0</v>
      </c>
      <c r="Q1496" s="54" t="s">
        <v>149</v>
      </c>
      <c r="R1496" s="54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4" t="s">
        <v>149</v>
      </c>
      <c r="P1497" s="54">
        <f>HEX2DEC(RIGHT(Table132321432[[#This Row],[h1]],8))</f>
        <v>0</v>
      </c>
      <c r="Q1497" s="54" t="s">
        <v>149</v>
      </c>
      <c r="R1497" s="54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4" t="s">
        <v>149</v>
      </c>
      <c r="P1498" s="54">
        <f>HEX2DEC(RIGHT(Table132321432[[#This Row],[h1]],8))</f>
        <v>0</v>
      </c>
      <c r="Q1498" s="54" t="s">
        <v>149</v>
      </c>
      <c r="R1498" s="54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4" t="s">
        <v>149</v>
      </c>
      <c r="P1499" s="54">
        <f>HEX2DEC(RIGHT(Table132321432[[#This Row],[h1]],8))</f>
        <v>0</v>
      </c>
      <c r="Q1499" s="54" t="s">
        <v>149</v>
      </c>
      <c r="R1499" s="54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4" t="s">
        <v>149</v>
      </c>
      <c r="P1500" s="54">
        <f>HEX2DEC(RIGHT(Table132321432[[#This Row],[h1]],8))</f>
        <v>0</v>
      </c>
      <c r="Q1500" s="54" t="s">
        <v>149</v>
      </c>
      <c r="R1500" s="54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4" t="s">
        <v>149</v>
      </c>
      <c r="P1501" s="54">
        <f>HEX2DEC(RIGHT(Table132321432[[#This Row],[h1]],8))</f>
        <v>0</v>
      </c>
      <c r="Q1501" s="54" t="s">
        <v>149</v>
      </c>
      <c r="R1501" s="54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4" t="s">
        <v>149</v>
      </c>
      <c r="P1502" s="54">
        <f>HEX2DEC(RIGHT(Table132321432[[#This Row],[h1]],8))</f>
        <v>0</v>
      </c>
      <c r="Q1502" s="54" t="s">
        <v>149</v>
      </c>
      <c r="R1502" s="54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4" t="s">
        <v>149</v>
      </c>
      <c r="P1503" s="54">
        <f>HEX2DEC(RIGHT(Table132321432[[#This Row],[h1]],8))</f>
        <v>0</v>
      </c>
      <c r="Q1503" s="54" t="s">
        <v>149</v>
      </c>
      <c r="R1503" s="54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4" t="s">
        <v>149</v>
      </c>
      <c r="P1504" s="54">
        <f>HEX2DEC(RIGHT(Table132321432[[#This Row],[h1]],8))</f>
        <v>0</v>
      </c>
      <c r="Q1504" s="54" t="s">
        <v>149</v>
      </c>
      <c r="R1504" s="54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4" t="s">
        <v>149</v>
      </c>
      <c r="P1505" s="54">
        <f>HEX2DEC(RIGHT(Table132321432[[#This Row],[h1]],8))</f>
        <v>0</v>
      </c>
      <c r="Q1505" s="54" t="s">
        <v>149</v>
      </c>
      <c r="R1505" s="54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4" t="s">
        <v>149</v>
      </c>
      <c r="P1506" s="54">
        <f>HEX2DEC(RIGHT(Table132321432[[#This Row],[h1]],8))</f>
        <v>0</v>
      </c>
      <c r="Q1506" s="54" t="s">
        <v>149</v>
      </c>
      <c r="R1506" s="54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4" t="s">
        <v>149</v>
      </c>
      <c r="P1507" s="54">
        <f>HEX2DEC(RIGHT(Table132321432[[#This Row],[h1]],8))</f>
        <v>0</v>
      </c>
      <c r="Q1507" s="54" t="s">
        <v>149</v>
      </c>
      <c r="R1507" s="54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4" t="s">
        <v>149</v>
      </c>
      <c r="P1508" s="54">
        <f>HEX2DEC(RIGHT(Table132321432[[#This Row],[h1]],8))</f>
        <v>0</v>
      </c>
      <c r="Q1508" s="54" t="s">
        <v>149</v>
      </c>
      <c r="R1508" s="54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4" t="s">
        <v>149</v>
      </c>
      <c r="P1509" s="54">
        <f>HEX2DEC(RIGHT(Table132321432[[#This Row],[h1]],8))</f>
        <v>0</v>
      </c>
      <c r="Q1509" s="54" t="s">
        <v>149</v>
      </c>
      <c r="R1509" s="54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4" t="s">
        <v>149</v>
      </c>
      <c r="P1510" s="54">
        <f>HEX2DEC(RIGHT(Table132321432[[#This Row],[h1]],8))</f>
        <v>0</v>
      </c>
      <c r="Q1510" s="54" t="s">
        <v>149</v>
      </c>
      <c r="R1510" s="54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4" t="s">
        <v>149</v>
      </c>
      <c r="P1511" s="54">
        <f>HEX2DEC(RIGHT(Table132321432[[#This Row],[h1]],8))</f>
        <v>0</v>
      </c>
      <c r="Q1511" s="54" t="s">
        <v>149</v>
      </c>
      <c r="R1511" s="54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4" t="s">
        <v>149</v>
      </c>
      <c r="P1512" s="54">
        <f>HEX2DEC(RIGHT(Table132321432[[#This Row],[h1]],8))</f>
        <v>0</v>
      </c>
      <c r="Q1512" s="54" t="s">
        <v>149</v>
      </c>
      <c r="R1512" s="54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4" t="s">
        <v>149</v>
      </c>
      <c r="P1513" s="54">
        <f>HEX2DEC(RIGHT(Table132321432[[#This Row],[h1]],8))</f>
        <v>0</v>
      </c>
      <c r="Q1513" s="54" t="s">
        <v>149</v>
      </c>
      <c r="R1513" s="54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4" t="s">
        <v>149</v>
      </c>
      <c r="P1514" s="54">
        <f>HEX2DEC(RIGHT(Table132321432[[#This Row],[h1]],8))</f>
        <v>0</v>
      </c>
      <c r="Q1514" s="54" t="s">
        <v>149</v>
      </c>
      <c r="R1514" s="54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4" t="s">
        <v>149</v>
      </c>
      <c r="P1515" s="54">
        <f>HEX2DEC(RIGHT(Table132321432[[#This Row],[h1]],8))</f>
        <v>0</v>
      </c>
      <c r="Q1515" s="54" t="s">
        <v>149</v>
      </c>
      <c r="R1515" s="54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4" t="s">
        <v>149</v>
      </c>
      <c r="P1516" s="54">
        <f>HEX2DEC(RIGHT(Table132321432[[#This Row],[h1]],8))</f>
        <v>0</v>
      </c>
      <c r="Q1516" s="54" t="s">
        <v>149</v>
      </c>
      <c r="R1516" s="54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4" t="s">
        <v>149</v>
      </c>
      <c r="P1517" s="54">
        <f>HEX2DEC(RIGHT(Table132321432[[#This Row],[h1]],8))</f>
        <v>0</v>
      </c>
      <c r="Q1517" s="54" t="s">
        <v>149</v>
      </c>
      <c r="R1517" s="54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4" t="s">
        <v>149</v>
      </c>
      <c r="P1518" s="54">
        <f>HEX2DEC(RIGHT(Table132321432[[#This Row],[h1]],8))</f>
        <v>0</v>
      </c>
      <c r="Q1518" s="54" t="s">
        <v>149</v>
      </c>
      <c r="R1518" s="54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4" t="s">
        <v>149</v>
      </c>
      <c r="P1519" s="54">
        <f>HEX2DEC(RIGHT(Table132321432[[#This Row],[h1]],8))</f>
        <v>0</v>
      </c>
      <c r="Q1519" s="54" t="s">
        <v>149</v>
      </c>
      <c r="R1519" s="54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4" t="s">
        <v>149</v>
      </c>
      <c r="P1520" s="54">
        <f>HEX2DEC(RIGHT(Table132321432[[#This Row],[h1]],8))</f>
        <v>0</v>
      </c>
      <c r="Q1520" s="54" t="s">
        <v>149</v>
      </c>
      <c r="R1520" s="54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4" t="s">
        <v>149</v>
      </c>
      <c r="P1521" s="54">
        <f>HEX2DEC(RIGHT(Table132321432[[#This Row],[h1]],8))</f>
        <v>0</v>
      </c>
      <c r="Q1521" s="54" t="s">
        <v>149</v>
      </c>
      <c r="R1521" s="54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4" t="s">
        <v>149</v>
      </c>
      <c r="P1522" s="54">
        <f>HEX2DEC(RIGHT(Table132321432[[#This Row],[h1]],8))</f>
        <v>0</v>
      </c>
      <c r="Q1522" s="54" t="s">
        <v>149</v>
      </c>
      <c r="R1522" s="54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4" t="s">
        <v>149</v>
      </c>
      <c r="P1523" s="54">
        <f>HEX2DEC(RIGHT(Table132321432[[#This Row],[h1]],8))</f>
        <v>0</v>
      </c>
      <c r="Q1523" s="54" t="s">
        <v>149</v>
      </c>
      <c r="R1523" s="54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4" t="s">
        <v>149</v>
      </c>
      <c r="P1524" s="54">
        <f>HEX2DEC(RIGHT(Table132321432[[#This Row],[h1]],8))</f>
        <v>0</v>
      </c>
      <c r="Q1524" s="54" t="s">
        <v>149</v>
      </c>
      <c r="R1524" s="54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4" t="s">
        <v>149</v>
      </c>
      <c r="P1525" s="54">
        <f>HEX2DEC(RIGHT(Table132321432[[#This Row],[h1]],8))</f>
        <v>0</v>
      </c>
      <c r="Q1525" s="54" t="s">
        <v>149</v>
      </c>
      <c r="R1525" s="54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4" t="s">
        <v>149</v>
      </c>
      <c r="P1526" s="54">
        <f>HEX2DEC(RIGHT(Table132321432[[#This Row],[h1]],8))</f>
        <v>0</v>
      </c>
      <c r="Q1526" s="54" t="s">
        <v>149</v>
      </c>
      <c r="R1526" s="54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4" t="s">
        <v>149</v>
      </c>
      <c r="P1527" s="54">
        <f>HEX2DEC(RIGHT(Table132321432[[#This Row],[h1]],8))</f>
        <v>0</v>
      </c>
      <c r="Q1527" s="54" t="s">
        <v>149</v>
      </c>
      <c r="R1527" s="54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4" t="s">
        <v>149</v>
      </c>
      <c r="P1528" s="54">
        <f>HEX2DEC(RIGHT(Table132321432[[#This Row],[h1]],8))</f>
        <v>0</v>
      </c>
      <c r="Q1528" s="54" t="s">
        <v>149</v>
      </c>
      <c r="R1528" s="54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4" t="s">
        <v>149</v>
      </c>
      <c r="P1529" s="54">
        <f>HEX2DEC(RIGHT(Table132321432[[#This Row],[h1]],8))</f>
        <v>0</v>
      </c>
      <c r="Q1529" s="54" t="s">
        <v>149</v>
      </c>
      <c r="R1529" s="54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4" t="s">
        <v>149</v>
      </c>
      <c r="P1530" s="54">
        <f>HEX2DEC(RIGHT(Table132321432[[#This Row],[h1]],8))</f>
        <v>0</v>
      </c>
      <c r="Q1530" s="54" t="s">
        <v>149</v>
      </c>
      <c r="R1530" s="54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4" t="s">
        <v>149</v>
      </c>
      <c r="P1531" s="54">
        <f>HEX2DEC(RIGHT(Table132321432[[#This Row],[h1]],8))</f>
        <v>0</v>
      </c>
      <c r="Q1531" s="54" t="s">
        <v>149</v>
      </c>
      <c r="R1531" s="54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4" t="s">
        <v>149</v>
      </c>
      <c r="P1532" s="54">
        <f>HEX2DEC(RIGHT(Table132321432[[#This Row],[h1]],8))</f>
        <v>0</v>
      </c>
      <c r="Q1532" s="54" t="s">
        <v>149</v>
      </c>
      <c r="R1532" s="54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4" t="s">
        <v>149</v>
      </c>
      <c r="P1533" s="54">
        <f>HEX2DEC(RIGHT(Table132321432[[#This Row],[h1]],8))</f>
        <v>0</v>
      </c>
      <c r="Q1533" s="54" t="s">
        <v>149</v>
      </c>
      <c r="R1533" s="54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4" t="s">
        <v>149</v>
      </c>
      <c r="P1534" s="54">
        <f>HEX2DEC(RIGHT(Table132321432[[#This Row],[h1]],8))</f>
        <v>0</v>
      </c>
      <c r="Q1534" s="54" t="s">
        <v>149</v>
      </c>
      <c r="R1534" s="54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4" t="s">
        <v>149</v>
      </c>
      <c r="P1535" s="54">
        <f>HEX2DEC(RIGHT(Table132321432[[#This Row],[h1]],8))</f>
        <v>0</v>
      </c>
      <c r="Q1535" s="54" t="s">
        <v>149</v>
      </c>
      <c r="R1535" s="54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4" t="s">
        <v>149</v>
      </c>
      <c r="P1536" s="54">
        <f>HEX2DEC(RIGHT(Table132321432[[#This Row],[h1]],8))</f>
        <v>0</v>
      </c>
      <c r="Q1536" s="54" t="s">
        <v>149</v>
      </c>
      <c r="R1536" s="54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4" t="s">
        <v>149</v>
      </c>
      <c r="P1537" s="54">
        <f>HEX2DEC(RIGHT(Table132321432[[#This Row],[h1]],8))</f>
        <v>0</v>
      </c>
      <c r="Q1537" s="54" t="s">
        <v>149</v>
      </c>
      <c r="R1537" s="54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4" t="s">
        <v>149</v>
      </c>
      <c r="P1538" s="54">
        <f>HEX2DEC(RIGHT(Table132321432[[#This Row],[h1]],8))</f>
        <v>0</v>
      </c>
      <c r="Q1538" s="54" t="s">
        <v>149</v>
      </c>
      <c r="R1538" s="54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4" t="s">
        <v>149</v>
      </c>
      <c r="P1539" s="54">
        <f>HEX2DEC(RIGHT(Table132321432[[#This Row],[h1]],8))</f>
        <v>0</v>
      </c>
      <c r="Q1539" s="54" t="s">
        <v>149</v>
      </c>
      <c r="R1539" s="54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4" t="s">
        <v>149</v>
      </c>
      <c r="P1540" s="54">
        <f>HEX2DEC(RIGHT(Table132321432[[#This Row],[h1]],8))</f>
        <v>0</v>
      </c>
      <c r="Q1540" s="54" t="s">
        <v>149</v>
      </c>
      <c r="R1540" s="54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4" t="s">
        <v>149</v>
      </c>
      <c r="P1541" s="54">
        <f>HEX2DEC(RIGHT(Table132321432[[#This Row],[h1]],8))</f>
        <v>0</v>
      </c>
      <c r="Q1541" s="54" t="s">
        <v>149</v>
      </c>
      <c r="R1541" s="54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4" t="s">
        <v>149</v>
      </c>
      <c r="P1542" s="54">
        <f>HEX2DEC(RIGHT(Table132321432[[#This Row],[h1]],8))</f>
        <v>0</v>
      </c>
      <c r="Q1542" s="54" t="s">
        <v>149</v>
      </c>
      <c r="R1542" s="54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4" t="s">
        <v>149</v>
      </c>
      <c r="P1543" s="54">
        <f>HEX2DEC(RIGHT(Table132321432[[#This Row],[h1]],8))</f>
        <v>0</v>
      </c>
      <c r="Q1543" s="54" t="s">
        <v>149</v>
      </c>
      <c r="R1543" s="54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4" t="s">
        <v>149</v>
      </c>
      <c r="P1544" s="54">
        <f>HEX2DEC(RIGHT(Table132321432[[#This Row],[h1]],8))</f>
        <v>0</v>
      </c>
      <c r="Q1544" s="54" t="s">
        <v>149</v>
      </c>
      <c r="R1544" s="54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4" t="s">
        <v>149</v>
      </c>
      <c r="P1545" s="54">
        <f>HEX2DEC(RIGHT(Table132321432[[#This Row],[h1]],8))</f>
        <v>0</v>
      </c>
      <c r="Q1545" s="54" t="s">
        <v>149</v>
      </c>
      <c r="R1545" s="54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4" t="s">
        <v>149</v>
      </c>
      <c r="P1546" s="54">
        <f>HEX2DEC(RIGHT(Table132321432[[#This Row],[h1]],8))</f>
        <v>0</v>
      </c>
      <c r="Q1546" s="54" t="s">
        <v>149</v>
      </c>
      <c r="R1546" s="54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4" t="s">
        <v>149</v>
      </c>
      <c r="P1547" s="54">
        <f>HEX2DEC(RIGHT(Table132321432[[#This Row],[h1]],8))</f>
        <v>0</v>
      </c>
      <c r="Q1547" s="54" t="s">
        <v>149</v>
      </c>
      <c r="R1547" s="54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4" t="s">
        <v>149</v>
      </c>
      <c r="P1548" s="54">
        <f>HEX2DEC(RIGHT(Table132321432[[#This Row],[h1]],8))</f>
        <v>0</v>
      </c>
      <c r="Q1548" s="54" t="s">
        <v>149</v>
      </c>
      <c r="R1548" s="54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4" t="s">
        <v>149</v>
      </c>
      <c r="P1549" s="54">
        <f>HEX2DEC(RIGHT(Table132321432[[#This Row],[h1]],8))</f>
        <v>0</v>
      </c>
      <c r="Q1549" s="54" t="s">
        <v>149</v>
      </c>
      <c r="R1549" s="54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4" t="s">
        <v>149</v>
      </c>
      <c r="P1550" s="54">
        <f>HEX2DEC(RIGHT(Table132321432[[#This Row],[h1]],8))</f>
        <v>0</v>
      </c>
      <c r="Q1550" s="54" t="s">
        <v>149</v>
      </c>
      <c r="R1550" s="54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4" t="s">
        <v>149</v>
      </c>
      <c r="P1551" s="54">
        <f>HEX2DEC(RIGHT(Table132321432[[#This Row],[h1]],8))</f>
        <v>0</v>
      </c>
      <c r="Q1551" s="54" t="s">
        <v>149</v>
      </c>
      <c r="R1551" s="54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4" t="s">
        <v>149</v>
      </c>
      <c r="P1552" s="54">
        <f>HEX2DEC(RIGHT(Table132321432[[#This Row],[h1]],8))</f>
        <v>0</v>
      </c>
      <c r="Q1552" s="54" t="s">
        <v>149</v>
      </c>
      <c r="R1552" s="54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4" t="s">
        <v>149</v>
      </c>
      <c r="P1553" s="54">
        <f>HEX2DEC(RIGHT(Table132321432[[#This Row],[h1]],8))</f>
        <v>0</v>
      </c>
      <c r="Q1553" s="54" t="s">
        <v>149</v>
      </c>
      <c r="R1553" s="54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4" t="s">
        <v>149</v>
      </c>
      <c r="P1554" s="54">
        <f>HEX2DEC(RIGHT(Table132321432[[#This Row],[h1]],8))</f>
        <v>0</v>
      </c>
      <c r="Q1554" s="54" t="s">
        <v>149</v>
      </c>
      <c r="R1554" s="54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4" t="s">
        <v>149</v>
      </c>
      <c r="P1555" s="54">
        <f>HEX2DEC(RIGHT(Table132321432[[#This Row],[h1]],8))</f>
        <v>0</v>
      </c>
      <c r="Q1555" s="54" t="s">
        <v>149</v>
      </c>
      <c r="R1555" s="54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4" t="s">
        <v>149</v>
      </c>
      <c r="P1556" s="54">
        <f>HEX2DEC(RIGHT(Table132321432[[#This Row],[h1]],8))</f>
        <v>0</v>
      </c>
      <c r="Q1556" s="54" t="s">
        <v>149</v>
      </c>
      <c r="R1556" s="54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4" t="s">
        <v>149</v>
      </c>
      <c r="P1557" s="54">
        <f>HEX2DEC(RIGHT(Table132321432[[#This Row],[h1]],8))</f>
        <v>0</v>
      </c>
      <c r="Q1557" s="54" t="s">
        <v>149</v>
      </c>
      <c r="R1557" s="54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4" t="s">
        <v>149</v>
      </c>
      <c r="P1558" s="54">
        <f>HEX2DEC(RIGHT(Table132321432[[#This Row],[h1]],8))</f>
        <v>0</v>
      </c>
      <c r="Q1558" s="54" t="s">
        <v>149</v>
      </c>
      <c r="R1558" s="54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4" t="s">
        <v>149</v>
      </c>
      <c r="P1559" s="54">
        <f>HEX2DEC(RIGHT(Table132321432[[#This Row],[h1]],8))</f>
        <v>0</v>
      </c>
      <c r="Q1559" s="54" t="s">
        <v>149</v>
      </c>
      <c r="R1559" s="54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4" t="s">
        <v>149</v>
      </c>
      <c r="P1560" s="54">
        <f>HEX2DEC(RIGHT(Table132321432[[#This Row],[h1]],8))</f>
        <v>0</v>
      </c>
      <c r="Q1560" s="54" t="s">
        <v>149</v>
      </c>
      <c r="R1560" s="54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4" t="s">
        <v>149</v>
      </c>
      <c r="P1561" s="54">
        <f>HEX2DEC(RIGHT(Table132321432[[#This Row],[h1]],8))</f>
        <v>0</v>
      </c>
      <c r="Q1561" s="54" t="s">
        <v>149</v>
      </c>
      <c r="R1561" s="54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4" t="s">
        <v>149</v>
      </c>
      <c r="P1562" s="54">
        <f>HEX2DEC(RIGHT(Table132321432[[#This Row],[h1]],8))</f>
        <v>0</v>
      </c>
      <c r="Q1562" s="54" t="s">
        <v>149</v>
      </c>
      <c r="R1562" s="54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4" t="s">
        <v>149</v>
      </c>
      <c r="P1563" s="54">
        <f>HEX2DEC(RIGHT(Table132321432[[#This Row],[h1]],8))</f>
        <v>0</v>
      </c>
      <c r="Q1563" s="54" t="s">
        <v>149</v>
      </c>
      <c r="R1563" s="54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4" t="s">
        <v>149</v>
      </c>
      <c r="P1564" s="54">
        <f>HEX2DEC(RIGHT(Table132321432[[#This Row],[h1]],8))</f>
        <v>0</v>
      </c>
      <c r="Q1564" s="54" t="s">
        <v>149</v>
      </c>
      <c r="R1564" s="54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4" t="s">
        <v>149</v>
      </c>
      <c r="P1565" s="54">
        <f>HEX2DEC(RIGHT(Table132321432[[#This Row],[h1]],8))</f>
        <v>0</v>
      </c>
      <c r="Q1565" s="54" t="s">
        <v>149</v>
      </c>
      <c r="R1565" s="54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4" t="s">
        <v>149</v>
      </c>
      <c r="P1566" s="54">
        <f>HEX2DEC(RIGHT(Table132321432[[#This Row],[h1]],8))</f>
        <v>0</v>
      </c>
      <c r="Q1566" s="54" t="s">
        <v>149</v>
      </c>
      <c r="R1566" s="54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4" t="s">
        <v>149</v>
      </c>
      <c r="P1567" s="54">
        <f>HEX2DEC(RIGHT(Table132321432[[#This Row],[h1]],8))</f>
        <v>0</v>
      </c>
      <c r="Q1567" s="54" t="s">
        <v>149</v>
      </c>
      <c r="R1567" s="54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4" t="s">
        <v>149</v>
      </c>
      <c r="P1568" s="54">
        <f>HEX2DEC(RIGHT(Table132321432[[#This Row],[h1]],8))</f>
        <v>0</v>
      </c>
      <c r="Q1568" s="54" t="s">
        <v>149</v>
      </c>
      <c r="R1568" s="54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4" t="s">
        <v>149</v>
      </c>
      <c r="P1569" s="54">
        <f>HEX2DEC(RIGHT(Table132321432[[#This Row],[h1]],8))</f>
        <v>0</v>
      </c>
      <c r="Q1569" s="54" t="s">
        <v>149</v>
      </c>
      <c r="R1569" s="54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4" t="s">
        <v>149</v>
      </c>
      <c r="P1570" s="54">
        <f>HEX2DEC(RIGHT(Table132321432[[#This Row],[h1]],8))</f>
        <v>0</v>
      </c>
      <c r="Q1570" s="54" t="s">
        <v>149</v>
      </c>
      <c r="R1570" s="54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4" t="s">
        <v>149</v>
      </c>
      <c r="P1571" s="54">
        <f>HEX2DEC(RIGHT(Table132321432[[#This Row],[h1]],8))</f>
        <v>0</v>
      </c>
      <c r="Q1571" s="54" t="s">
        <v>149</v>
      </c>
      <c r="R1571" s="54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4" t="s">
        <v>149</v>
      </c>
      <c r="P1572" s="54">
        <f>HEX2DEC(RIGHT(Table132321432[[#This Row],[h1]],8))</f>
        <v>0</v>
      </c>
      <c r="Q1572" s="54" t="s">
        <v>149</v>
      </c>
      <c r="R1572" s="54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4" t="s">
        <v>149</v>
      </c>
      <c r="P1573" s="54">
        <f>HEX2DEC(RIGHT(Table132321432[[#This Row],[h1]],8))</f>
        <v>0</v>
      </c>
      <c r="Q1573" s="54" t="s">
        <v>149</v>
      </c>
      <c r="R1573" s="54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4" t="s">
        <v>149</v>
      </c>
      <c r="P1574" s="54">
        <f>HEX2DEC(RIGHT(Table132321432[[#This Row],[h1]],8))</f>
        <v>0</v>
      </c>
      <c r="Q1574" s="54" t="s">
        <v>149</v>
      </c>
      <c r="R1574" s="54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4" t="s">
        <v>149</v>
      </c>
      <c r="P1575" s="54">
        <f>HEX2DEC(RIGHT(Table132321432[[#This Row],[h1]],8))</f>
        <v>0</v>
      </c>
      <c r="Q1575" s="54" t="s">
        <v>149</v>
      </c>
      <c r="R1575" s="54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4" t="s">
        <v>149</v>
      </c>
      <c r="P1576" s="54">
        <f>HEX2DEC(RIGHT(Table132321432[[#This Row],[h1]],8))</f>
        <v>0</v>
      </c>
      <c r="Q1576" s="54" t="s">
        <v>149</v>
      </c>
      <c r="R1576" s="54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4" t="s">
        <v>149</v>
      </c>
      <c r="P1577" s="54">
        <f>HEX2DEC(RIGHT(Table132321432[[#This Row],[h1]],8))</f>
        <v>0</v>
      </c>
      <c r="Q1577" s="54" t="s">
        <v>149</v>
      </c>
      <c r="R1577" s="54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4" t="s">
        <v>149</v>
      </c>
      <c r="P1578" s="54">
        <f>HEX2DEC(RIGHT(Table132321432[[#This Row],[h1]],8))</f>
        <v>0</v>
      </c>
      <c r="Q1578" s="54" t="s">
        <v>149</v>
      </c>
      <c r="R1578" s="54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4" t="s">
        <v>149</v>
      </c>
      <c r="P1579" s="54">
        <f>HEX2DEC(RIGHT(Table132321432[[#This Row],[h1]],8))</f>
        <v>0</v>
      </c>
      <c r="Q1579" s="54" t="s">
        <v>149</v>
      </c>
      <c r="R1579" s="54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4" t="s">
        <v>149</v>
      </c>
      <c r="P1580" s="54">
        <f>HEX2DEC(RIGHT(Table132321432[[#This Row],[h1]],8))</f>
        <v>0</v>
      </c>
      <c r="Q1580" s="54" t="s">
        <v>149</v>
      </c>
      <c r="R1580" s="54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4" t="s">
        <v>149</v>
      </c>
      <c r="P1581" s="54">
        <f>HEX2DEC(RIGHT(Table132321432[[#This Row],[h1]],8))</f>
        <v>0</v>
      </c>
      <c r="Q1581" s="54" t="s">
        <v>149</v>
      </c>
      <c r="R1581" s="54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4" t="s">
        <v>149</v>
      </c>
      <c r="P1582" s="54">
        <f>HEX2DEC(RIGHT(Table132321432[[#This Row],[h1]],8))</f>
        <v>0</v>
      </c>
      <c r="Q1582" s="54" t="s">
        <v>149</v>
      </c>
      <c r="R1582" s="54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4" t="s">
        <v>149</v>
      </c>
      <c r="P1583" s="54">
        <f>HEX2DEC(RIGHT(Table132321432[[#This Row],[h1]],8))</f>
        <v>0</v>
      </c>
      <c r="Q1583" s="54" t="s">
        <v>149</v>
      </c>
      <c r="R1583" s="54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4" t="s">
        <v>149</v>
      </c>
      <c r="P1584" s="54">
        <f>HEX2DEC(RIGHT(Table132321432[[#This Row],[h1]],8))</f>
        <v>0</v>
      </c>
      <c r="Q1584" s="54" t="s">
        <v>149</v>
      </c>
      <c r="R1584" s="54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4" t="s">
        <v>149</v>
      </c>
      <c r="P1585" s="54">
        <f>HEX2DEC(RIGHT(Table132321432[[#This Row],[h1]],8))</f>
        <v>0</v>
      </c>
      <c r="Q1585" s="54" t="s">
        <v>149</v>
      </c>
      <c r="R1585" s="54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4" t="s">
        <v>149</v>
      </c>
      <c r="P1586" s="54">
        <f>HEX2DEC(RIGHT(Table132321432[[#This Row],[h1]],8))</f>
        <v>0</v>
      </c>
      <c r="Q1586" s="54" t="s">
        <v>149</v>
      </c>
      <c r="R1586" s="54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4" t="s">
        <v>149</v>
      </c>
      <c r="P1587" s="54">
        <f>HEX2DEC(RIGHT(Table132321432[[#This Row],[h1]],8))</f>
        <v>0</v>
      </c>
      <c r="Q1587" s="54" t="s">
        <v>149</v>
      </c>
      <c r="R1587" s="54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4" t="s">
        <v>149</v>
      </c>
      <c r="P1588" s="54">
        <f>HEX2DEC(RIGHT(Table132321432[[#This Row],[h1]],8))</f>
        <v>0</v>
      </c>
      <c r="Q1588" s="54" t="s">
        <v>149</v>
      </c>
      <c r="R1588" s="54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4" t="s">
        <v>149</v>
      </c>
      <c r="P1589" s="54">
        <f>HEX2DEC(RIGHT(Table132321432[[#This Row],[h1]],8))</f>
        <v>0</v>
      </c>
      <c r="Q1589" s="54" t="s">
        <v>149</v>
      </c>
      <c r="R1589" s="54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4" t="s">
        <v>149</v>
      </c>
      <c r="P1590" s="54">
        <f>HEX2DEC(RIGHT(Table132321432[[#This Row],[h1]],8))</f>
        <v>0</v>
      </c>
      <c r="Q1590" s="54" t="s">
        <v>149</v>
      </c>
      <c r="R1590" s="54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4" t="s">
        <v>149</v>
      </c>
      <c r="P1591" s="54">
        <f>HEX2DEC(RIGHT(Table132321432[[#This Row],[h1]],8))</f>
        <v>0</v>
      </c>
      <c r="Q1591" s="54" t="s">
        <v>149</v>
      </c>
      <c r="R1591" s="54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4" t="s">
        <v>149</v>
      </c>
      <c r="P1592" s="54">
        <f>HEX2DEC(RIGHT(Table132321432[[#This Row],[h1]],8))</f>
        <v>0</v>
      </c>
      <c r="Q1592" s="54" t="s">
        <v>149</v>
      </c>
      <c r="R1592" s="54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4" t="s">
        <v>149</v>
      </c>
      <c r="P1593" s="54">
        <f>HEX2DEC(RIGHT(Table132321432[[#This Row],[h1]],8))</f>
        <v>0</v>
      </c>
      <c r="Q1593" s="54" t="s">
        <v>149</v>
      </c>
      <c r="R1593" s="54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4" t="s">
        <v>149</v>
      </c>
      <c r="P1594" s="54">
        <f>HEX2DEC(RIGHT(Table132321432[[#This Row],[h1]],8))</f>
        <v>0</v>
      </c>
      <c r="Q1594" s="54" t="s">
        <v>149</v>
      </c>
      <c r="R1594" s="54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4" t="s">
        <v>149</v>
      </c>
      <c r="P1595" s="54">
        <f>HEX2DEC(RIGHT(Table132321432[[#This Row],[h1]],8))</f>
        <v>0</v>
      </c>
      <c r="Q1595" s="54" t="s">
        <v>149</v>
      </c>
      <c r="R1595" s="54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4" t="s">
        <v>149</v>
      </c>
      <c r="P1596" s="54">
        <f>HEX2DEC(RIGHT(Table132321432[[#This Row],[h1]],8))</f>
        <v>0</v>
      </c>
      <c r="Q1596" s="54" t="s">
        <v>149</v>
      </c>
      <c r="R1596" s="54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4" t="s">
        <v>149</v>
      </c>
      <c r="P1597" s="54">
        <f>HEX2DEC(RIGHT(Table132321432[[#This Row],[h1]],8))</f>
        <v>0</v>
      </c>
      <c r="Q1597" s="54" t="s">
        <v>149</v>
      </c>
      <c r="R1597" s="54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4" t="s">
        <v>149</v>
      </c>
      <c r="P1598" s="54">
        <f>HEX2DEC(RIGHT(Table132321432[[#This Row],[h1]],8))</f>
        <v>0</v>
      </c>
      <c r="Q1598" s="54" t="s">
        <v>149</v>
      </c>
      <c r="R1598" s="54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4" t="s">
        <v>149</v>
      </c>
      <c r="P1599" s="54">
        <f>HEX2DEC(RIGHT(Table132321432[[#This Row],[h1]],8))</f>
        <v>0</v>
      </c>
      <c r="Q1599" s="54" t="s">
        <v>149</v>
      </c>
      <c r="R1599" s="54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4" t="s">
        <v>149</v>
      </c>
      <c r="P1600" s="54">
        <f>HEX2DEC(RIGHT(Table132321432[[#This Row],[h1]],8))</f>
        <v>0</v>
      </c>
      <c r="Q1600" s="54" t="s">
        <v>149</v>
      </c>
      <c r="R1600" s="54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4" t="s">
        <v>149</v>
      </c>
      <c r="P1601" s="54">
        <f>HEX2DEC(RIGHT(Table132321432[[#This Row],[h1]],8))</f>
        <v>0</v>
      </c>
      <c r="Q1601" s="54" t="s">
        <v>149</v>
      </c>
      <c r="R1601" s="54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4" t="s">
        <v>149</v>
      </c>
      <c r="P1602" s="54">
        <f>HEX2DEC(RIGHT(Table132321432[[#This Row],[h1]],8))</f>
        <v>0</v>
      </c>
      <c r="Q1602" s="54" t="s">
        <v>149</v>
      </c>
      <c r="R1602" s="54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4" t="s">
        <v>149</v>
      </c>
      <c r="P1603" s="54">
        <f>HEX2DEC(RIGHT(Table132321432[[#This Row],[h1]],8))</f>
        <v>0</v>
      </c>
      <c r="Q1603" s="54" t="s">
        <v>149</v>
      </c>
      <c r="R1603" s="54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4" t="s">
        <v>149</v>
      </c>
      <c r="P1604" s="54">
        <f>HEX2DEC(RIGHT(Table132321432[[#This Row],[h1]],8))</f>
        <v>0</v>
      </c>
      <c r="Q1604" s="54" t="s">
        <v>149</v>
      </c>
      <c r="R1604" s="54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4" t="s">
        <v>149</v>
      </c>
      <c r="P1605" s="54">
        <f>HEX2DEC(RIGHT(Table132321432[[#This Row],[h1]],8))</f>
        <v>0</v>
      </c>
      <c r="Q1605" s="54" t="s">
        <v>149</v>
      </c>
      <c r="R1605" s="54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4" t="s">
        <v>149</v>
      </c>
      <c r="P1606" s="54">
        <f>HEX2DEC(RIGHT(Table132321432[[#This Row],[h1]],8))</f>
        <v>0</v>
      </c>
      <c r="Q1606" s="54" t="s">
        <v>149</v>
      </c>
      <c r="R1606" s="54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4" t="s">
        <v>149</v>
      </c>
      <c r="P1607" s="54">
        <f>HEX2DEC(RIGHT(Table132321432[[#This Row],[h1]],8))</f>
        <v>0</v>
      </c>
      <c r="Q1607" s="54" t="s">
        <v>149</v>
      </c>
      <c r="R1607" s="54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4" t="s">
        <v>149</v>
      </c>
      <c r="P1608" s="54">
        <f>HEX2DEC(RIGHT(Table132321432[[#This Row],[h1]],8))</f>
        <v>0</v>
      </c>
      <c r="Q1608" s="54" t="s">
        <v>149</v>
      </c>
      <c r="R1608" s="54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4" t="s">
        <v>149</v>
      </c>
      <c r="P1609" s="54">
        <f>HEX2DEC(RIGHT(Table132321432[[#This Row],[h1]],8))</f>
        <v>0</v>
      </c>
      <c r="Q1609" s="54" t="s">
        <v>149</v>
      </c>
      <c r="R1609" s="54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4" t="s">
        <v>149</v>
      </c>
      <c r="P1610" s="54">
        <f>HEX2DEC(RIGHT(Table132321432[[#This Row],[h1]],8))</f>
        <v>0</v>
      </c>
      <c r="Q1610" s="54" t="s">
        <v>149</v>
      </c>
      <c r="R1610" s="54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4" t="s">
        <v>149</v>
      </c>
      <c r="P1611" s="54">
        <f>HEX2DEC(RIGHT(Table132321432[[#This Row],[h1]],8))</f>
        <v>0</v>
      </c>
      <c r="Q1611" s="54" t="s">
        <v>149</v>
      </c>
      <c r="R1611" s="54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4" t="s">
        <v>149</v>
      </c>
      <c r="P1612" s="54">
        <f>HEX2DEC(RIGHT(Table132321432[[#This Row],[h1]],8))</f>
        <v>0</v>
      </c>
      <c r="Q1612" s="54" t="s">
        <v>149</v>
      </c>
      <c r="R1612" s="54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4" t="s">
        <v>149</v>
      </c>
      <c r="P1613" s="54">
        <f>HEX2DEC(RIGHT(Table132321432[[#This Row],[h1]],8))</f>
        <v>0</v>
      </c>
      <c r="Q1613" s="54" t="s">
        <v>149</v>
      </c>
      <c r="R1613" s="54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4" t="s">
        <v>149</v>
      </c>
      <c r="P1614" s="54">
        <f>HEX2DEC(RIGHT(Table132321432[[#This Row],[h1]],8))</f>
        <v>0</v>
      </c>
      <c r="Q1614" s="54" t="s">
        <v>149</v>
      </c>
      <c r="R1614" s="54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4" t="s">
        <v>149</v>
      </c>
      <c r="P1615" s="54">
        <f>HEX2DEC(RIGHT(Table132321432[[#This Row],[h1]],8))</f>
        <v>0</v>
      </c>
      <c r="Q1615" s="54" t="s">
        <v>149</v>
      </c>
      <c r="R1615" s="54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4" t="s">
        <v>149</v>
      </c>
      <c r="P1616" s="54">
        <f>HEX2DEC(RIGHT(Table132321432[[#This Row],[h1]],8))</f>
        <v>0</v>
      </c>
      <c r="Q1616" s="54" t="s">
        <v>149</v>
      </c>
      <c r="R1616" s="54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4" t="s">
        <v>149</v>
      </c>
      <c r="P1617" s="54">
        <f>HEX2DEC(RIGHT(Table132321432[[#This Row],[h1]],8))</f>
        <v>0</v>
      </c>
      <c r="Q1617" s="54" t="s">
        <v>149</v>
      </c>
      <c r="R1617" s="54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4" t="s">
        <v>149</v>
      </c>
      <c r="P1618" s="54">
        <f>HEX2DEC(RIGHT(Table132321432[[#This Row],[h1]],8))</f>
        <v>0</v>
      </c>
      <c r="Q1618" s="54" t="s">
        <v>149</v>
      </c>
      <c r="R1618" s="54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4" t="s">
        <v>149</v>
      </c>
      <c r="P1619" s="54">
        <f>HEX2DEC(RIGHT(Table132321432[[#This Row],[h1]],8))</f>
        <v>0</v>
      </c>
      <c r="Q1619" s="54" t="s">
        <v>149</v>
      </c>
      <c r="R1619" s="54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4" t="s">
        <v>149</v>
      </c>
      <c r="P1620" s="54">
        <f>HEX2DEC(RIGHT(Table132321432[[#This Row],[h1]],8))</f>
        <v>0</v>
      </c>
      <c r="Q1620" s="54" t="s">
        <v>149</v>
      </c>
      <c r="R1620" s="54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4" t="s">
        <v>149</v>
      </c>
      <c r="P1621" s="54">
        <f>HEX2DEC(RIGHT(Table132321432[[#This Row],[h1]],8))</f>
        <v>0</v>
      </c>
      <c r="Q1621" s="54" t="s">
        <v>149</v>
      </c>
      <c r="R1621" s="54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4" t="s">
        <v>149</v>
      </c>
      <c r="P1622" s="54">
        <f>HEX2DEC(RIGHT(Table132321432[[#This Row],[h1]],8))</f>
        <v>0</v>
      </c>
      <c r="Q1622" s="54" t="s">
        <v>149</v>
      </c>
      <c r="R1622" s="54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4" t="s">
        <v>149</v>
      </c>
      <c r="P1623" s="54">
        <f>HEX2DEC(RIGHT(Table132321432[[#This Row],[h1]],8))</f>
        <v>0</v>
      </c>
      <c r="Q1623" s="54" t="s">
        <v>149</v>
      </c>
      <c r="R1623" s="54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4" t="s">
        <v>149</v>
      </c>
      <c r="P1624" s="54">
        <f>HEX2DEC(RIGHT(Table132321432[[#This Row],[h1]],8))</f>
        <v>0</v>
      </c>
      <c r="Q1624" s="54" t="s">
        <v>149</v>
      </c>
      <c r="R1624" s="54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4" t="s">
        <v>149</v>
      </c>
      <c r="P1625" s="54">
        <f>HEX2DEC(RIGHT(Table132321432[[#This Row],[h1]],8))</f>
        <v>0</v>
      </c>
      <c r="Q1625" s="54" t="s">
        <v>149</v>
      </c>
      <c r="R1625" s="54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4" t="s">
        <v>149</v>
      </c>
      <c r="P1626" s="54">
        <f>HEX2DEC(RIGHT(Table132321432[[#This Row],[h1]],8))</f>
        <v>0</v>
      </c>
      <c r="Q1626" s="54" t="s">
        <v>149</v>
      </c>
      <c r="R1626" s="54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4" t="s">
        <v>149</v>
      </c>
      <c r="P1627" s="54">
        <f>HEX2DEC(RIGHT(Table132321432[[#This Row],[h1]],8))</f>
        <v>0</v>
      </c>
      <c r="Q1627" s="54" t="s">
        <v>149</v>
      </c>
      <c r="R1627" s="54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4" t="s">
        <v>149</v>
      </c>
      <c r="P1628" s="54">
        <f>HEX2DEC(RIGHT(Table132321432[[#This Row],[h1]],8))</f>
        <v>0</v>
      </c>
      <c r="Q1628" s="54" t="s">
        <v>149</v>
      </c>
      <c r="R1628" s="54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4" t="s">
        <v>149</v>
      </c>
      <c r="P1629" s="54">
        <f>HEX2DEC(RIGHT(Table132321432[[#This Row],[h1]],8))</f>
        <v>0</v>
      </c>
      <c r="Q1629" s="54" t="s">
        <v>149</v>
      </c>
      <c r="R1629" s="54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4" t="s">
        <v>149</v>
      </c>
      <c r="P1630" s="54">
        <f>HEX2DEC(RIGHT(Table132321432[[#This Row],[h1]],8))</f>
        <v>0</v>
      </c>
      <c r="Q1630" s="54" t="s">
        <v>149</v>
      </c>
      <c r="R1630" s="54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4" t="s">
        <v>149</v>
      </c>
      <c r="P1631" s="54">
        <f>HEX2DEC(RIGHT(Table132321432[[#This Row],[h1]],8))</f>
        <v>0</v>
      </c>
      <c r="Q1631" s="54" t="s">
        <v>149</v>
      </c>
      <c r="R1631" s="54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4" t="s">
        <v>149</v>
      </c>
      <c r="P1632" s="54">
        <f>HEX2DEC(RIGHT(Table132321432[[#This Row],[h1]],8))</f>
        <v>0</v>
      </c>
      <c r="Q1632" s="54" t="s">
        <v>149</v>
      </c>
      <c r="R1632" s="54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4" t="s">
        <v>149</v>
      </c>
      <c r="P1633" s="54">
        <f>HEX2DEC(RIGHT(Table132321432[[#This Row],[h1]],8))</f>
        <v>0</v>
      </c>
      <c r="Q1633" s="54" t="s">
        <v>149</v>
      </c>
      <c r="R1633" s="54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4" t="s">
        <v>149</v>
      </c>
      <c r="P1634" s="54">
        <f>HEX2DEC(RIGHT(Table132321432[[#This Row],[h1]],8))</f>
        <v>0</v>
      </c>
      <c r="Q1634" s="54" t="s">
        <v>149</v>
      </c>
      <c r="R1634" s="54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4" t="s">
        <v>149</v>
      </c>
      <c r="P1635" s="54">
        <f>HEX2DEC(RIGHT(Table132321432[[#This Row],[h1]],8))</f>
        <v>0</v>
      </c>
      <c r="Q1635" s="54" t="s">
        <v>149</v>
      </c>
      <c r="R1635" s="54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4" t="s">
        <v>149</v>
      </c>
      <c r="P1636" s="54">
        <f>HEX2DEC(RIGHT(Table132321432[[#This Row],[h1]],8))</f>
        <v>0</v>
      </c>
      <c r="Q1636" s="54" t="s">
        <v>149</v>
      </c>
      <c r="R1636" s="54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4" t="s">
        <v>149</v>
      </c>
      <c r="P1637" s="54">
        <f>HEX2DEC(RIGHT(Table132321432[[#This Row],[h1]],8))</f>
        <v>0</v>
      </c>
      <c r="Q1637" s="54" t="s">
        <v>149</v>
      </c>
      <c r="R1637" s="54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4" t="s">
        <v>149</v>
      </c>
      <c r="P1638" s="54">
        <f>HEX2DEC(RIGHT(Table132321432[[#This Row],[h1]],8))</f>
        <v>0</v>
      </c>
      <c r="Q1638" s="54" t="s">
        <v>149</v>
      </c>
      <c r="R1638" s="54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4" t="s">
        <v>149</v>
      </c>
      <c r="P1639" s="54">
        <f>HEX2DEC(RIGHT(Table132321432[[#This Row],[h1]],8))</f>
        <v>0</v>
      </c>
      <c r="Q1639" s="54" t="s">
        <v>149</v>
      </c>
      <c r="R1639" s="54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4" t="s">
        <v>149</v>
      </c>
      <c r="P1640" s="54">
        <f>HEX2DEC(RIGHT(Table132321432[[#This Row],[h1]],8))</f>
        <v>0</v>
      </c>
      <c r="Q1640" s="54" t="s">
        <v>149</v>
      </c>
      <c r="R1640" s="54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4" t="s">
        <v>149</v>
      </c>
      <c r="P1641" s="54">
        <f>HEX2DEC(RIGHT(Table132321432[[#This Row],[h1]],8))</f>
        <v>0</v>
      </c>
      <c r="Q1641" s="54" t="s">
        <v>149</v>
      </c>
      <c r="R1641" s="54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4" t="s">
        <v>149</v>
      </c>
      <c r="P1642" s="54">
        <f>HEX2DEC(RIGHT(Table132321432[[#This Row],[h1]],8))</f>
        <v>0</v>
      </c>
      <c r="Q1642" s="54" t="s">
        <v>149</v>
      </c>
      <c r="R1642" s="54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4" t="s">
        <v>149</v>
      </c>
      <c r="P1643" s="54">
        <f>HEX2DEC(RIGHT(Table132321432[[#This Row],[h1]],8))</f>
        <v>0</v>
      </c>
      <c r="Q1643" s="54" t="s">
        <v>149</v>
      </c>
      <c r="R1643" s="54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4" t="s">
        <v>149</v>
      </c>
      <c r="P1644" s="54">
        <f>HEX2DEC(RIGHT(Table132321432[[#This Row],[h1]],8))</f>
        <v>0</v>
      </c>
      <c r="Q1644" s="54" t="s">
        <v>149</v>
      </c>
      <c r="R1644" s="54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4" t="s">
        <v>149</v>
      </c>
      <c r="P1645" s="54">
        <f>HEX2DEC(RIGHT(Table132321432[[#This Row],[h1]],8))</f>
        <v>0</v>
      </c>
      <c r="Q1645" s="54" t="s">
        <v>149</v>
      </c>
      <c r="R1645" s="54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4" t="s">
        <v>149</v>
      </c>
      <c r="P1646" s="54">
        <f>HEX2DEC(RIGHT(Table132321432[[#This Row],[h1]],8))</f>
        <v>0</v>
      </c>
      <c r="Q1646" s="54" t="s">
        <v>149</v>
      </c>
      <c r="R1646" s="54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4" t="s">
        <v>149</v>
      </c>
      <c r="P1647" s="54">
        <f>HEX2DEC(RIGHT(Table132321432[[#This Row],[h1]],8))</f>
        <v>0</v>
      </c>
      <c r="Q1647" s="54" t="s">
        <v>149</v>
      </c>
      <c r="R1647" s="54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4" t="s">
        <v>149</v>
      </c>
      <c r="P1648" s="54">
        <f>HEX2DEC(RIGHT(Table132321432[[#This Row],[h1]],8))</f>
        <v>0</v>
      </c>
      <c r="Q1648" s="54" t="s">
        <v>149</v>
      </c>
      <c r="R1648" s="54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4" t="s">
        <v>149</v>
      </c>
      <c r="P1649" s="54">
        <f>HEX2DEC(RIGHT(Table132321432[[#This Row],[h1]],8))</f>
        <v>0</v>
      </c>
      <c r="Q1649" s="54" t="s">
        <v>149</v>
      </c>
      <c r="R1649" s="54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4" t="s">
        <v>149</v>
      </c>
      <c r="P1650" s="54">
        <f>HEX2DEC(RIGHT(Table132321432[[#This Row],[h1]],8))</f>
        <v>0</v>
      </c>
      <c r="Q1650" s="54" t="s">
        <v>149</v>
      </c>
      <c r="R1650" s="54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4" t="s">
        <v>149</v>
      </c>
      <c r="P1651" s="54">
        <f>HEX2DEC(RIGHT(Table132321432[[#This Row],[h1]],8))</f>
        <v>0</v>
      </c>
      <c r="Q1651" s="54" t="s">
        <v>149</v>
      </c>
      <c r="R1651" s="54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4" t="s">
        <v>149</v>
      </c>
      <c r="P1652" s="54">
        <f>HEX2DEC(RIGHT(Table132321432[[#This Row],[h1]],8))</f>
        <v>0</v>
      </c>
      <c r="Q1652" s="54" t="s">
        <v>149</v>
      </c>
      <c r="R1652" s="54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4" t="s">
        <v>149</v>
      </c>
      <c r="P1653" s="54">
        <f>HEX2DEC(RIGHT(Table132321432[[#This Row],[h1]],8))</f>
        <v>0</v>
      </c>
      <c r="Q1653" s="54" t="s">
        <v>149</v>
      </c>
      <c r="R1653" s="54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4" t="s">
        <v>149</v>
      </c>
      <c r="P1654" s="54">
        <f>HEX2DEC(RIGHT(Table132321432[[#This Row],[h1]],8))</f>
        <v>0</v>
      </c>
      <c r="Q1654" s="54" t="s">
        <v>149</v>
      </c>
      <c r="R1654" s="54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4" t="s">
        <v>149</v>
      </c>
      <c r="P1655" s="54">
        <f>HEX2DEC(RIGHT(Table132321432[[#This Row],[h1]],8))</f>
        <v>0</v>
      </c>
      <c r="Q1655" s="54" t="s">
        <v>149</v>
      </c>
      <c r="R1655" s="54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4" t="s">
        <v>149</v>
      </c>
      <c r="P1656" s="54">
        <f>HEX2DEC(RIGHT(Table132321432[[#This Row],[h1]],8))</f>
        <v>0</v>
      </c>
      <c r="Q1656" s="54" t="s">
        <v>149</v>
      </c>
      <c r="R1656" s="54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4" t="s">
        <v>149</v>
      </c>
      <c r="P1657" s="54">
        <f>HEX2DEC(RIGHT(Table132321432[[#This Row],[h1]],8))</f>
        <v>0</v>
      </c>
      <c r="Q1657" s="54" t="s">
        <v>149</v>
      </c>
      <c r="R1657" s="54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4" t="s">
        <v>149</v>
      </c>
      <c r="P1658" s="54">
        <f>HEX2DEC(RIGHT(Table132321432[[#This Row],[h1]],8))</f>
        <v>0</v>
      </c>
      <c r="Q1658" s="54" t="s">
        <v>149</v>
      </c>
      <c r="R1658" s="54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4" t="s">
        <v>149</v>
      </c>
      <c r="P1659" s="54">
        <f>HEX2DEC(RIGHT(Table132321432[[#This Row],[h1]],8))</f>
        <v>0</v>
      </c>
      <c r="Q1659" s="54" t="s">
        <v>149</v>
      </c>
      <c r="R1659" s="54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4" t="s">
        <v>149</v>
      </c>
      <c r="P1660" s="54">
        <f>HEX2DEC(RIGHT(Table132321432[[#This Row],[h1]],8))</f>
        <v>0</v>
      </c>
      <c r="Q1660" s="54" t="s">
        <v>149</v>
      </c>
      <c r="R1660" s="54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4" t="s">
        <v>149</v>
      </c>
      <c r="P1661" s="54">
        <f>HEX2DEC(RIGHT(Table132321432[[#This Row],[h1]],8))</f>
        <v>0</v>
      </c>
      <c r="Q1661" s="54" t="s">
        <v>149</v>
      </c>
      <c r="R1661" s="54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4" t="s">
        <v>149</v>
      </c>
      <c r="P1662" s="54">
        <f>HEX2DEC(RIGHT(Table132321432[[#This Row],[h1]],8))</f>
        <v>0</v>
      </c>
      <c r="Q1662" s="54" t="s">
        <v>149</v>
      </c>
      <c r="R1662" s="54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4" t="s">
        <v>149</v>
      </c>
      <c r="P1663" s="54">
        <f>HEX2DEC(RIGHT(Table132321432[[#This Row],[h1]],8))</f>
        <v>0</v>
      </c>
      <c r="Q1663" s="54" t="s">
        <v>149</v>
      </c>
      <c r="R1663" s="54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4" t="s">
        <v>149</v>
      </c>
      <c r="P1664" s="54">
        <f>HEX2DEC(RIGHT(Table132321432[[#This Row],[h1]],8))</f>
        <v>0</v>
      </c>
      <c r="Q1664" s="54" t="s">
        <v>149</v>
      </c>
      <c r="R1664" s="54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4" t="s">
        <v>149</v>
      </c>
      <c r="P1665" s="54">
        <f>HEX2DEC(RIGHT(Table132321432[[#This Row],[h1]],8))</f>
        <v>0</v>
      </c>
      <c r="Q1665" s="54" t="s">
        <v>149</v>
      </c>
      <c r="R1665" s="54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4" t="s">
        <v>149</v>
      </c>
      <c r="P1666" s="54">
        <f>HEX2DEC(RIGHT(Table132321432[[#This Row],[h1]],8))</f>
        <v>0</v>
      </c>
      <c r="Q1666" s="54" t="s">
        <v>149</v>
      </c>
      <c r="R1666" s="54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4" t="s">
        <v>149</v>
      </c>
      <c r="P1667" s="54">
        <f>HEX2DEC(RIGHT(Table132321432[[#This Row],[h1]],8))</f>
        <v>0</v>
      </c>
      <c r="Q1667" s="54" t="s">
        <v>149</v>
      </c>
      <c r="R1667" s="54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4" t="s">
        <v>149</v>
      </c>
      <c r="P1668" s="54">
        <f>HEX2DEC(RIGHT(Table132321432[[#This Row],[h1]],8))</f>
        <v>0</v>
      </c>
      <c r="Q1668" s="54" t="s">
        <v>149</v>
      </c>
      <c r="R1668" s="54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4" t="s">
        <v>149</v>
      </c>
      <c r="P1669" s="54">
        <f>HEX2DEC(RIGHT(Table132321432[[#This Row],[h1]],8))</f>
        <v>0</v>
      </c>
      <c r="Q1669" s="54" t="s">
        <v>149</v>
      </c>
      <c r="R1669" s="54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4" t="s">
        <v>149</v>
      </c>
      <c r="P1670" s="54">
        <f>HEX2DEC(RIGHT(Table132321432[[#This Row],[h1]],8))</f>
        <v>0</v>
      </c>
      <c r="Q1670" s="54" t="s">
        <v>149</v>
      </c>
      <c r="R1670" s="54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4" t="s">
        <v>149</v>
      </c>
      <c r="P1671" s="54">
        <f>HEX2DEC(RIGHT(Table132321432[[#This Row],[h1]],8))</f>
        <v>0</v>
      </c>
      <c r="Q1671" s="54" t="s">
        <v>149</v>
      </c>
      <c r="R1671" s="54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4" t="s">
        <v>149</v>
      </c>
      <c r="P1672" s="54">
        <f>HEX2DEC(RIGHT(Table132321432[[#This Row],[h1]],8))</f>
        <v>0</v>
      </c>
      <c r="Q1672" s="54" t="s">
        <v>149</v>
      </c>
      <c r="R1672" s="54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4" t="s">
        <v>149</v>
      </c>
      <c r="P1673" s="54">
        <f>HEX2DEC(RIGHT(Table132321432[[#This Row],[h1]],8))</f>
        <v>0</v>
      </c>
      <c r="Q1673" s="54" t="s">
        <v>149</v>
      </c>
      <c r="R1673" s="54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4" t="s">
        <v>149</v>
      </c>
      <c r="P1674" s="54">
        <f>HEX2DEC(RIGHT(Table132321432[[#This Row],[h1]],8))</f>
        <v>0</v>
      </c>
      <c r="Q1674" s="54" t="s">
        <v>149</v>
      </c>
      <c r="R1674" s="54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4" t="s">
        <v>149</v>
      </c>
      <c r="P1675" s="54">
        <f>HEX2DEC(RIGHT(Table132321432[[#This Row],[h1]],8))</f>
        <v>0</v>
      </c>
      <c r="Q1675" s="54" t="s">
        <v>149</v>
      </c>
      <c r="R1675" s="54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4" t="s">
        <v>149</v>
      </c>
      <c r="P1676" s="54">
        <f>HEX2DEC(RIGHT(Table132321432[[#This Row],[h1]],8))</f>
        <v>0</v>
      </c>
      <c r="Q1676" s="54" t="s">
        <v>149</v>
      </c>
      <c r="R1676" s="54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4" t="s">
        <v>149</v>
      </c>
      <c r="P1677" s="54">
        <f>HEX2DEC(RIGHT(Table132321432[[#This Row],[h1]],8))</f>
        <v>0</v>
      </c>
      <c r="Q1677" s="54" t="s">
        <v>149</v>
      </c>
      <c r="R1677" s="54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4" t="s">
        <v>149</v>
      </c>
      <c r="P1678" s="54">
        <f>HEX2DEC(RIGHT(Table132321432[[#This Row],[h1]],8))</f>
        <v>0</v>
      </c>
      <c r="Q1678" s="54" t="s">
        <v>149</v>
      </c>
      <c r="R1678" s="54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4" t="s">
        <v>149</v>
      </c>
      <c r="P1679" s="54">
        <f>HEX2DEC(RIGHT(Table132321432[[#This Row],[h1]],8))</f>
        <v>0</v>
      </c>
      <c r="Q1679" s="54" t="s">
        <v>149</v>
      </c>
      <c r="R1679" s="54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4" t="s">
        <v>149</v>
      </c>
      <c r="P1680" s="54">
        <f>HEX2DEC(RIGHT(Table132321432[[#This Row],[h1]],8))</f>
        <v>0</v>
      </c>
      <c r="Q1680" s="54" t="s">
        <v>149</v>
      </c>
      <c r="R1680" s="54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4" t="s">
        <v>149</v>
      </c>
      <c r="P1681" s="54">
        <f>HEX2DEC(RIGHT(Table132321432[[#This Row],[h1]],8))</f>
        <v>0</v>
      </c>
      <c r="Q1681" s="54" t="s">
        <v>149</v>
      </c>
      <c r="R1681" s="54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4" t="s">
        <v>149</v>
      </c>
      <c r="P1682" s="54">
        <f>HEX2DEC(RIGHT(Table132321432[[#This Row],[h1]],8))</f>
        <v>0</v>
      </c>
      <c r="Q1682" s="54" t="s">
        <v>149</v>
      </c>
      <c r="R1682" s="54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4" t="s">
        <v>149</v>
      </c>
      <c r="P1683" s="54">
        <f>HEX2DEC(RIGHT(Table132321432[[#This Row],[h1]],8))</f>
        <v>0</v>
      </c>
      <c r="Q1683" s="54" t="s">
        <v>149</v>
      </c>
      <c r="R1683" s="54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4" t="s">
        <v>149</v>
      </c>
      <c r="P1684" s="54">
        <f>HEX2DEC(RIGHT(Table132321432[[#This Row],[h1]],8))</f>
        <v>0</v>
      </c>
      <c r="Q1684" s="54" t="s">
        <v>149</v>
      </c>
      <c r="R1684" s="54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4" t="s">
        <v>149</v>
      </c>
      <c r="P1685" s="54">
        <f>HEX2DEC(RIGHT(Table132321432[[#This Row],[h1]],8))</f>
        <v>0</v>
      </c>
      <c r="Q1685" s="54" t="s">
        <v>149</v>
      </c>
      <c r="R1685" s="54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4" t="s">
        <v>149</v>
      </c>
      <c r="P1686" s="54">
        <f>HEX2DEC(RIGHT(Table132321432[[#This Row],[h1]],8))</f>
        <v>0</v>
      </c>
      <c r="Q1686" s="54" t="s">
        <v>149</v>
      </c>
      <c r="R1686" s="54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4" t="s">
        <v>149</v>
      </c>
      <c r="P1687" s="54">
        <f>HEX2DEC(RIGHT(Table132321432[[#This Row],[h1]],8))</f>
        <v>0</v>
      </c>
      <c r="Q1687" s="54" t="s">
        <v>149</v>
      </c>
      <c r="R1687" s="54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4" t="s">
        <v>149</v>
      </c>
      <c r="P1688" s="54">
        <f>HEX2DEC(RIGHT(Table132321432[[#This Row],[h1]],8))</f>
        <v>0</v>
      </c>
      <c r="Q1688" s="54" t="s">
        <v>149</v>
      </c>
      <c r="R1688" s="54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4" t="s">
        <v>149</v>
      </c>
      <c r="P1689" s="54">
        <f>HEX2DEC(RIGHT(Table132321432[[#This Row],[h1]],8))</f>
        <v>0</v>
      </c>
      <c r="Q1689" s="54" t="s">
        <v>149</v>
      </c>
      <c r="R1689" s="54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4" t="s">
        <v>149</v>
      </c>
      <c r="P1690" s="54">
        <f>HEX2DEC(RIGHT(Table132321432[[#This Row],[h1]],8))</f>
        <v>0</v>
      </c>
      <c r="Q1690" s="54" t="s">
        <v>149</v>
      </c>
      <c r="R1690" s="54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4" t="s">
        <v>149</v>
      </c>
      <c r="P1691" s="54">
        <f>HEX2DEC(RIGHT(Table132321432[[#This Row],[h1]],8))</f>
        <v>0</v>
      </c>
      <c r="Q1691" s="54" t="s">
        <v>149</v>
      </c>
      <c r="R1691" s="54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4" t="s">
        <v>149</v>
      </c>
      <c r="P1692" s="54">
        <f>HEX2DEC(RIGHT(Table132321432[[#This Row],[h1]],8))</f>
        <v>0</v>
      </c>
      <c r="Q1692" s="54" t="s">
        <v>149</v>
      </c>
      <c r="R1692" s="54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4" t="s">
        <v>149</v>
      </c>
      <c r="P1693" s="54">
        <f>HEX2DEC(RIGHT(Table132321432[[#This Row],[h1]],8))</f>
        <v>0</v>
      </c>
      <c r="Q1693" s="54" t="s">
        <v>149</v>
      </c>
      <c r="R1693" s="54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4" t="s">
        <v>149</v>
      </c>
      <c r="P1694" s="54">
        <f>HEX2DEC(RIGHT(Table132321432[[#This Row],[h1]],8))</f>
        <v>0</v>
      </c>
      <c r="Q1694" s="54" t="s">
        <v>149</v>
      </c>
      <c r="R1694" s="54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4" t="s">
        <v>149</v>
      </c>
      <c r="P1695" s="54">
        <f>HEX2DEC(RIGHT(Table132321432[[#This Row],[h1]],8))</f>
        <v>0</v>
      </c>
      <c r="Q1695" s="54" t="s">
        <v>149</v>
      </c>
      <c r="R1695" s="54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4" t="s">
        <v>149</v>
      </c>
      <c r="P1696" s="54">
        <f>HEX2DEC(RIGHT(Table132321432[[#This Row],[h1]],8))</f>
        <v>0</v>
      </c>
      <c r="Q1696" s="54" t="s">
        <v>149</v>
      </c>
      <c r="R1696" s="54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4" t="s">
        <v>149</v>
      </c>
      <c r="P1697" s="54">
        <f>HEX2DEC(RIGHT(Table132321432[[#This Row],[h1]],8))</f>
        <v>0</v>
      </c>
      <c r="Q1697" s="54" t="s">
        <v>149</v>
      </c>
      <c r="R1697" s="54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4" t="s">
        <v>149</v>
      </c>
      <c r="P1698" s="54">
        <f>HEX2DEC(RIGHT(Table132321432[[#This Row],[h1]],8))</f>
        <v>0</v>
      </c>
      <c r="Q1698" s="54" t="s">
        <v>149</v>
      </c>
      <c r="R1698" s="54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4" t="s">
        <v>149</v>
      </c>
      <c r="P1699" s="54">
        <f>HEX2DEC(RIGHT(Table132321432[[#This Row],[h1]],8))</f>
        <v>0</v>
      </c>
      <c r="Q1699" s="54" t="s">
        <v>149</v>
      </c>
      <c r="R1699" s="54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4" t="s">
        <v>149</v>
      </c>
      <c r="P1700" s="54">
        <f>HEX2DEC(RIGHT(Table132321432[[#This Row],[h1]],8))</f>
        <v>0</v>
      </c>
      <c r="Q1700" s="54" t="s">
        <v>149</v>
      </c>
      <c r="R1700" s="54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4" t="s">
        <v>149</v>
      </c>
      <c r="P1701" s="54">
        <f>HEX2DEC(RIGHT(Table132321432[[#This Row],[h1]],8))</f>
        <v>0</v>
      </c>
      <c r="Q1701" s="54" t="s">
        <v>149</v>
      </c>
      <c r="R1701" s="54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4" t="s">
        <v>149</v>
      </c>
      <c r="P1702" s="54">
        <f>HEX2DEC(RIGHT(Table132321432[[#This Row],[h1]],8))</f>
        <v>0</v>
      </c>
      <c r="Q1702" s="54" t="s">
        <v>149</v>
      </c>
      <c r="R1702" s="54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4" t="s">
        <v>149</v>
      </c>
      <c r="P1703" s="54">
        <f>HEX2DEC(RIGHT(Table132321432[[#This Row],[h1]],8))</f>
        <v>0</v>
      </c>
      <c r="Q1703" s="54" t="s">
        <v>149</v>
      </c>
      <c r="R1703" s="54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4" t="s">
        <v>149</v>
      </c>
      <c r="P1704" s="54">
        <f>HEX2DEC(RIGHT(Table132321432[[#This Row],[h1]],8))</f>
        <v>0</v>
      </c>
      <c r="Q1704" s="54" t="s">
        <v>149</v>
      </c>
      <c r="R1704" s="54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4" t="s">
        <v>149</v>
      </c>
      <c r="P1705" s="54">
        <f>HEX2DEC(RIGHT(Table132321432[[#This Row],[h1]],8))</f>
        <v>0</v>
      </c>
      <c r="Q1705" s="54" t="s">
        <v>149</v>
      </c>
      <c r="R1705" s="54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4" t="s">
        <v>149</v>
      </c>
      <c r="P1706" s="54">
        <f>HEX2DEC(RIGHT(Table132321432[[#This Row],[h1]],8))</f>
        <v>0</v>
      </c>
      <c r="Q1706" s="54" t="s">
        <v>149</v>
      </c>
      <c r="R1706" s="54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4" t="s">
        <v>149</v>
      </c>
      <c r="P1707" s="54">
        <f>HEX2DEC(RIGHT(Table132321432[[#This Row],[h1]],8))</f>
        <v>0</v>
      </c>
      <c r="Q1707" s="54" t="s">
        <v>149</v>
      </c>
      <c r="R1707" s="54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4" t="s">
        <v>149</v>
      </c>
      <c r="P1708" s="54">
        <f>HEX2DEC(RIGHT(Table132321432[[#This Row],[h1]],8))</f>
        <v>0</v>
      </c>
      <c r="Q1708" s="54" t="s">
        <v>149</v>
      </c>
      <c r="R1708" s="54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4" t="s">
        <v>149</v>
      </c>
      <c r="P1709" s="54">
        <f>HEX2DEC(RIGHT(Table132321432[[#This Row],[h1]],8))</f>
        <v>0</v>
      </c>
      <c r="Q1709" s="54" t="s">
        <v>149</v>
      </c>
      <c r="R1709" s="54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4" t="s">
        <v>149</v>
      </c>
      <c r="P1710" s="54">
        <f>HEX2DEC(RIGHT(Table132321432[[#This Row],[h1]],8))</f>
        <v>0</v>
      </c>
      <c r="Q1710" s="54" t="s">
        <v>149</v>
      </c>
      <c r="R1710" s="54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4" t="s">
        <v>149</v>
      </c>
      <c r="P1711" s="54">
        <f>HEX2DEC(RIGHT(Table132321432[[#This Row],[h1]],8))</f>
        <v>0</v>
      </c>
      <c r="Q1711" s="54" t="s">
        <v>149</v>
      </c>
      <c r="R1711" s="54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4" t="s">
        <v>149</v>
      </c>
      <c r="P1712" s="54">
        <f>HEX2DEC(RIGHT(Table132321432[[#This Row],[h1]],8))</f>
        <v>0</v>
      </c>
      <c r="Q1712" s="54" t="s">
        <v>149</v>
      </c>
      <c r="R1712" s="54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4" t="s">
        <v>149</v>
      </c>
      <c r="P1713" s="54">
        <f>HEX2DEC(RIGHT(Table132321432[[#This Row],[h1]],8))</f>
        <v>0</v>
      </c>
      <c r="Q1713" s="54" t="s">
        <v>149</v>
      </c>
      <c r="R1713" s="54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4" t="s">
        <v>149</v>
      </c>
      <c r="P1714" s="54">
        <f>HEX2DEC(RIGHT(Table132321432[[#This Row],[h1]],8))</f>
        <v>0</v>
      </c>
      <c r="Q1714" s="54" t="s">
        <v>149</v>
      </c>
      <c r="R1714" s="54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4" t="s">
        <v>149</v>
      </c>
      <c r="P1715" s="54">
        <f>HEX2DEC(RIGHT(Table132321432[[#This Row],[h1]],8))</f>
        <v>0</v>
      </c>
      <c r="Q1715" s="54" t="s">
        <v>149</v>
      </c>
      <c r="R1715" s="54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4" t="s">
        <v>149</v>
      </c>
      <c r="P1716" s="54">
        <f>HEX2DEC(RIGHT(Table132321432[[#This Row],[h1]],8))</f>
        <v>0</v>
      </c>
      <c r="Q1716" s="54" t="s">
        <v>149</v>
      </c>
      <c r="R1716" s="54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4" t="s">
        <v>149</v>
      </c>
      <c r="P1717" s="54">
        <f>HEX2DEC(RIGHT(Table132321432[[#This Row],[h1]],8))</f>
        <v>0</v>
      </c>
      <c r="Q1717" s="54" t="s">
        <v>149</v>
      </c>
      <c r="R1717" s="54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4" t="s">
        <v>149</v>
      </c>
      <c r="P1718" s="54">
        <f>HEX2DEC(RIGHT(Table132321432[[#This Row],[h1]],8))</f>
        <v>0</v>
      </c>
      <c r="Q1718" s="54" t="s">
        <v>149</v>
      </c>
      <c r="R1718" s="54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4" t="s">
        <v>149</v>
      </c>
      <c r="P1719" s="54">
        <f>HEX2DEC(RIGHT(Table132321432[[#This Row],[h1]],8))</f>
        <v>0</v>
      </c>
      <c r="Q1719" s="54" t="s">
        <v>149</v>
      </c>
      <c r="R1719" s="54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4" t="s">
        <v>149</v>
      </c>
      <c r="P1720" s="54">
        <f>HEX2DEC(RIGHT(Table132321432[[#This Row],[h1]],8))</f>
        <v>0</v>
      </c>
      <c r="Q1720" s="54" t="s">
        <v>149</v>
      </c>
      <c r="R1720" s="54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4" t="s">
        <v>149</v>
      </c>
      <c r="P1721" s="54">
        <f>HEX2DEC(RIGHT(Table132321432[[#This Row],[h1]],8))</f>
        <v>0</v>
      </c>
      <c r="Q1721" s="54" t="s">
        <v>149</v>
      </c>
      <c r="R1721" s="54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4" t="s">
        <v>149</v>
      </c>
      <c r="P1722" s="54">
        <f>HEX2DEC(RIGHT(Table132321432[[#This Row],[h1]],8))</f>
        <v>0</v>
      </c>
      <c r="Q1722" s="54" t="s">
        <v>149</v>
      </c>
      <c r="R1722" s="54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4" t="s">
        <v>149</v>
      </c>
      <c r="P1723" s="54">
        <f>HEX2DEC(RIGHT(Table132321432[[#This Row],[h1]],8))</f>
        <v>0</v>
      </c>
      <c r="Q1723" s="54" t="s">
        <v>149</v>
      </c>
      <c r="R1723" s="54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4" t="s">
        <v>149</v>
      </c>
      <c r="P1724" s="54">
        <f>HEX2DEC(RIGHT(Table132321432[[#This Row],[h1]],8))</f>
        <v>0</v>
      </c>
      <c r="Q1724" s="54" t="s">
        <v>149</v>
      </c>
      <c r="R1724" s="54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4" t="s">
        <v>149</v>
      </c>
      <c r="P1725" s="54">
        <f>HEX2DEC(RIGHT(Table132321432[[#This Row],[h1]],8))</f>
        <v>0</v>
      </c>
      <c r="Q1725" s="54" t="s">
        <v>149</v>
      </c>
      <c r="R1725" s="54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4" t="s">
        <v>149</v>
      </c>
      <c r="P1726" s="54">
        <f>HEX2DEC(RIGHT(Table132321432[[#This Row],[h1]],8))</f>
        <v>0</v>
      </c>
      <c r="Q1726" s="54" t="s">
        <v>149</v>
      </c>
      <c r="R1726" s="54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4" t="s">
        <v>149</v>
      </c>
      <c r="P1727" s="54">
        <f>HEX2DEC(RIGHT(Table132321432[[#This Row],[h1]],8))</f>
        <v>0</v>
      </c>
      <c r="Q1727" s="54" t="s">
        <v>149</v>
      </c>
      <c r="R1727" s="54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4" t="s">
        <v>149</v>
      </c>
      <c r="P1728" s="54">
        <f>HEX2DEC(RIGHT(Table132321432[[#This Row],[h1]],8))</f>
        <v>0</v>
      </c>
      <c r="Q1728" s="54" t="s">
        <v>149</v>
      </c>
      <c r="R1728" s="54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4" t="s">
        <v>149</v>
      </c>
      <c r="P1729" s="54">
        <f>HEX2DEC(RIGHT(Table132321432[[#This Row],[h1]],8))</f>
        <v>0</v>
      </c>
      <c r="Q1729" s="54" t="s">
        <v>149</v>
      </c>
      <c r="R1729" s="54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4" t="s">
        <v>149</v>
      </c>
      <c r="P1730" s="54">
        <f>HEX2DEC(RIGHT(Table132321432[[#This Row],[h1]],8))</f>
        <v>0</v>
      </c>
      <c r="Q1730" s="54" t="s">
        <v>149</v>
      </c>
      <c r="R1730" s="54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4" t="s">
        <v>149</v>
      </c>
      <c r="P1731" s="54">
        <f>HEX2DEC(RIGHT(Table132321432[[#This Row],[h1]],8))</f>
        <v>0</v>
      </c>
      <c r="Q1731" s="54" t="s">
        <v>149</v>
      </c>
      <c r="R1731" s="54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4" t="s">
        <v>149</v>
      </c>
      <c r="P1732" s="54">
        <f>HEX2DEC(RIGHT(Table132321432[[#This Row],[h1]],8))</f>
        <v>0</v>
      </c>
      <c r="Q1732" s="54" t="s">
        <v>149</v>
      </c>
      <c r="R1732" s="54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4" t="s">
        <v>149</v>
      </c>
      <c r="P1733" s="54">
        <f>HEX2DEC(RIGHT(Table132321432[[#This Row],[h1]],8))</f>
        <v>0</v>
      </c>
      <c r="Q1733" s="54" t="s">
        <v>149</v>
      </c>
      <c r="R1733" s="54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4" t="s">
        <v>149</v>
      </c>
      <c r="P1734" s="54">
        <f>HEX2DEC(RIGHT(Table132321432[[#This Row],[h1]],8))</f>
        <v>0</v>
      </c>
      <c r="Q1734" s="54" t="s">
        <v>149</v>
      </c>
      <c r="R1734" s="54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4" t="s">
        <v>149</v>
      </c>
      <c r="P1735" s="54">
        <f>HEX2DEC(RIGHT(Table132321432[[#This Row],[h1]],8))</f>
        <v>0</v>
      </c>
      <c r="Q1735" s="54" t="s">
        <v>149</v>
      </c>
      <c r="R1735" s="54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4" t="s">
        <v>149</v>
      </c>
      <c r="P1736" s="54">
        <f>HEX2DEC(RIGHT(Table132321432[[#This Row],[h1]],8))</f>
        <v>0</v>
      </c>
      <c r="Q1736" s="54" t="s">
        <v>149</v>
      </c>
      <c r="R1736" s="54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4" t="s">
        <v>149</v>
      </c>
      <c r="P1737" s="54">
        <f>HEX2DEC(RIGHT(Table132321432[[#This Row],[h1]],8))</f>
        <v>0</v>
      </c>
      <c r="Q1737" s="54" t="s">
        <v>149</v>
      </c>
      <c r="R1737" s="54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4" t="s">
        <v>149</v>
      </c>
      <c r="P1738" s="54">
        <f>HEX2DEC(RIGHT(Table132321432[[#This Row],[h1]],8))</f>
        <v>0</v>
      </c>
      <c r="Q1738" s="54" t="s">
        <v>149</v>
      </c>
      <c r="R1738" s="54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4" t="s">
        <v>149</v>
      </c>
      <c r="P1739" s="54">
        <f>HEX2DEC(RIGHT(Table132321432[[#This Row],[h1]],8))</f>
        <v>0</v>
      </c>
      <c r="Q1739" s="54" t="s">
        <v>149</v>
      </c>
      <c r="R1739" s="54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4" t="s">
        <v>149</v>
      </c>
      <c r="P1740" s="54">
        <f>HEX2DEC(RIGHT(Table132321432[[#This Row],[h1]],8))</f>
        <v>0</v>
      </c>
      <c r="Q1740" s="54" t="s">
        <v>149</v>
      </c>
      <c r="R1740" s="54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4" t="s">
        <v>149</v>
      </c>
      <c r="P1741" s="54">
        <f>HEX2DEC(RIGHT(Table132321432[[#This Row],[h1]],8))</f>
        <v>0</v>
      </c>
      <c r="Q1741" s="54" t="s">
        <v>149</v>
      </c>
      <c r="R1741" s="54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4" t="s">
        <v>149</v>
      </c>
      <c r="P1742" s="54">
        <f>HEX2DEC(RIGHT(Table132321432[[#This Row],[h1]],8))</f>
        <v>0</v>
      </c>
      <c r="Q1742" s="54" t="s">
        <v>149</v>
      </c>
      <c r="R1742" s="54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4" t="s">
        <v>149</v>
      </c>
      <c r="P1743" s="54">
        <f>HEX2DEC(RIGHT(Table132321432[[#This Row],[h1]],8))</f>
        <v>0</v>
      </c>
      <c r="Q1743" s="54" t="s">
        <v>149</v>
      </c>
      <c r="R1743" s="54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4" t="s">
        <v>149</v>
      </c>
      <c r="P1744" s="54">
        <f>HEX2DEC(RIGHT(Table132321432[[#This Row],[h1]],8))</f>
        <v>0</v>
      </c>
      <c r="Q1744" s="54" t="s">
        <v>149</v>
      </c>
      <c r="R1744" s="54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4" t="s">
        <v>149</v>
      </c>
      <c r="P1745" s="54">
        <f>HEX2DEC(RIGHT(Table132321432[[#This Row],[h1]],8))</f>
        <v>0</v>
      </c>
      <c r="Q1745" s="54" t="s">
        <v>149</v>
      </c>
      <c r="R1745" s="54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4" t="s">
        <v>149</v>
      </c>
      <c r="P1746" s="54">
        <f>HEX2DEC(RIGHT(Table132321432[[#This Row],[h1]],8))</f>
        <v>0</v>
      </c>
      <c r="Q1746" s="54" t="s">
        <v>149</v>
      </c>
      <c r="R1746" s="54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4" t="s">
        <v>149</v>
      </c>
      <c r="P1747" s="54">
        <f>HEX2DEC(RIGHT(Table132321432[[#This Row],[h1]],8))</f>
        <v>0</v>
      </c>
      <c r="Q1747" s="54" t="s">
        <v>149</v>
      </c>
      <c r="R1747" s="54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4" t="s">
        <v>149</v>
      </c>
      <c r="P1748" s="54">
        <f>HEX2DEC(RIGHT(Table132321432[[#This Row],[h1]],8))</f>
        <v>0</v>
      </c>
      <c r="Q1748" s="54" t="s">
        <v>149</v>
      </c>
      <c r="R1748" s="54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4" t="s">
        <v>149</v>
      </c>
      <c r="P1749" s="54">
        <f>HEX2DEC(RIGHT(Table132321432[[#This Row],[h1]],8))</f>
        <v>0</v>
      </c>
      <c r="Q1749" s="54" t="s">
        <v>149</v>
      </c>
      <c r="R1749" s="54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4" t="s">
        <v>149</v>
      </c>
      <c r="P1750" s="54">
        <f>HEX2DEC(RIGHT(Table132321432[[#This Row],[h1]],8))</f>
        <v>0</v>
      </c>
      <c r="Q1750" s="54" t="s">
        <v>149</v>
      </c>
      <c r="R1750" s="54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4" t="s">
        <v>149</v>
      </c>
      <c r="P1751" s="54">
        <f>HEX2DEC(RIGHT(Table132321432[[#This Row],[h1]],8))</f>
        <v>0</v>
      </c>
      <c r="Q1751" s="54" t="s">
        <v>149</v>
      </c>
      <c r="R1751" s="54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4" t="s">
        <v>149</v>
      </c>
      <c r="P1752" s="54">
        <f>HEX2DEC(RIGHT(Table132321432[[#This Row],[h1]],8))</f>
        <v>0</v>
      </c>
      <c r="Q1752" s="54" t="s">
        <v>149</v>
      </c>
      <c r="R1752" s="54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4" t="s">
        <v>149</v>
      </c>
      <c r="P1753" s="54">
        <f>HEX2DEC(RIGHT(Table132321432[[#This Row],[h1]],8))</f>
        <v>0</v>
      </c>
      <c r="Q1753" s="54" t="s">
        <v>149</v>
      </c>
      <c r="R1753" s="54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4" t="s">
        <v>149</v>
      </c>
      <c r="P1754" s="54">
        <f>HEX2DEC(RIGHT(Table132321432[[#This Row],[h1]],8))</f>
        <v>0</v>
      </c>
      <c r="Q1754" s="54" t="s">
        <v>149</v>
      </c>
      <c r="R1754" s="54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4" t="s">
        <v>149</v>
      </c>
      <c r="P1755" s="54">
        <f>HEX2DEC(RIGHT(Table132321432[[#This Row],[h1]],8))</f>
        <v>0</v>
      </c>
      <c r="Q1755" s="54" t="s">
        <v>149</v>
      </c>
      <c r="R1755" s="54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4" t="s">
        <v>149</v>
      </c>
      <c r="P1756" s="54">
        <f>HEX2DEC(RIGHT(Table132321432[[#This Row],[h1]],8))</f>
        <v>0</v>
      </c>
      <c r="Q1756" s="54" t="s">
        <v>149</v>
      </c>
      <c r="R1756" s="54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4" t="s">
        <v>149</v>
      </c>
      <c r="P1757" s="54">
        <f>HEX2DEC(RIGHT(Table132321432[[#This Row],[h1]],8))</f>
        <v>0</v>
      </c>
      <c r="Q1757" s="54" t="s">
        <v>149</v>
      </c>
      <c r="R1757" s="54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4" t="s">
        <v>149</v>
      </c>
      <c r="P1758" s="54">
        <f>HEX2DEC(RIGHT(Table132321432[[#This Row],[h1]],8))</f>
        <v>0</v>
      </c>
      <c r="Q1758" s="54" t="s">
        <v>149</v>
      </c>
      <c r="R1758" s="54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4" t="s">
        <v>149</v>
      </c>
      <c r="P1759" s="54">
        <f>HEX2DEC(RIGHT(Table132321432[[#This Row],[h1]],8))</f>
        <v>0</v>
      </c>
      <c r="Q1759" s="54" t="s">
        <v>149</v>
      </c>
      <c r="R1759" s="54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4" t="s">
        <v>149</v>
      </c>
      <c r="P1760" s="54">
        <f>HEX2DEC(RIGHT(Table132321432[[#This Row],[h1]],8))</f>
        <v>0</v>
      </c>
      <c r="Q1760" s="54" t="s">
        <v>149</v>
      </c>
      <c r="R1760" s="54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4" t="s">
        <v>149</v>
      </c>
      <c r="P1761" s="54">
        <f>HEX2DEC(RIGHT(Table132321432[[#This Row],[h1]],8))</f>
        <v>0</v>
      </c>
      <c r="Q1761" s="54" t="s">
        <v>149</v>
      </c>
      <c r="R1761" s="54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4" t="s">
        <v>149</v>
      </c>
      <c r="P1762" s="54">
        <f>HEX2DEC(RIGHT(Table132321432[[#This Row],[h1]],8))</f>
        <v>0</v>
      </c>
      <c r="Q1762" s="54" t="s">
        <v>149</v>
      </c>
      <c r="R1762" s="54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4" t="s">
        <v>149</v>
      </c>
      <c r="P1763" s="54">
        <f>HEX2DEC(RIGHT(Table132321432[[#This Row],[h1]],8))</f>
        <v>0</v>
      </c>
      <c r="Q1763" s="54" t="s">
        <v>149</v>
      </c>
      <c r="R1763" s="54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4" t="s">
        <v>149</v>
      </c>
      <c r="P1764" s="54">
        <f>HEX2DEC(RIGHT(Table132321432[[#This Row],[h1]],8))</f>
        <v>0</v>
      </c>
      <c r="Q1764" s="54" t="s">
        <v>149</v>
      </c>
      <c r="R1764" s="54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4" t="s">
        <v>149</v>
      </c>
      <c r="P1765" s="54">
        <f>HEX2DEC(RIGHT(Table132321432[[#This Row],[h1]],8))</f>
        <v>0</v>
      </c>
      <c r="Q1765" s="54" t="s">
        <v>149</v>
      </c>
      <c r="R1765" s="54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4" t="s">
        <v>149</v>
      </c>
      <c r="P1766" s="54">
        <f>HEX2DEC(RIGHT(Table132321432[[#This Row],[h1]],8))</f>
        <v>0</v>
      </c>
      <c r="Q1766" s="54" t="s">
        <v>149</v>
      </c>
      <c r="R1766" s="54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4" t="s">
        <v>149</v>
      </c>
      <c r="P1767" s="54">
        <f>HEX2DEC(RIGHT(Table132321432[[#This Row],[h1]],8))</f>
        <v>0</v>
      </c>
      <c r="Q1767" s="54" t="s">
        <v>149</v>
      </c>
      <c r="R1767" s="54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4" t="s">
        <v>149</v>
      </c>
      <c r="P1768" s="54">
        <f>HEX2DEC(RIGHT(Table132321432[[#This Row],[h1]],8))</f>
        <v>0</v>
      </c>
      <c r="Q1768" s="54" t="s">
        <v>149</v>
      </c>
      <c r="R1768" s="54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4" t="s">
        <v>149</v>
      </c>
      <c r="P1769" s="54">
        <f>HEX2DEC(RIGHT(Table132321432[[#This Row],[h1]],8))</f>
        <v>0</v>
      </c>
      <c r="Q1769" s="54" t="s">
        <v>149</v>
      </c>
      <c r="R1769" s="54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4" t="s">
        <v>149</v>
      </c>
      <c r="P1770" s="54">
        <f>HEX2DEC(RIGHT(Table132321432[[#This Row],[h1]],8))</f>
        <v>0</v>
      </c>
      <c r="Q1770" s="54" t="s">
        <v>149</v>
      </c>
      <c r="R1770" s="54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4" t="s">
        <v>149</v>
      </c>
      <c r="P1771" s="54">
        <f>HEX2DEC(RIGHT(Table132321432[[#This Row],[h1]],8))</f>
        <v>0</v>
      </c>
      <c r="Q1771" s="54" t="s">
        <v>149</v>
      </c>
      <c r="R1771" s="54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4" t="s">
        <v>149</v>
      </c>
      <c r="P1772" s="54">
        <f>HEX2DEC(RIGHT(Table132321432[[#This Row],[h1]],8))</f>
        <v>0</v>
      </c>
      <c r="Q1772" s="54" t="s">
        <v>149</v>
      </c>
      <c r="R1772" s="54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4" t="s">
        <v>149</v>
      </c>
      <c r="P1773" s="54">
        <f>HEX2DEC(RIGHT(Table132321432[[#This Row],[h1]],8))</f>
        <v>0</v>
      </c>
      <c r="Q1773" s="54" t="s">
        <v>149</v>
      </c>
      <c r="R1773" s="54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4" t="s">
        <v>149</v>
      </c>
      <c r="P1774" s="54">
        <f>HEX2DEC(RIGHT(Table132321432[[#This Row],[h1]],8))</f>
        <v>0</v>
      </c>
      <c r="Q1774" s="54" t="s">
        <v>149</v>
      </c>
      <c r="R1774" s="54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4" t="s">
        <v>149</v>
      </c>
      <c r="P1775" s="54">
        <f>HEX2DEC(RIGHT(Table132321432[[#This Row],[h1]],8))</f>
        <v>0</v>
      </c>
      <c r="Q1775" s="54" t="s">
        <v>149</v>
      </c>
      <c r="R1775" s="54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4" t="s">
        <v>149</v>
      </c>
      <c r="P1776" s="54">
        <f>HEX2DEC(RIGHT(Table132321432[[#This Row],[h1]],8))</f>
        <v>0</v>
      </c>
      <c r="Q1776" s="54" t="s">
        <v>149</v>
      </c>
      <c r="R1776" s="54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4" t="s">
        <v>149</v>
      </c>
      <c r="P1777" s="54">
        <f>HEX2DEC(RIGHT(Table132321432[[#This Row],[h1]],8))</f>
        <v>0</v>
      </c>
      <c r="Q1777" s="54" t="s">
        <v>149</v>
      </c>
      <c r="R1777" s="54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4" t="s">
        <v>149</v>
      </c>
      <c r="P1778" s="54">
        <f>HEX2DEC(RIGHT(Table132321432[[#This Row],[h1]],8))</f>
        <v>0</v>
      </c>
      <c r="Q1778" s="54" t="s">
        <v>149</v>
      </c>
      <c r="R1778" s="54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4" t="s">
        <v>149</v>
      </c>
      <c r="P1779" s="54">
        <f>HEX2DEC(RIGHT(Table132321432[[#This Row],[h1]],8))</f>
        <v>0</v>
      </c>
      <c r="Q1779" s="54" t="s">
        <v>149</v>
      </c>
      <c r="R1779" s="54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4" t="s">
        <v>149</v>
      </c>
      <c r="P1780" s="54">
        <f>HEX2DEC(RIGHT(Table132321432[[#This Row],[h1]],8))</f>
        <v>0</v>
      </c>
      <c r="Q1780" s="54" t="s">
        <v>149</v>
      </c>
      <c r="R1780" s="54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4" t="s">
        <v>149</v>
      </c>
      <c r="P1781" s="54">
        <f>HEX2DEC(RIGHT(Table132321432[[#This Row],[h1]],8))</f>
        <v>0</v>
      </c>
      <c r="Q1781" s="54" t="s">
        <v>149</v>
      </c>
      <c r="R1781" s="54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4" t="s">
        <v>149</v>
      </c>
      <c r="P1782" s="54">
        <f>HEX2DEC(RIGHT(Table132321432[[#This Row],[h1]],8))</f>
        <v>0</v>
      </c>
      <c r="Q1782" s="54" t="s">
        <v>149</v>
      </c>
      <c r="R1782" s="54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4" t="s">
        <v>149</v>
      </c>
      <c r="P1783" s="54">
        <f>HEX2DEC(RIGHT(Table132321432[[#This Row],[h1]],8))</f>
        <v>0</v>
      </c>
      <c r="Q1783" s="54" t="s">
        <v>149</v>
      </c>
      <c r="R1783" s="54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4" t="s">
        <v>149</v>
      </c>
      <c r="P1784" s="54">
        <f>HEX2DEC(RIGHT(Table132321432[[#This Row],[h1]],8))</f>
        <v>0</v>
      </c>
      <c r="Q1784" s="54" t="s">
        <v>149</v>
      </c>
      <c r="R1784" s="54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4" t="s">
        <v>149</v>
      </c>
      <c r="P1785" s="54">
        <f>HEX2DEC(RIGHT(Table132321432[[#This Row],[h1]],8))</f>
        <v>0</v>
      </c>
      <c r="Q1785" s="54" t="s">
        <v>149</v>
      </c>
      <c r="R1785" s="54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4" t="s">
        <v>149</v>
      </c>
      <c r="P1786" s="54">
        <f>HEX2DEC(RIGHT(Table132321432[[#This Row],[h1]],8))</f>
        <v>0</v>
      </c>
      <c r="Q1786" s="54" t="s">
        <v>149</v>
      </c>
      <c r="R1786" s="54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4" t="s">
        <v>149</v>
      </c>
      <c r="P1787" s="54">
        <f>HEX2DEC(RIGHT(Table132321432[[#This Row],[h1]],8))</f>
        <v>0</v>
      </c>
      <c r="Q1787" s="54" t="s">
        <v>149</v>
      </c>
      <c r="R1787" s="54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4" t="s">
        <v>149</v>
      </c>
      <c r="P1788" s="54">
        <f>HEX2DEC(RIGHT(Table132321432[[#This Row],[h1]],8))</f>
        <v>0</v>
      </c>
      <c r="Q1788" s="54" t="s">
        <v>149</v>
      </c>
      <c r="R1788" s="54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4" t="s">
        <v>149</v>
      </c>
      <c r="P1789" s="54">
        <f>HEX2DEC(RIGHT(Table132321432[[#This Row],[h1]],8))</f>
        <v>0</v>
      </c>
      <c r="Q1789" s="54" t="s">
        <v>149</v>
      </c>
      <c r="R1789" s="54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4" t="s">
        <v>149</v>
      </c>
      <c r="P1790" s="54">
        <f>HEX2DEC(RIGHT(Table132321432[[#This Row],[h1]],8))</f>
        <v>0</v>
      </c>
      <c r="Q1790" s="54" t="s">
        <v>149</v>
      </c>
      <c r="R1790" s="54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4" t="s">
        <v>149</v>
      </c>
      <c r="P1791" s="54">
        <f>HEX2DEC(RIGHT(Table132321432[[#This Row],[h1]],8))</f>
        <v>0</v>
      </c>
      <c r="Q1791" s="54" t="s">
        <v>149</v>
      </c>
      <c r="R1791" s="54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4" t="s">
        <v>149</v>
      </c>
      <c r="P1792" s="54">
        <f>HEX2DEC(RIGHT(Table132321432[[#This Row],[h1]],8))</f>
        <v>0</v>
      </c>
      <c r="Q1792" s="54" t="s">
        <v>149</v>
      </c>
      <c r="R1792" s="54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4" t="s">
        <v>149</v>
      </c>
      <c r="P1793" s="54">
        <f>HEX2DEC(RIGHT(Table132321432[[#This Row],[h1]],8))</f>
        <v>0</v>
      </c>
      <c r="Q1793" s="54" t="s">
        <v>149</v>
      </c>
      <c r="R1793" s="54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4" t="s">
        <v>149</v>
      </c>
      <c r="P1794" s="54">
        <f>HEX2DEC(RIGHT(Table132321432[[#This Row],[h1]],8))</f>
        <v>0</v>
      </c>
      <c r="Q1794" s="54" t="s">
        <v>149</v>
      </c>
      <c r="R1794" s="54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4" t="s">
        <v>149</v>
      </c>
      <c r="P1795" s="54">
        <f>HEX2DEC(RIGHT(Table132321432[[#This Row],[h1]],8))</f>
        <v>0</v>
      </c>
      <c r="Q1795" s="54" t="s">
        <v>149</v>
      </c>
      <c r="R1795" s="54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4" t="s">
        <v>149</v>
      </c>
      <c r="P1796" s="54">
        <f>HEX2DEC(RIGHT(Table132321432[[#This Row],[h1]],8))</f>
        <v>0</v>
      </c>
      <c r="Q1796" s="54" t="s">
        <v>149</v>
      </c>
      <c r="R1796" s="54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4" t="s">
        <v>149</v>
      </c>
      <c r="P1797" s="54">
        <f>HEX2DEC(RIGHT(Table132321432[[#This Row],[h1]],8))</f>
        <v>0</v>
      </c>
      <c r="Q1797" s="54" t="s">
        <v>149</v>
      </c>
      <c r="R1797" s="54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4" t="s">
        <v>149</v>
      </c>
      <c r="P1798" s="54">
        <f>HEX2DEC(RIGHT(Table132321432[[#This Row],[h1]],8))</f>
        <v>0</v>
      </c>
      <c r="Q1798" s="54" t="s">
        <v>149</v>
      </c>
      <c r="R1798" s="54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4" t="s">
        <v>149</v>
      </c>
      <c r="P1799" s="54">
        <f>HEX2DEC(RIGHT(Table132321432[[#This Row],[h1]],8))</f>
        <v>0</v>
      </c>
      <c r="Q1799" s="54" t="s">
        <v>149</v>
      </c>
      <c r="R1799" s="54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4" t="s">
        <v>149</v>
      </c>
      <c r="P1800" s="54">
        <f>HEX2DEC(RIGHT(Table132321432[[#This Row],[h1]],8))</f>
        <v>0</v>
      </c>
      <c r="Q1800" s="54" t="s">
        <v>149</v>
      </c>
      <c r="R1800" s="54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4" t="s">
        <v>149</v>
      </c>
      <c r="P1801" s="54">
        <f>HEX2DEC(RIGHT(Table132321432[[#This Row],[h1]],8))</f>
        <v>0</v>
      </c>
      <c r="Q1801" s="54" t="s">
        <v>149</v>
      </c>
      <c r="R1801" s="54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4" t="s">
        <v>149</v>
      </c>
      <c r="P1802" s="54">
        <f>HEX2DEC(RIGHT(Table132321432[[#This Row],[h1]],8))</f>
        <v>0</v>
      </c>
      <c r="Q1802" s="54" t="s">
        <v>149</v>
      </c>
      <c r="R1802" s="54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4" t="s">
        <v>149</v>
      </c>
      <c r="P1803" s="54">
        <f>HEX2DEC(RIGHT(Table132321432[[#This Row],[h1]],8))</f>
        <v>0</v>
      </c>
      <c r="Q1803" s="54" t="s">
        <v>149</v>
      </c>
      <c r="R1803" s="54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4" t="s">
        <v>149</v>
      </c>
      <c r="P1804" s="54">
        <f>HEX2DEC(RIGHT(Table132321432[[#This Row],[h1]],8))</f>
        <v>0</v>
      </c>
      <c r="Q1804" s="54" t="s">
        <v>149</v>
      </c>
      <c r="R1804" s="54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4" t="s">
        <v>149</v>
      </c>
      <c r="P1805" s="54">
        <f>HEX2DEC(RIGHT(Table132321432[[#This Row],[h1]],8))</f>
        <v>0</v>
      </c>
      <c r="Q1805" s="54" t="s">
        <v>149</v>
      </c>
      <c r="R1805" s="54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4" t="s">
        <v>149</v>
      </c>
      <c r="P1806" s="54">
        <f>HEX2DEC(RIGHT(Table132321432[[#This Row],[h1]],8))</f>
        <v>0</v>
      </c>
      <c r="Q1806" s="54" t="s">
        <v>149</v>
      </c>
      <c r="R1806" s="54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4" t="s">
        <v>149</v>
      </c>
      <c r="P1807" s="54">
        <f>HEX2DEC(RIGHT(Table132321432[[#This Row],[h1]],8))</f>
        <v>0</v>
      </c>
      <c r="Q1807" s="54" t="s">
        <v>149</v>
      </c>
      <c r="R1807" s="54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4" t="s">
        <v>149</v>
      </c>
      <c r="P1808" s="54">
        <f>HEX2DEC(RIGHT(Table132321432[[#This Row],[h1]],8))</f>
        <v>0</v>
      </c>
      <c r="Q1808" s="54" t="s">
        <v>149</v>
      </c>
      <c r="R1808" s="54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4" t="s">
        <v>149</v>
      </c>
      <c r="P1809" s="54">
        <f>HEX2DEC(RIGHT(Table132321432[[#This Row],[h1]],8))</f>
        <v>0</v>
      </c>
      <c r="Q1809" s="54" t="s">
        <v>149</v>
      </c>
      <c r="R1809" s="54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4" t="s">
        <v>149</v>
      </c>
      <c r="P1810" s="54">
        <f>HEX2DEC(RIGHT(Table132321432[[#This Row],[h1]],8))</f>
        <v>0</v>
      </c>
      <c r="Q1810" s="54" t="s">
        <v>149</v>
      </c>
      <c r="R1810" s="54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4" t="s">
        <v>149</v>
      </c>
      <c r="P1811" s="54">
        <f>HEX2DEC(RIGHT(Table132321432[[#This Row],[h1]],8))</f>
        <v>0</v>
      </c>
      <c r="Q1811" s="54" t="s">
        <v>149</v>
      </c>
      <c r="R1811" s="54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4" t="s">
        <v>149</v>
      </c>
      <c r="P1812" s="54">
        <f>HEX2DEC(RIGHT(Table132321432[[#This Row],[h1]],8))</f>
        <v>0</v>
      </c>
      <c r="Q1812" s="54" t="s">
        <v>149</v>
      </c>
      <c r="R1812" s="54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4" t="s">
        <v>149</v>
      </c>
      <c r="P1813" s="54">
        <f>HEX2DEC(RIGHT(Table132321432[[#This Row],[h1]],8))</f>
        <v>0</v>
      </c>
      <c r="Q1813" s="54" t="s">
        <v>149</v>
      </c>
      <c r="R1813" s="54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4" t="s">
        <v>149</v>
      </c>
      <c r="P1814" s="54">
        <f>HEX2DEC(RIGHT(Table132321432[[#This Row],[h1]],8))</f>
        <v>0</v>
      </c>
      <c r="Q1814" s="54" t="s">
        <v>149</v>
      </c>
      <c r="R1814" s="54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4" t="s">
        <v>149</v>
      </c>
      <c r="P1815" s="54">
        <f>HEX2DEC(RIGHT(Table132321432[[#This Row],[h1]],8))</f>
        <v>0</v>
      </c>
      <c r="Q1815" s="54" t="s">
        <v>149</v>
      </c>
      <c r="R1815" s="54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4" t="s">
        <v>149</v>
      </c>
      <c r="P1816" s="54">
        <f>HEX2DEC(RIGHT(Table132321432[[#This Row],[h1]],8))</f>
        <v>0</v>
      </c>
      <c r="Q1816" s="54" t="s">
        <v>149</v>
      </c>
      <c r="R1816" s="54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4" t="s">
        <v>149</v>
      </c>
      <c r="P1817" s="54">
        <f>HEX2DEC(RIGHT(Table132321432[[#This Row],[h1]],8))</f>
        <v>0</v>
      </c>
      <c r="Q1817" s="54" t="s">
        <v>149</v>
      </c>
      <c r="R1817" s="54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4" t="s">
        <v>149</v>
      </c>
      <c r="P1818" s="54">
        <f>HEX2DEC(RIGHT(Table132321432[[#This Row],[h1]],8))</f>
        <v>0</v>
      </c>
      <c r="Q1818" s="54" t="s">
        <v>149</v>
      </c>
      <c r="R1818" s="54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4" t="s">
        <v>149</v>
      </c>
      <c r="P1819" s="54">
        <f>HEX2DEC(RIGHT(Table132321432[[#This Row],[h1]],8))</f>
        <v>0</v>
      </c>
      <c r="Q1819" s="54" t="s">
        <v>149</v>
      </c>
      <c r="R1819" s="54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4" t="s">
        <v>149</v>
      </c>
      <c r="P1820" s="54">
        <f>HEX2DEC(RIGHT(Table132321432[[#This Row],[h1]],8))</f>
        <v>0</v>
      </c>
      <c r="Q1820" s="54" t="s">
        <v>149</v>
      </c>
      <c r="R1820" s="54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4" t="s">
        <v>149</v>
      </c>
      <c r="P1821" s="54">
        <f>HEX2DEC(RIGHT(Table132321432[[#This Row],[h1]],8))</f>
        <v>0</v>
      </c>
      <c r="Q1821" s="54" t="s">
        <v>149</v>
      </c>
      <c r="R1821" s="54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4" t="s">
        <v>149</v>
      </c>
      <c r="P1822" s="54">
        <f>HEX2DEC(RIGHT(Table132321432[[#This Row],[h1]],8))</f>
        <v>0</v>
      </c>
      <c r="Q1822" s="54" t="s">
        <v>149</v>
      </c>
      <c r="R1822" s="54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4" t="s">
        <v>149</v>
      </c>
      <c r="P1823" s="54">
        <f>HEX2DEC(RIGHT(Table132321432[[#This Row],[h1]],8))</f>
        <v>0</v>
      </c>
      <c r="Q1823" s="54" t="s">
        <v>149</v>
      </c>
      <c r="R1823" s="54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4" t="s">
        <v>149</v>
      </c>
      <c r="P1824" s="54">
        <f>HEX2DEC(RIGHT(Table132321432[[#This Row],[h1]],8))</f>
        <v>0</v>
      </c>
      <c r="Q1824" s="54" t="s">
        <v>149</v>
      </c>
      <c r="R1824" s="54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4" t="s">
        <v>149</v>
      </c>
      <c r="P1825" s="54">
        <f>HEX2DEC(RIGHT(Table132321432[[#This Row],[h1]],8))</f>
        <v>0</v>
      </c>
      <c r="Q1825" s="54" t="s">
        <v>149</v>
      </c>
      <c r="R1825" s="54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4" t="s">
        <v>149</v>
      </c>
      <c r="P1826" s="54">
        <f>HEX2DEC(RIGHT(Table132321432[[#This Row],[h1]],8))</f>
        <v>0</v>
      </c>
      <c r="Q1826" s="54" t="s">
        <v>149</v>
      </c>
      <c r="R1826" s="54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4" t="s">
        <v>149</v>
      </c>
      <c r="P1827" s="54">
        <f>HEX2DEC(RIGHT(Table132321432[[#This Row],[h1]],8))</f>
        <v>0</v>
      </c>
      <c r="Q1827" s="54" t="s">
        <v>149</v>
      </c>
      <c r="R1827" s="54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4" t="s">
        <v>149</v>
      </c>
      <c r="P1828" s="54">
        <f>HEX2DEC(RIGHT(Table132321432[[#This Row],[h1]],8))</f>
        <v>0</v>
      </c>
      <c r="Q1828" s="54" t="s">
        <v>149</v>
      </c>
      <c r="R1828" s="54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4" t="s">
        <v>149</v>
      </c>
      <c r="P1829" s="54">
        <f>HEX2DEC(RIGHT(Table132321432[[#This Row],[h1]],8))</f>
        <v>0</v>
      </c>
      <c r="Q1829" s="54" t="s">
        <v>149</v>
      </c>
      <c r="R1829" s="54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4" t="s">
        <v>149</v>
      </c>
      <c r="P1830" s="54">
        <f>HEX2DEC(RIGHT(Table132321432[[#This Row],[h1]],8))</f>
        <v>0</v>
      </c>
      <c r="Q1830" s="54" t="s">
        <v>149</v>
      </c>
      <c r="R1830" s="54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4" t="s">
        <v>149</v>
      </c>
      <c r="P1831" s="54">
        <f>HEX2DEC(RIGHT(Table132321432[[#This Row],[h1]],8))</f>
        <v>0</v>
      </c>
      <c r="Q1831" s="54" t="s">
        <v>149</v>
      </c>
      <c r="R1831" s="54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4" t="s">
        <v>149</v>
      </c>
      <c r="P1832" s="54">
        <f>HEX2DEC(RIGHT(Table132321432[[#This Row],[h1]],8))</f>
        <v>0</v>
      </c>
      <c r="Q1832" s="54" t="s">
        <v>149</v>
      </c>
      <c r="R1832" s="54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4" t="s">
        <v>149</v>
      </c>
      <c r="P1833" s="54">
        <f>HEX2DEC(RIGHT(Table132321432[[#This Row],[h1]],8))</f>
        <v>0</v>
      </c>
      <c r="Q1833" s="54" t="s">
        <v>149</v>
      </c>
      <c r="R1833" s="54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4" t="s">
        <v>149</v>
      </c>
      <c r="P1834" s="54">
        <f>HEX2DEC(RIGHT(Table132321432[[#This Row],[h1]],8))</f>
        <v>0</v>
      </c>
      <c r="Q1834" s="54" t="s">
        <v>149</v>
      </c>
      <c r="R1834" s="54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4" t="s">
        <v>149</v>
      </c>
      <c r="P1835" s="54">
        <f>HEX2DEC(RIGHT(Table132321432[[#This Row],[h1]],8))</f>
        <v>0</v>
      </c>
      <c r="Q1835" s="54" t="s">
        <v>149</v>
      </c>
      <c r="R1835" s="54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4" t="s">
        <v>149</v>
      </c>
      <c r="P1836" s="54">
        <f>HEX2DEC(RIGHT(Table132321432[[#This Row],[h1]],8))</f>
        <v>0</v>
      </c>
      <c r="Q1836" s="54" t="s">
        <v>149</v>
      </c>
      <c r="R1836" s="54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4" t="s">
        <v>149</v>
      </c>
      <c r="P1837" s="54">
        <f>HEX2DEC(RIGHT(Table132321432[[#This Row],[h1]],8))</f>
        <v>0</v>
      </c>
      <c r="Q1837" s="54" t="s">
        <v>149</v>
      </c>
      <c r="R1837" s="54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4" t="s">
        <v>149</v>
      </c>
      <c r="P1838" s="54">
        <f>HEX2DEC(RIGHT(Table132321432[[#This Row],[h1]],8))</f>
        <v>0</v>
      </c>
      <c r="Q1838" s="54" t="s">
        <v>149</v>
      </c>
      <c r="R1838" s="54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4" t="s">
        <v>149</v>
      </c>
      <c r="P1839" s="54">
        <f>HEX2DEC(RIGHT(Table132321432[[#This Row],[h1]],8))</f>
        <v>0</v>
      </c>
      <c r="Q1839" s="54" t="s">
        <v>149</v>
      </c>
      <c r="R1839" s="54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4" t="s">
        <v>149</v>
      </c>
      <c r="P1840" s="54">
        <f>HEX2DEC(RIGHT(Table132321432[[#This Row],[h1]],8))</f>
        <v>0</v>
      </c>
      <c r="Q1840" s="54" t="s">
        <v>149</v>
      </c>
      <c r="R1840" s="54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4" t="s">
        <v>149</v>
      </c>
      <c r="P1841" s="54">
        <f>HEX2DEC(RIGHT(Table132321432[[#This Row],[h1]],8))</f>
        <v>0</v>
      </c>
      <c r="Q1841" s="54" t="s">
        <v>149</v>
      </c>
      <c r="R1841" s="54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4" t="s">
        <v>149</v>
      </c>
      <c r="P1842" s="54">
        <f>HEX2DEC(RIGHT(Table132321432[[#This Row],[h1]],8))</f>
        <v>0</v>
      </c>
      <c r="Q1842" s="54" t="s">
        <v>149</v>
      </c>
      <c r="R1842" s="54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4" t="s">
        <v>149</v>
      </c>
      <c r="P1843" s="54">
        <f>HEX2DEC(RIGHT(Table132321432[[#This Row],[h1]],8))</f>
        <v>0</v>
      </c>
      <c r="Q1843" s="54" t="s">
        <v>149</v>
      </c>
      <c r="R1843" s="54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4" t="s">
        <v>149</v>
      </c>
      <c r="P1844" s="54">
        <f>HEX2DEC(RIGHT(Table132321432[[#This Row],[h1]],8))</f>
        <v>0</v>
      </c>
      <c r="Q1844" s="54" t="s">
        <v>149</v>
      </c>
      <c r="R1844" s="54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4" t="s">
        <v>149</v>
      </c>
      <c r="P1845" s="54">
        <f>HEX2DEC(RIGHT(Table132321432[[#This Row],[h1]],8))</f>
        <v>0</v>
      </c>
      <c r="Q1845" s="54" t="s">
        <v>149</v>
      </c>
      <c r="R1845" s="54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4" t="s">
        <v>149</v>
      </c>
      <c r="P1846" s="54">
        <f>HEX2DEC(RIGHT(Table132321432[[#This Row],[h1]],8))</f>
        <v>0</v>
      </c>
      <c r="Q1846" s="54" t="s">
        <v>149</v>
      </c>
      <c r="R1846" s="54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4" t="s">
        <v>149</v>
      </c>
      <c r="P1847" s="54">
        <f>HEX2DEC(RIGHT(Table132321432[[#This Row],[h1]],8))</f>
        <v>0</v>
      </c>
      <c r="Q1847" s="54" t="s">
        <v>149</v>
      </c>
      <c r="R1847" s="54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4" t="s">
        <v>149</v>
      </c>
      <c r="P1848" s="54">
        <f>HEX2DEC(RIGHT(Table132321432[[#This Row],[h1]],8))</f>
        <v>0</v>
      </c>
      <c r="Q1848" s="54" t="s">
        <v>149</v>
      </c>
      <c r="R1848" s="54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4" t="s">
        <v>149</v>
      </c>
      <c r="P1849" s="54">
        <f>HEX2DEC(RIGHT(Table132321432[[#This Row],[h1]],8))</f>
        <v>0</v>
      </c>
      <c r="Q1849" s="54" t="s">
        <v>149</v>
      </c>
      <c r="R1849" s="54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4" t="s">
        <v>149</v>
      </c>
      <c r="P1850" s="54">
        <f>HEX2DEC(RIGHT(Table132321432[[#This Row],[h1]],8))</f>
        <v>0</v>
      </c>
      <c r="Q1850" s="54" t="s">
        <v>149</v>
      </c>
      <c r="R1850" s="54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4" t="s">
        <v>149</v>
      </c>
      <c r="P1851" s="54">
        <f>HEX2DEC(RIGHT(Table132321432[[#This Row],[h1]],8))</f>
        <v>0</v>
      </c>
      <c r="Q1851" s="54" t="s">
        <v>149</v>
      </c>
      <c r="R1851" s="54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4" t="s">
        <v>149</v>
      </c>
      <c r="P1852" s="54">
        <f>HEX2DEC(RIGHT(Table132321432[[#This Row],[h1]],8))</f>
        <v>0</v>
      </c>
      <c r="Q1852" s="54" t="s">
        <v>149</v>
      </c>
      <c r="R1852" s="54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4" t="s">
        <v>149</v>
      </c>
      <c r="P1853" s="54">
        <f>HEX2DEC(RIGHT(Table132321432[[#This Row],[h1]],8))</f>
        <v>0</v>
      </c>
      <c r="Q1853" s="54" t="s">
        <v>149</v>
      </c>
      <c r="R1853" s="54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4" t="s">
        <v>149</v>
      </c>
      <c r="P1854" s="54">
        <f>HEX2DEC(RIGHT(Table132321432[[#This Row],[h1]],8))</f>
        <v>0</v>
      </c>
      <c r="Q1854" s="54" t="s">
        <v>149</v>
      </c>
      <c r="R1854" s="54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4" t="s">
        <v>149</v>
      </c>
      <c r="P1855" s="54">
        <f>HEX2DEC(RIGHT(Table132321432[[#This Row],[h1]],8))</f>
        <v>0</v>
      </c>
      <c r="Q1855" s="54" t="s">
        <v>149</v>
      </c>
      <c r="R1855" s="54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4" t="s">
        <v>149</v>
      </c>
      <c r="P1856" s="54">
        <f>HEX2DEC(RIGHT(Table132321432[[#This Row],[h1]],8))</f>
        <v>0</v>
      </c>
      <c r="Q1856" s="54" t="s">
        <v>149</v>
      </c>
      <c r="R1856" s="54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4" t="s">
        <v>149</v>
      </c>
      <c r="P1857" s="54">
        <f>HEX2DEC(RIGHT(Table132321432[[#This Row],[h1]],8))</f>
        <v>0</v>
      </c>
      <c r="Q1857" s="54" t="s">
        <v>149</v>
      </c>
      <c r="R1857" s="54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4" t="s">
        <v>149</v>
      </c>
      <c r="P1858" s="54">
        <f>HEX2DEC(RIGHT(Table132321432[[#This Row],[h1]],8))</f>
        <v>0</v>
      </c>
      <c r="Q1858" s="54" t="s">
        <v>149</v>
      </c>
      <c r="R1858" s="54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4" t="s">
        <v>149</v>
      </c>
      <c r="P1859" s="54">
        <f>HEX2DEC(RIGHT(Table132321432[[#This Row],[h1]],8))</f>
        <v>0</v>
      </c>
      <c r="Q1859" s="54" t="s">
        <v>149</v>
      </c>
      <c r="R1859" s="54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4" t="s">
        <v>149</v>
      </c>
      <c r="P1860" s="54">
        <f>HEX2DEC(RIGHT(Table132321432[[#This Row],[h1]],8))</f>
        <v>0</v>
      </c>
      <c r="Q1860" s="54" t="s">
        <v>149</v>
      </c>
      <c r="R1860" s="54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4" t="s">
        <v>149</v>
      </c>
      <c r="P1861" s="54">
        <f>HEX2DEC(RIGHT(Table132321432[[#This Row],[h1]],8))</f>
        <v>0</v>
      </c>
      <c r="Q1861" s="54" t="s">
        <v>149</v>
      </c>
      <c r="R1861" s="54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4" t="s">
        <v>149</v>
      </c>
      <c r="P1862" s="54">
        <f>HEX2DEC(RIGHT(Table132321432[[#This Row],[h1]],8))</f>
        <v>0</v>
      </c>
      <c r="Q1862" s="54" t="s">
        <v>149</v>
      </c>
      <c r="R1862" s="54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4" t="s">
        <v>149</v>
      </c>
      <c r="P1863" s="54">
        <f>HEX2DEC(RIGHT(Table132321432[[#This Row],[h1]],8))</f>
        <v>0</v>
      </c>
      <c r="Q1863" s="54" t="s">
        <v>149</v>
      </c>
      <c r="R1863" s="54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4" t="s">
        <v>149</v>
      </c>
      <c r="P1864" s="54">
        <f>HEX2DEC(RIGHT(Table132321432[[#This Row],[h1]],8))</f>
        <v>0</v>
      </c>
      <c r="Q1864" s="54" t="s">
        <v>149</v>
      </c>
      <c r="R1864" s="54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4" t="s">
        <v>149</v>
      </c>
      <c r="P1865" s="54">
        <f>HEX2DEC(RIGHT(Table132321432[[#This Row],[h1]],8))</f>
        <v>0</v>
      </c>
      <c r="Q1865" s="54" t="s">
        <v>149</v>
      </c>
      <c r="R1865" s="54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4" t="s">
        <v>149</v>
      </c>
      <c r="P1866" s="54">
        <f>HEX2DEC(RIGHT(Table132321432[[#This Row],[h1]],8))</f>
        <v>0</v>
      </c>
      <c r="Q1866" s="54" t="s">
        <v>149</v>
      </c>
      <c r="R1866" s="54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4" t="s">
        <v>149</v>
      </c>
      <c r="P1867" s="54">
        <f>HEX2DEC(RIGHT(Table132321432[[#This Row],[h1]],8))</f>
        <v>0</v>
      </c>
      <c r="Q1867" s="54" t="s">
        <v>149</v>
      </c>
      <c r="R1867" s="54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4" t="s">
        <v>149</v>
      </c>
      <c r="P1868" s="54">
        <f>HEX2DEC(RIGHT(Table132321432[[#This Row],[h1]],8))</f>
        <v>0</v>
      </c>
      <c r="Q1868" s="54" t="s">
        <v>149</v>
      </c>
      <c r="R1868" s="54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4" t="s">
        <v>149</v>
      </c>
      <c r="P1869" s="54">
        <f>HEX2DEC(RIGHT(Table132321432[[#This Row],[h1]],8))</f>
        <v>0</v>
      </c>
      <c r="Q1869" s="54" t="s">
        <v>149</v>
      </c>
      <c r="R1869" s="54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4" t="s">
        <v>149</v>
      </c>
      <c r="P1870" s="54">
        <f>HEX2DEC(RIGHT(Table132321432[[#This Row],[h1]],8))</f>
        <v>0</v>
      </c>
      <c r="Q1870" s="54" t="s">
        <v>149</v>
      </c>
      <c r="R1870" s="54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4" t="s">
        <v>149</v>
      </c>
      <c r="P1871" s="54">
        <f>HEX2DEC(RIGHT(Table132321432[[#This Row],[h1]],8))</f>
        <v>0</v>
      </c>
      <c r="Q1871" s="54" t="s">
        <v>149</v>
      </c>
      <c r="R1871" s="54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4" t="s">
        <v>149</v>
      </c>
      <c r="P1872" s="54">
        <f>HEX2DEC(RIGHT(Table132321432[[#This Row],[h1]],8))</f>
        <v>0</v>
      </c>
      <c r="Q1872" s="54" t="s">
        <v>149</v>
      </c>
      <c r="R1872" s="54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4" t="s">
        <v>149</v>
      </c>
      <c r="P1873" s="54">
        <f>HEX2DEC(RIGHT(Table132321432[[#This Row],[h1]],8))</f>
        <v>0</v>
      </c>
      <c r="Q1873" s="54" t="s">
        <v>149</v>
      </c>
      <c r="R1873" s="54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4" t="s">
        <v>149</v>
      </c>
      <c r="P1874" s="54">
        <f>HEX2DEC(RIGHT(Table132321432[[#This Row],[h1]],8))</f>
        <v>0</v>
      </c>
      <c r="Q1874" s="54" t="s">
        <v>149</v>
      </c>
      <c r="R1874" s="54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4" t="s">
        <v>149</v>
      </c>
      <c r="P1875" s="54">
        <f>HEX2DEC(RIGHT(Table132321432[[#This Row],[h1]],8))</f>
        <v>0</v>
      </c>
      <c r="Q1875" s="54" t="s">
        <v>149</v>
      </c>
      <c r="R1875" s="54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4" t="s">
        <v>149</v>
      </c>
      <c r="P1876" s="54">
        <f>HEX2DEC(RIGHT(Table132321432[[#This Row],[h1]],8))</f>
        <v>0</v>
      </c>
      <c r="Q1876" s="54" t="s">
        <v>149</v>
      </c>
      <c r="R1876" s="54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4" t="s">
        <v>149</v>
      </c>
      <c r="P1877" s="54">
        <f>HEX2DEC(RIGHT(Table132321432[[#This Row],[h1]],8))</f>
        <v>0</v>
      </c>
      <c r="Q1877" s="54" t="s">
        <v>149</v>
      </c>
      <c r="R1877" s="54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4" t="s">
        <v>149</v>
      </c>
      <c r="P1878" s="54">
        <f>HEX2DEC(RIGHT(Table132321432[[#This Row],[h1]],8))</f>
        <v>0</v>
      </c>
      <c r="Q1878" s="54" t="s">
        <v>149</v>
      </c>
      <c r="R1878" s="54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4" t="s">
        <v>149</v>
      </c>
      <c r="P1879" s="54">
        <f>HEX2DEC(RIGHT(Table132321432[[#This Row],[h1]],8))</f>
        <v>0</v>
      </c>
      <c r="Q1879" s="54" t="s">
        <v>149</v>
      </c>
      <c r="R1879" s="54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4" t="s">
        <v>149</v>
      </c>
      <c r="P1880" s="54">
        <f>HEX2DEC(RIGHT(Table132321432[[#This Row],[h1]],8))</f>
        <v>0</v>
      </c>
      <c r="Q1880" s="54" t="s">
        <v>149</v>
      </c>
      <c r="R1880" s="54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4" t="s">
        <v>149</v>
      </c>
      <c r="P1881" s="54">
        <f>HEX2DEC(RIGHT(Table132321432[[#This Row],[h1]],8))</f>
        <v>0</v>
      </c>
      <c r="Q1881" s="54" t="s">
        <v>149</v>
      </c>
      <c r="R1881" s="54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4" t="s">
        <v>149</v>
      </c>
      <c r="P1882" s="54">
        <f>HEX2DEC(RIGHT(Table132321432[[#This Row],[h1]],8))</f>
        <v>0</v>
      </c>
      <c r="Q1882" s="54" t="s">
        <v>149</v>
      </c>
      <c r="R1882" s="54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4" t="s">
        <v>149</v>
      </c>
      <c r="P1883" s="54">
        <f>HEX2DEC(RIGHT(Table132321432[[#This Row],[h1]],8))</f>
        <v>0</v>
      </c>
      <c r="Q1883" s="54" t="s">
        <v>149</v>
      </c>
      <c r="R1883" s="54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4" t="s">
        <v>149</v>
      </c>
      <c r="P1884" s="54">
        <f>HEX2DEC(RIGHT(Table132321432[[#This Row],[h1]],8))</f>
        <v>0</v>
      </c>
      <c r="Q1884" s="54" t="s">
        <v>149</v>
      </c>
      <c r="R1884" s="54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4" t="s">
        <v>149</v>
      </c>
      <c r="P1885" s="54">
        <f>HEX2DEC(RIGHT(Table132321432[[#This Row],[h1]],8))</f>
        <v>0</v>
      </c>
      <c r="Q1885" s="54" t="s">
        <v>149</v>
      </c>
      <c r="R1885" s="54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4" t="s">
        <v>149</v>
      </c>
      <c r="P1886" s="54">
        <f>HEX2DEC(RIGHT(Table132321432[[#This Row],[h1]],8))</f>
        <v>0</v>
      </c>
      <c r="Q1886" s="54" t="s">
        <v>149</v>
      </c>
      <c r="R1886" s="54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4" t="s">
        <v>149</v>
      </c>
      <c r="P1887" s="54">
        <f>HEX2DEC(RIGHT(Table132321432[[#This Row],[h1]],8))</f>
        <v>0</v>
      </c>
      <c r="Q1887" s="54" t="s">
        <v>149</v>
      </c>
      <c r="R1887" s="54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4" t="s">
        <v>149</v>
      </c>
      <c r="P1888" s="54">
        <f>HEX2DEC(RIGHT(Table132321432[[#This Row],[h1]],8))</f>
        <v>0</v>
      </c>
      <c r="Q1888" s="54" t="s">
        <v>149</v>
      </c>
      <c r="R1888" s="54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4" t="s">
        <v>149</v>
      </c>
      <c r="P1889" s="54">
        <f>HEX2DEC(RIGHT(Table132321432[[#This Row],[h1]],8))</f>
        <v>0</v>
      </c>
      <c r="Q1889" s="54" t="s">
        <v>149</v>
      </c>
      <c r="R1889" s="54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4" t="s">
        <v>149</v>
      </c>
      <c r="P1890" s="54">
        <f>HEX2DEC(RIGHT(Table132321432[[#This Row],[h1]],8))</f>
        <v>0</v>
      </c>
      <c r="Q1890" s="54" t="s">
        <v>149</v>
      </c>
      <c r="R1890" s="54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4" t="s">
        <v>149</v>
      </c>
      <c r="P1891" s="54">
        <f>HEX2DEC(RIGHT(Table132321432[[#This Row],[h1]],8))</f>
        <v>0</v>
      </c>
      <c r="Q1891" s="54" t="s">
        <v>149</v>
      </c>
      <c r="R1891" s="54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4" t="s">
        <v>149</v>
      </c>
      <c r="P1892" s="54">
        <f>HEX2DEC(RIGHT(Table132321432[[#This Row],[h1]],8))</f>
        <v>0</v>
      </c>
      <c r="Q1892" s="54" t="s">
        <v>149</v>
      </c>
      <c r="R1892" s="54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4" t="s">
        <v>149</v>
      </c>
      <c r="P1893" s="54">
        <f>HEX2DEC(RIGHT(Table132321432[[#This Row],[h1]],8))</f>
        <v>0</v>
      </c>
      <c r="Q1893" s="54" t="s">
        <v>149</v>
      </c>
      <c r="R1893" s="54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4" t="s">
        <v>149</v>
      </c>
      <c r="P1894" s="54">
        <f>HEX2DEC(RIGHT(Table132321432[[#This Row],[h1]],8))</f>
        <v>0</v>
      </c>
      <c r="Q1894" s="54" t="s">
        <v>149</v>
      </c>
      <c r="R1894" s="54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4" t="s">
        <v>149</v>
      </c>
      <c r="P1895" s="54">
        <f>HEX2DEC(RIGHT(Table132321432[[#This Row],[h1]],8))</f>
        <v>0</v>
      </c>
      <c r="Q1895" s="54" t="s">
        <v>149</v>
      </c>
      <c r="R1895" s="54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4" t="s">
        <v>149</v>
      </c>
      <c r="P1896" s="54">
        <f>HEX2DEC(RIGHT(Table132321432[[#This Row],[h1]],8))</f>
        <v>0</v>
      </c>
      <c r="Q1896" s="54" t="s">
        <v>149</v>
      </c>
      <c r="R1896" s="54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4" t="s">
        <v>149</v>
      </c>
      <c r="P1897" s="54">
        <f>HEX2DEC(RIGHT(Table132321432[[#This Row],[h1]],8))</f>
        <v>0</v>
      </c>
      <c r="Q1897" s="54" t="s">
        <v>149</v>
      </c>
      <c r="R1897" s="54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4" t="s">
        <v>149</v>
      </c>
      <c r="P1898" s="54">
        <f>HEX2DEC(RIGHT(Table132321432[[#This Row],[h1]],8))</f>
        <v>0</v>
      </c>
      <c r="Q1898" s="54" t="s">
        <v>149</v>
      </c>
      <c r="R1898" s="54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4" t="s">
        <v>149</v>
      </c>
      <c r="P1899" s="54">
        <f>HEX2DEC(RIGHT(Table132321432[[#This Row],[h1]],8))</f>
        <v>0</v>
      </c>
      <c r="Q1899" s="54" t="s">
        <v>149</v>
      </c>
      <c r="R1899" s="54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4" t="s">
        <v>149</v>
      </c>
      <c r="P1900" s="54">
        <f>HEX2DEC(RIGHT(Table132321432[[#This Row],[h1]],8))</f>
        <v>0</v>
      </c>
      <c r="Q1900" s="54" t="s">
        <v>149</v>
      </c>
      <c r="R1900" s="54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4" t="s">
        <v>149</v>
      </c>
      <c r="P1901" s="54">
        <f>HEX2DEC(RIGHT(Table132321432[[#This Row],[h1]],8))</f>
        <v>0</v>
      </c>
      <c r="Q1901" s="54" t="s">
        <v>149</v>
      </c>
      <c r="R1901" s="54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4" t="s">
        <v>149</v>
      </c>
      <c r="P1902" s="54">
        <f>HEX2DEC(RIGHT(Table132321432[[#This Row],[h1]],8))</f>
        <v>0</v>
      </c>
      <c r="Q1902" s="54" t="s">
        <v>149</v>
      </c>
      <c r="R1902" s="54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4" t="s">
        <v>149</v>
      </c>
      <c r="P1903" s="54">
        <f>HEX2DEC(RIGHT(Table132321432[[#This Row],[h1]],8))</f>
        <v>0</v>
      </c>
      <c r="Q1903" s="54" t="s">
        <v>149</v>
      </c>
      <c r="R1903" s="54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4" t="s">
        <v>149</v>
      </c>
      <c r="P1904" s="54">
        <f>HEX2DEC(RIGHT(Table132321432[[#This Row],[h1]],8))</f>
        <v>0</v>
      </c>
      <c r="Q1904" s="54" t="s">
        <v>149</v>
      </c>
      <c r="R1904" s="54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4" t="s">
        <v>149</v>
      </c>
      <c r="P1905" s="54">
        <f>HEX2DEC(RIGHT(Table132321432[[#This Row],[h1]],8))</f>
        <v>0</v>
      </c>
      <c r="Q1905" s="54" t="s">
        <v>149</v>
      </c>
      <c r="R1905" s="54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4" t="s">
        <v>149</v>
      </c>
      <c r="P1906" s="54">
        <f>HEX2DEC(RIGHT(Table132321432[[#This Row],[h1]],8))</f>
        <v>0</v>
      </c>
      <c r="Q1906" s="54" t="s">
        <v>149</v>
      </c>
      <c r="R1906" s="54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4" t="s">
        <v>149</v>
      </c>
      <c r="P1907" s="54">
        <f>HEX2DEC(RIGHT(Table132321432[[#This Row],[h1]],8))</f>
        <v>0</v>
      </c>
      <c r="Q1907" s="54" t="s">
        <v>149</v>
      </c>
      <c r="R1907" s="54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4" t="s">
        <v>149</v>
      </c>
      <c r="P1908" s="54">
        <f>HEX2DEC(RIGHT(Table132321432[[#This Row],[h1]],8))</f>
        <v>0</v>
      </c>
      <c r="Q1908" s="54" t="s">
        <v>149</v>
      </c>
      <c r="R1908" s="54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4" t="s">
        <v>149</v>
      </c>
      <c r="P1909" s="54">
        <f>HEX2DEC(RIGHT(Table132321432[[#This Row],[h1]],8))</f>
        <v>0</v>
      </c>
      <c r="Q1909" s="54" t="s">
        <v>149</v>
      </c>
      <c r="R1909" s="54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4" t="s">
        <v>149</v>
      </c>
      <c r="P1910" s="54">
        <f>HEX2DEC(RIGHT(Table132321432[[#This Row],[h1]],8))</f>
        <v>0</v>
      </c>
      <c r="Q1910" s="54" t="s">
        <v>149</v>
      </c>
      <c r="R1910" s="54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4" t="s">
        <v>149</v>
      </c>
      <c r="P1911" s="54">
        <f>HEX2DEC(RIGHT(Table132321432[[#This Row],[h1]],8))</f>
        <v>0</v>
      </c>
      <c r="Q1911" s="54" t="s">
        <v>149</v>
      </c>
      <c r="R1911" s="54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4" t="s">
        <v>149</v>
      </c>
      <c r="P1912" s="54">
        <f>HEX2DEC(RIGHT(Table132321432[[#This Row],[h1]],8))</f>
        <v>0</v>
      </c>
      <c r="Q1912" s="54" t="s">
        <v>149</v>
      </c>
      <c r="R1912" s="54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4" t="s">
        <v>149</v>
      </c>
      <c r="P1913" s="54">
        <f>HEX2DEC(RIGHT(Table132321432[[#This Row],[h1]],8))</f>
        <v>0</v>
      </c>
      <c r="Q1913" s="54" t="s">
        <v>149</v>
      </c>
      <c r="R1913" s="54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4" t="s">
        <v>149</v>
      </c>
      <c r="P1914" s="54">
        <f>HEX2DEC(RIGHT(Table132321432[[#This Row],[h1]],8))</f>
        <v>0</v>
      </c>
      <c r="Q1914" s="54" t="s">
        <v>149</v>
      </c>
      <c r="R1914" s="54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4" t="s">
        <v>149</v>
      </c>
      <c r="P1915" s="54">
        <f>HEX2DEC(RIGHT(Table132321432[[#This Row],[h1]],8))</f>
        <v>0</v>
      </c>
      <c r="Q1915" s="54" t="s">
        <v>149</v>
      </c>
      <c r="R1915" s="54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4" t="s">
        <v>149</v>
      </c>
      <c r="P1916" s="54">
        <f>HEX2DEC(RIGHT(Table132321432[[#This Row],[h1]],8))</f>
        <v>0</v>
      </c>
      <c r="Q1916" s="54" t="s">
        <v>149</v>
      </c>
      <c r="R1916" s="54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4" t="s">
        <v>149</v>
      </c>
      <c r="P1917" s="54">
        <f>HEX2DEC(RIGHT(Table132321432[[#This Row],[h1]],8))</f>
        <v>0</v>
      </c>
      <c r="Q1917" s="54" t="s">
        <v>149</v>
      </c>
      <c r="R1917" s="54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4" t="s">
        <v>149</v>
      </c>
      <c r="P1918" s="54">
        <f>HEX2DEC(RIGHT(Table132321432[[#This Row],[h1]],8))</f>
        <v>0</v>
      </c>
      <c r="Q1918" s="54" t="s">
        <v>149</v>
      </c>
      <c r="R1918" s="54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4" t="s">
        <v>149</v>
      </c>
      <c r="P1919" s="54">
        <f>HEX2DEC(RIGHT(Table132321432[[#This Row],[h1]],8))</f>
        <v>0</v>
      </c>
      <c r="Q1919" s="54" t="s">
        <v>149</v>
      </c>
      <c r="R1919" s="54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4" t="s">
        <v>149</v>
      </c>
      <c r="P1920" s="54">
        <f>HEX2DEC(RIGHT(Table132321432[[#This Row],[h1]],8))</f>
        <v>0</v>
      </c>
      <c r="Q1920" s="54" t="s">
        <v>149</v>
      </c>
      <c r="R1920" s="54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4" t="s">
        <v>149</v>
      </c>
      <c r="P1921" s="54">
        <f>HEX2DEC(RIGHT(Table132321432[[#This Row],[h1]],8))</f>
        <v>0</v>
      </c>
      <c r="Q1921" s="54" t="s">
        <v>149</v>
      </c>
      <c r="R1921" s="54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4" t="s">
        <v>149</v>
      </c>
      <c r="P1922" s="54">
        <f>HEX2DEC(RIGHT(Table132321432[[#This Row],[h1]],8))</f>
        <v>0</v>
      </c>
      <c r="Q1922" s="54" t="s">
        <v>149</v>
      </c>
      <c r="R1922" s="54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4" t="s">
        <v>149</v>
      </c>
      <c r="P1923" s="54">
        <f>HEX2DEC(RIGHT(Table132321432[[#This Row],[h1]],8))</f>
        <v>0</v>
      </c>
      <c r="Q1923" s="54" t="s">
        <v>149</v>
      </c>
      <c r="R1923" s="54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4" t="s">
        <v>149</v>
      </c>
      <c r="P1924" s="54">
        <f>HEX2DEC(RIGHT(Table132321432[[#This Row],[h1]],8))</f>
        <v>0</v>
      </c>
      <c r="Q1924" s="54" t="s">
        <v>149</v>
      </c>
      <c r="R1924" s="54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4" t="s">
        <v>149</v>
      </c>
      <c r="P1925" s="54">
        <f>HEX2DEC(RIGHT(Table132321432[[#This Row],[h1]],8))</f>
        <v>0</v>
      </c>
      <c r="Q1925" s="54" t="s">
        <v>149</v>
      </c>
      <c r="R1925" s="54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4" t="s">
        <v>149</v>
      </c>
      <c r="P1926" s="54">
        <f>HEX2DEC(RIGHT(Table132321432[[#This Row],[h1]],8))</f>
        <v>0</v>
      </c>
      <c r="Q1926" s="54" t="s">
        <v>149</v>
      </c>
      <c r="R1926" s="54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4" t="s">
        <v>149</v>
      </c>
      <c r="P1927" s="54">
        <f>HEX2DEC(RIGHT(Table132321432[[#This Row],[h1]],8))</f>
        <v>0</v>
      </c>
      <c r="Q1927" s="54" t="s">
        <v>149</v>
      </c>
      <c r="R1927" s="54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4" t="s">
        <v>149</v>
      </c>
      <c r="P1928" s="54">
        <f>HEX2DEC(RIGHT(Table132321432[[#This Row],[h1]],8))</f>
        <v>0</v>
      </c>
      <c r="Q1928" s="54" t="s">
        <v>149</v>
      </c>
      <c r="R1928" s="54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4" t="s">
        <v>149</v>
      </c>
      <c r="P1929" s="54">
        <f>HEX2DEC(RIGHT(Table132321432[[#This Row],[h1]],8))</f>
        <v>0</v>
      </c>
      <c r="Q1929" s="54" t="s">
        <v>149</v>
      </c>
      <c r="R1929" s="54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4" t="s">
        <v>149</v>
      </c>
      <c r="P1930" s="54">
        <f>HEX2DEC(RIGHT(Table132321432[[#This Row],[h1]],8))</f>
        <v>0</v>
      </c>
      <c r="Q1930" s="54" t="s">
        <v>149</v>
      </c>
      <c r="R1930" s="54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4" t="s">
        <v>149</v>
      </c>
      <c r="P1931" s="54">
        <f>HEX2DEC(RIGHT(Table132321432[[#This Row],[h1]],8))</f>
        <v>0</v>
      </c>
      <c r="Q1931" s="54" t="s">
        <v>149</v>
      </c>
      <c r="R1931" s="54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4" t="s">
        <v>149</v>
      </c>
      <c r="P1932" s="54">
        <f>HEX2DEC(RIGHT(Table132321432[[#This Row],[h1]],8))</f>
        <v>0</v>
      </c>
      <c r="Q1932" s="54" t="s">
        <v>149</v>
      </c>
      <c r="R1932" s="54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4" t="s">
        <v>149</v>
      </c>
      <c r="P1933" s="54">
        <f>HEX2DEC(RIGHT(Table132321432[[#This Row],[h1]],8))</f>
        <v>0</v>
      </c>
      <c r="Q1933" s="54" t="s">
        <v>149</v>
      </c>
      <c r="R1933" s="54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4" t="s">
        <v>149</v>
      </c>
      <c r="P1934" s="54">
        <f>HEX2DEC(RIGHT(Table132321432[[#This Row],[h1]],8))</f>
        <v>0</v>
      </c>
      <c r="Q1934" s="54" t="s">
        <v>149</v>
      </c>
      <c r="R1934" s="54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4" t="s">
        <v>149</v>
      </c>
      <c r="P1935" s="54">
        <f>HEX2DEC(RIGHT(Table132321432[[#This Row],[h1]],8))</f>
        <v>0</v>
      </c>
      <c r="Q1935" s="54" t="s">
        <v>149</v>
      </c>
      <c r="R1935" s="54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4" t="s">
        <v>149</v>
      </c>
      <c r="P1936" s="54">
        <f>HEX2DEC(RIGHT(Table132321432[[#This Row],[h1]],8))</f>
        <v>0</v>
      </c>
      <c r="Q1936" s="54" t="s">
        <v>149</v>
      </c>
      <c r="R1936" s="54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4" t="s">
        <v>149</v>
      </c>
      <c r="P1937" s="54">
        <f>HEX2DEC(RIGHT(Table132321432[[#This Row],[h1]],8))</f>
        <v>0</v>
      </c>
      <c r="Q1937" s="54" t="s">
        <v>149</v>
      </c>
      <c r="R1937" s="54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4" t="s">
        <v>149</v>
      </c>
      <c r="P1938" s="54">
        <f>HEX2DEC(RIGHT(Table132321432[[#This Row],[h1]],8))</f>
        <v>0</v>
      </c>
      <c r="Q1938" s="54" t="s">
        <v>149</v>
      </c>
      <c r="R1938" s="54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4" t="s">
        <v>149</v>
      </c>
      <c r="P1939" s="54">
        <f>HEX2DEC(RIGHT(Table132321432[[#This Row],[h1]],8))</f>
        <v>0</v>
      </c>
      <c r="Q1939" s="54" t="s">
        <v>149</v>
      </c>
      <c r="R1939" s="54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4" t="s">
        <v>149</v>
      </c>
      <c r="P1940" s="54">
        <f>HEX2DEC(RIGHT(Table132321432[[#This Row],[h1]],8))</f>
        <v>0</v>
      </c>
      <c r="Q1940" s="54" t="s">
        <v>149</v>
      </c>
      <c r="R1940" s="54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4" t="s">
        <v>149</v>
      </c>
      <c r="P1941" s="54">
        <f>HEX2DEC(RIGHT(Table132321432[[#This Row],[h1]],8))</f>
        <v>0</v>
      </c>
      <c r="Q1941" s="54" t="s">
        <v>149</v>
      </c>
      <c r="R1941" s="54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4" t="s">
        <v>149</v>
      </c>
      <c r="P1942" s="54">
        <f>HEX2DEC(RIGHT(Table132321432[[#This Row],[h1]],8))</f>
        <v>0</v>
      </c>
      <c r="Q1942" s="54" t="s">
        <v>149</v>
      </c>
      <c r="R1942" s="54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4" t="s">
        <v>149</v>
      </c>
      <c r="P1943" s="54">
        <f>HEX2DEC(RIGHT(Table132321432[[#This Row],[h1]],8))</f>
        <v>0</v>
      </c>
      <c r="Q1943" s="54" t="s">
        <v>149</v>
      </c>
      <c r="R1943" s="54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4" t="s">
        <v>149</v>
      </c>
      <c r="P1944" s="54">
        <f>HEX2DEC(RIGHT(Table132321432[[#This Row],[h1]],8))</f>
        <v>0</v>
      </c>
      <c r="Q1944" s="54" t="s">
        <v>149</v>
      </c>
      <c r="R1944" s="54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4" t="s">
        <v>149</v>
      </c>
      <c r="P1945" s="54">
        <f>HEX2DEC(RIGHT(Table132321432[[#This Row],[h1]],8))</f>
        <v>0</v>
      </c>
      <c r="Q1945" s="54" t="s">
        <v>149</v>
      </c>
      <c r="R1945" s="54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4" t="s">
        <v>149</v>
      </c>
      <c r="P1946" s="54">
        <f>HEX2DEC(RIGHT(Table132321432[[#This Row],[h1]],8))</f>
        <v>0</v>
      </c>
      <c r="Q1946" s="54" t="s">
        <v>149</v>
      </c>
      <c r="R1946" s="54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4" t="s">
        <v>149</v>
      </c>
      <c r="P1947" s="54">
        <f>HEX2DEC(RIGHT(Table132321432[[#This Row],[h1]],8))</f>
        <v>0</v>
      </c>
      <c r="Q1947" s="54" t="s">
        <v>149</v>
      </c>
      <c r="R1947" s="54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4" t="s">
        <v>149</v>
      </c>
      <c r="P1948" s="54">
        <f>HEX2DEC(RIGHT(Table132321432[[#This Row],[h1]],8))</f>
        <v>0</v>
      </c>
      <c r="Q1948" s="54" t="s">
        <v>149</v>
      </c>
      <c r="R1948" s="54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4" t="s">
        <v>149</v>
      </c>
      <c r="P1949" s="54">
        <f>HEX2DEC(RIGHT(Table132321432[[#This Row],[h1]],8))</f>
        <v>0</v>
      </c>
      <c r="Q1949" s="54" t="s">
        <v>149</v>
      </c>
      <c r="R1949" s="54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4" t="s">
        <v>149</v>
      </c>
      <c r="P1950" s="54">
        <f>HEX2DEC(RIGHT(Table132321432[[#This Row],[h1]],8))</f>
        <v>0</v>
      </c>
      <c r="Q1950" s="54" t="s">
        <v>149</v>
      </c>
      <c r="R1950" s="54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4" t="s">
        <v>149</v>
      </c>
      <c r="P1951" s="54">
        <f>HEX2DEC(RIGHT(Table132321432[[#This Row],[h1]],8))</f>
        <v>0</v>
      </c>
      <c r="Q1951" s="54" t="s">
        <v>149</v>
      </c>
      <c r="R1951" s="54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4" t="s">
        <v>149</v>
      </c>
      <c r="P1952" s="54">
        <f>HEX2DEC(RIGHT(Table132321432[[#This Row],[h1]],8))</f>
        <v>0</v>
      </c>
      <c r="Q1952" s="54" t="s">
        <v>149</v>
      </c>
      <c r="R1952" s="54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4" t="s">
        <v>149</v>
      </c>
      <c r="P1953" s="54">
        <f>HEX2DEC(RIGHT(Table132321432[[#This Row],[h1]],8))</f>
        <v>0</v>
      </c>
      <c r="Q1953" s="54" t="s">
        <v>149</v>
      </c>
      <c r="R1953" s="54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4" t="s">
        <v>149</v>
      </c>
      <c r="P1954" s="54">
        <f>HEX2DEC(RIGHT(Table132321432[[#This Row],[h1]],8))</f>
        <v>0</v>
      </c>
      <c r="Q1954" s="54" t="s">
        <v>149</v>
      </c>
      <c r="R1954" s="54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4" t="s">
        <v>149</v>
      </c>
      <c r="P1955" s="54">
        <f>HEX2DEC(RIGHT(Table132321432[[#This Row],[h1]],8))</f>
        <v>0</v>
      </c>
      <c r="Q1955" s="54" t="s">
        <v>149</v>
      </c>
      <c r="R1955" s="54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4" t="s">
        <v>149</v>
      </c>
      <c r="P1956" s="54">
        <f>HEX2DEC(RIGHT(Table132321432[[#This Row],[h1]],8))</f>
        <v>0</v>
      </c>
      <c r="Q1956" s="54" t="s">
        <v>149</v>
      </c>
      <c r="R1956" s="54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4" t="s">
        <v>149</v>
      </c>
      <c r="P1957" s="54">
        <f>HEX2DEC(RIGHT(Table132321432[[#This Row],[h1]],8))</f>
        <v>0</v>
      </c>
      <c r="Q1957" s="54" t="s">
        <v>149</v>
      </c>
      <c r="R1957" s="54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4" t="s">
        <v>149</v>
      </c>
      <c r="P1958" s="54">
        <f>HEX2DEC(RIGHT(Table132321432[[#This Row],[h1]],8))</f>
        <v>0</v>
      </c>
      <c r="Q1958" s="54" t="s">
        <v>149</v>
      </c>
      <c r="R1958" s="54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4" t="s">
        <v>149</v>
      </c>
      <c r="P1959" s="54">
        <f>HEX2DEC(RIGHT(Table132321432[[#This Row],[h1]],8))</f>
        <v>0</v>
      </c>
      <c r="Q1959" s="54" t="s">
        <v>149</v>
      </c>
      <c r="R1959" s="54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4" t="s">
        <v>149</v>
      </c>
      <c r="P1960" s="54">
        <f>HEX2DEC(RIGHT(Table132321432[[#This Row],[h1]],8))</f>
        <v>0</v>
      </c>
      <c r="Q1960" s="54" t="s">
        <v>149</v>
      </c>
      <c r="R1960" s="54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4" t="s">
        <v>149</v>
      </c>
      <c r="P1961" s="54">
        <f>HEX2DEC(RIGHT(Table132321432[[#This Row],[h1]],8))</f>
        <v>0</v>
      </c>
      <c r="Q1961" s="54" t="s">
        <v>149</v>
      </c>
      <c r="R1961" s="54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4" t="s">
        <v>149</v>
      </c>
      <c r="P1962" s="54">
        <f>HEX2DEC(RIGHT(Table132321432[[#This Row],[h1]],8))</f>
        <v>0</v>
      </c>
      <c r="Q1962" s="54" t="s">
        <v>149</v>
      </c>
      <c r="R1962" s="54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4" t="s">
        <v>149</v>
      </c>
      <c r="P1963" s="54">
        <f>HEX2DEC(RIGHT(Table132321432[[#This Row],[h1]],8))</f>
        <v>0</v>
      </c>
      <c r="Q1963" s="54" t="s">
        <v>149</v>
      </c>
      <c r="R1963" s="54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4" t="s">
        <v>149</v>
      </c>
      <c r="P1964" s="54">
        <f>HEX2DEC(RIGHT(Table132321432[[#This Row],[h1]],8))</f>
        <v>0</v>
      </c>
      <c r="Q1964" s="54" t="s">
        <v>149</v>
      </c>
      <c r="R1964" s="54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4" t="s">
        <v>149</v>
      </c>
      <c r="P1965" s="54">
        <f>HEX2DEC(RIGHT(Table132321432[[#This Row],[h1]],8))</f>
        <v>0</v>
      </c>
      <c r="Q1965" s="54" t="s">
        <v>149</v>
      </c>
      <c r="R1965" s="54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4" t="s">
        <v>149</v>
      </c>
      <c r="P1966" s="54">
        <f>HEX2DEC(RIGHT(Table132321432[[#This Row],[h1]],8))</f>
        <v>0</v>
      </c>
      <c r="Q1966" s="54" t="s">
        <v>149</v>
      </c>
      <c r="R1966" s="54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4" t="s">
        <v>149</v>
      </c>
      <c r="P1967" s="54">
        <f>HEX2DEC(RIGHT(Table132321432[[#This Row],[h1]],8))</f>
        <v>0</v>
      </c>
      <c r="Q1967" s="54" t="s">
        <v>149</v>
      </c>
      <c r="R1967" s="54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4" t="s">
        <v>149</v>
      </c>
      <c r="P1968" s="54">
        <f>HEX2DEC(RIGHT(Table132321432[[#This Row],[h1]],8))</f>
        <v>0</v>
      </c>
      <c r="Q1968" s="54" t="s">
        <v>149</v>
      </c>
      <c r="R1968" s="54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4" t="s">
        <v>149</v>
      </c>
      <c r="P1969" s="54">
        <f>HEX2DEC(RIGHT(Table132321432[[#This Row],[h1]],8))</f>
        <v>0</v>
      </c>
      <c r="Q1969" s="54" t="s">
        <v>149</v>
      </c>
      <c r="R1969" s="54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4" t="s">
        <v>149</v>
      </c>
      <c r="P1970" s="54">
        <f>HEX2DEC(RIGHT(Table132321432[[#This Row],[h1]],8))</f>
        <v>0</v>
      </c>
      <c r="Q1970" s="54" t="s">
        <v>149</v>
      </c>
      <c r="R1970" s="54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4" t="s">
        <v>149</v>
      </c>
      <c r="P1971" s="54">
        <f>HEX2DEC(RIGHT(Table132321432[[#This Row],[h1]],8))</f>
        <v>0</v>
      </c>
      <c r="Q1971" s="54" t="s">
        <v>149</v>
      </c>
      <c r="R1971" s="54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4" t="s">
        <v>149</v>
      </c>
      <c r="P1972" s="54">
        <f>HEX2DEC(RIGHT(Table132321432[[#This Row],[h1]],8))</f>
        <v>0</v>
      </c>
      <c r="Q1972" s="54" t="s">
        <v>149</v>
      </c>
      <c r="R1972" s="54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4" t="s">
        <v>149</v>
      </c>
      <c r="P1973" s="54">
        <f>HEX2DEC(RIGHT(Table132321432[[#This Row],[h1]],8))</f>
        <v>0</v>
      </c>
      <c r="Q1973" s="54" t="s">
        <v>149</v>
      </c>
      <c r="R1973" s="54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4" t="s">
        <v>149</v>
      </c>
      <c r="P1974" s="54">
        <f>HEX2DEC(RIGHT(Table132321432[[#This Row],[h1]],8))</f>
        <v>0</v>
      </c>
      <c r="Q1974" s="54" t="s">
        <v>149</v>
      </c>
      <c r="R1974" s="54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4" t="s">
        <v>149</v>
      </c>
      <c r="P1975" s="54">
        <f>HEX2DEC(RIGHT(Table132321432[[#This Row],[h1]],8))</f>
        <v>0</v>
      </c>
      <c r="Q1975" s="54" t="s">
        <v>149</v>
      </c>
      <c r="R1975" s="54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4" t="s">
        <v>149</v>
      </c>
      <c r="P1976" s="54">
        <f>HEX2DEC(RIGHT(Table132321432[[#This Row],[h1]],8))</f>
        <v>0</v>
      </c>
      <c r="Q1976" s="54" t="s">
        <v>149</v>
      </c>
      <c r="R1976" s="54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4" t="s">
        <v>149</v>
      </c>
      <c r="P1977" s="54">
        <f>HEX2DEC(RIGHT(Table132321432[[#This Row],[h1]],8))</f>
        <v>0</v>
      </c>
      <c r="Q1977" s="54" t="s">
        <v>149</v>
      </c>
      <c r="R1977" s="54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4" t="s">
        <v>149</v>
      </c>
      <c r="P1978" s="54">
        <f>HEX2DEC(RIGHT(Table132321432[[#This Row],[h1]],8))</f>
        <v>0</v>
      </c>
      <c r="Q1978" s="54" t="s">
        <v>149</v>
      </c>
      <c r="R1978" s="54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4" t="s">
        <v>149</v>
      </c>
      <c r="P1979" s="54">
        <f>HEX2DEC(RIGHT(Table132321432[[#This Row],[h1]],8))</f>
        <v>0</v>
      </c>
      <c r="Q1979" s="54" t="s">
        <v>149</v>
      </c>
      <c r="R1979" s="54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4" t="s">
        <v>149</v>
      </c>
      <c r="P1980" s="54">
        <f>HEX2DEC(RIGHT(Table132321432[[#This Row],[h1]],8))</f>
        <v>0</v>
      </c>
      <c r="Q1980" s="54" t="s">
        <v>149</v>
      </c>
      <c r="R1980" s="54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4" t="s">
        <v>149</v>
      </c>
      <c r="P1981" s="54">
        <f>HEX2DEC(RIGHT(Table132321432[[#This Row],[h1]],8))</f>
        <v>0</v>
      </c>
      <c r="Q1981" s="54" t="s">
        <v>149</v>
      </c>
      <c r="R1981" s="54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4" t="s">
        <v>149</v>
      </c>
      <c r="P1982" s="54">
        <f>HEX2DEC(RIGHT(Table132321432[[#This Row],[h1]],8))</f>
        <v>0</v>
      </c>
      <c r="Q1982" s="54" t="s">
        <v>149</v>
      </c>
      <c r="R1982" s="54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4" t="s">
        <v>149</v>
      </c>
      <c r="P1983" s="54">
        <f>HEX2DEC(RIGHT(Table132321432[[#This Row],[h1]],8))</f>
        <v>0</v>
      </c>
      <c r="Q1983" s="54" t="s">
        <v>149</v>
      </c>
      <c r="R1983" s="54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4" t="s">
        <v>149</v>
      </c>
      <c r="P1984" s="54">
        <f>HEX2DEC(RIGHT(Table132321432[[#This Row],[h1]],8))</f>
        <v>0</v>
      </c>
      <c r="Q1984" s="54" t="s">
        <v>149</v>
      </c>
      <c r="R1984" s="54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4" t="s">
        <v>149</v>
      </c>
      <c r="P1985" s="54">
        <f>HEX2DEC(RIGHT(Table132321432[[#This Row],[h1]],8))</f>
        <v>0</v>
      </c>
      <c r="Q1985" s="54" t="s">
        <v>149</v>
      </c>
      <c r="R1985" s="54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4" t="s">
        <v>149</v>
      </c>
      <c r="P1986" s="54">
        <f>HEX2DEC(RIGHT(Table132321432[[#This Row],[h1]],8))</f>
        <v>0</v>
      </c>
      <c r="Q1986" s="54" t="s">
        <v>149</v>
      </c>
      <c r="R1986" s="54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4" t="s">
        <v>149</v>
      </c>
      <c r="P1987" s="54">
        <f>HEX2DEC(RIGHT(Table132321432[[#This Row],[h1]],8))</f>
        <v>0</v>
      </c>
      <c r="Q1987" s="54" t="s">
        <v>149</v>
      </c>
      <c r="R1987" s="54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4" t="s">
        <v>149</v>
      </c>
      <c r="P1988" s="54">
        <f>HEX2DEC(RIGHT(Table132321432[[#This Row],[h1]],8))</f>
        <v>0</v>
      </c>
      <c r="Q1988" s="54" t="s">
        <v>149</v>
      </c>
      <c r="R1988" s="54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4" t="s">
        <v>149</v>
      </c>
      <c r="P1989" s="54">
        <f>HEX2DEC(RIGHT(Table132321432[[#This Row],[h1]],8))</f>
        <v>0</v>
      </c>
      <c r="Q1989" s="54" t="s">
        <v>149</v>
      </c>
      <c r="R1989" s="54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4" t="s">
        <v>149</v>
      </c>
      <c r="P1990" s="54">
        <f>HEX2DEC(RIGHT(Table132321432[[#This Row],[h1]],8))</f>
        <v>0</v>
      </c>
      <c r="Q1990" s="54" t="s">
        <v>149</v>
      </c>
      <c r="R1990" s="54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4" t="s">
        <v>149</v>
      </c>
      <c r="P1991" s="54">
        <f>HEX2DEC(RIGHT(Table132321432[[#This Row],[h1]],8))</f>
        <v>0</v>
      </c>
      <c r="Q1991" s="54" t="s">
        <v>149</v>
      </c>
      <c r="R1991" s="54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4" t="s">
        <v>149</v>
      </c>
      <c r="P1992" s="54">
        <f>HEX2DEC(RIGHT(Table132321432[[#This Row],[h1]],8))</f>
        <v>0</v>
      </c>
      <c r="Q1992" s="54" t="s">
        <v>149</v>
      </c>
      <c r="R1992" s="54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4" t="s">
        <v>149</v>
      </c>
      <c r="P1993" s="54">
        <f>HEX2DEC(RIGHT(Table132321432[[#This Row],[h1]],8))</f>
        <v>0</v>
      </c>
      <c r="Q1993" s="54" t="s">
        <v>149</v>
      </c>
      <c r="R1993" s="54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4" t="s">
        <v>149</v>
      </c>
      <c r="P1994" s="54">
        <f>HEX2DEC(RIGHT(Table132321432[[#This Row],[h1]],8))</f>
        <v>0</v>
      </c>
      <c r="Q1994" s="54" t="s">
        <v>149</v>
      </c>
      <c r="R1994" s="54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4" t="s">
        <v>149</v>
      </c>
      <c r="P1995" s="54">
        <f>HEX2DEC(RIGHT(Table132321432[[#This Row],[h1]],8))</f>
        <v>0</v>
      </c>
      <c r="Q1995" s="54" t="s">
        <v>149</v>
      </c>
      <c r="R1995" s="54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4" t="s">
        <v>149</v>
      </c>
      <c r="P1996" s="54">
        <f>HEX2DEC(RIGHT(Table132321432[[#This Row],[h1]],8))</f>
        <v>0</v>
      </c>
      <c r="Q1996" s="54" t="s">
        <v>149</v>
      </c>
      <c r="R1996" s="54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4" t="s">
        <v>149</v>
      </c>
      <c r="P1997" s="54">
        <f>HEX2DEC(RIGHT(Table132321432[[#This Row],[h1]],8))</f>
        <v>0</v>
      </c>
      <c r="Q1997" s="54" t="s">
        <v>149</v>
      </c>
      <c r="R1997" s="54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4" t="s">
        <v>149</v>
      </c>
      <c r="P1998" s="54">
        <f>HEX2DEC(RIGHT(Table132321432[[#This Row],[h1]],8))</f>
        <v>0</v>
      </c>
      <c r="Q1998" s="54" t="s">
        <v>149</v>
      </c>
      <c r="R1998" s="54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4" t="s">
        <v>149</v>
      </c>
      <c r="P1999" s="54">
        <f>HEX2DEC(RIGHT(Table132321432[[#This Row],[h1]],8))</f>
        <v>0</v>
      </c>
      <c r="Q1999" s="54" t="s">
        <v>149</v>
      </c>
      <c r="R1999" s="54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4" t="s">
        <v>149</v>
      </c>
      <c r="P2000" s="54">
        <f>HEX2DEC(RIGHT(Table132321432[[#This Row],[h1]],8))</f>
        <v>0</v>
      </c>
      <c r="Q2000" s="54" t="s">
        <v>149</v>
      </c>
      <c r="R2000" s="54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4" t="s">
        <v>149</v>
      </c>
      <c r="P2001" s="54">
        <f>HEX2DEC(RIGHT(Table132321432[[#This Row],[h1]],8))</f>
        <v>0</v>
      </c>
      <c r="Q2001" s="54" t="s">
        <v>149</v>
      </c>
      <c r="R2001" s="54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4" t="s">
        <v>149</v>
      </c>
      <c r="P2002" s="54">
        <f>HEX2DEC(RIGHT(Table132321432[[#This Row],[h1]],8))</f>
        <v>0</v>
      </c>
      <c r="Q2002" s="54" t="s">
        <v>149</v>
      </c>
      <c r="R2002" s="54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4" t="s">
        <v>149</v>
      </c>
      <c r="P2003" s="54">
        <f>HEX2DEC(RIGHT(Table132321432[[#This Row],[h1]],8))</f>
        <v>0</v>
      </c>
      <c r="Q2003" s="54" t="s">
        <v>149</v>
      </c>
      <c r="R2003" s="54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4" t="s">
        <v>149</v>
      </c>
      <c r="P2004" s="54">
        <f>HEX2DEC(RIGHT(Table132321432[[#This Row],[h1]],8))</f>
        <v>0</v>
      </c>
      <c r="Q2004" s="54" t="s">
        <v>149</v>
      </c>
      <c r="R2004" s="54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4" t="s">
        <v>149</v>
      </c>
      <c r="P2005" s="54">
        <f>HEX2DEC(RIGHT(Table132321432[[#This Row],[h1]],8))</f>
        <v>0</v>
      </c>
      <c r="Q2005" s="54" t="s">
        <v>149</v>
      </c>
      <c r="R2005" s="54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4" t="s">
        <v>149</v>
      </c>
      <c r="P2006" s="54">
        <f>HEX2DEC(RIGHT(Table132321432[[#This Row],[h1]],8))</f>
        <v>0</v>
      </c>
      <c r="Q2006" s="54" t="s">
        <v>149</v>
      </c>
      <c r="R2006" s="54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4" t="s">
        <v>149</v>
      </c>
      <c r="P2007" s="54">
        <f>HEX2DEC(RIGHT(Table132321432[[#This Row],[h1]],8))</f>
        <v>0</v>
      </c>
      <c r="Q2007" s="54" t="s">
        <v>149</v>
      </c>
      <c r="R2007" s="54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4" t="s">
        <v>149</v>
      </c>
      <c r="P2008" s="54">
        <f>HEX2DEC(RIGHT(Table132321432[[#This Row],[h1]],8))</f>
        <v>0</v>
      </c>
      <c r="Q2008" s="54" t="s">
        <v>149</v>
      </c>
      <c r="R2008" s="54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4" t="s">
        <v>149</v>
      </c>
      <c r="P2009" s="54">
        <f>HEX2DEC(RIGHT(Table132321432[[#This Row],[h1]],8))</f>
        <v>0</v>
      </c>
      <c r="Q2009" s="54" t="s">
        <v>149</v>
      </c>
      <c r="R2009" s="54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4" t="s">
        <v>149</v>
      </c>
      <c r="P2010" s="54">
        <f>HEX2DEC(RIGHT(Table132321432[[#This Row],[h1]],8))</f>
        <v>0</v>
      </c>
      <c r="Q2010" s="54" t="s">
        <v>149</v>
      </c>
      <c r="R2010" s="54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4" t="s">
        <v>149</v>
      </c>
      <c r="P2011" s="54">
        <f>HEX2DEC(RIGHT(Table132321432[[#This Row],[h1]],8))</f>
        <v>0</v>
      </c>
      <c r="Q2011" s="54" t="s">
        <v>149</v>
      </c>
      <c r="R2011" s="54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4" t="s">
        <v>149</v>
      </c>
      <c r="P2012" s="54">
        <f>HEX2DEC(RIGHT(Table132321432[[#This Row],[h1]],8))</f>
        <v>0</v>
      </c>
      <c r="Q2012" s="54" t="s">
        <v>149</v>
      </c>
      <c r="R2012" s="54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4" t="s">
        <v>149</v>
      </c>
      <c r="P2013" s="54">
        <f>HEX2DEC(RIGHT(Table132321432[[#This Row],[h1]],8))</f>
        <v>0</v>
      </c>
      <c r="Q2013" s="54" t="s">
        <v>149</v>
      </c>
      <c r="R2013" s="54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4" t="s">
        <v>149</v>
      </c>
      <c r="P2014" s="54">
        <f>HEX2DEC(RIGHT(Table132321432[[#This Row],[h1]],8))</f>
        <v>0</v>
      </c>
      <c r="Q2014" s="54" t="s">
        <v>149</v>
      </c>
      <c r="R2014" s="54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4" t="s">
        <v>149</v>
      </c>
      <c r="P2015" s="54">
        <f>HEX2DEC(RIGHT(Table132321432[[#This Row],[h1]],8))</f>
        <v>0</v>
      </c>
      <c r="Q2015" s="54" t="s">
        <v>149</v>
      </c>
      <c r="R2015" s="54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4" t="s">
        <v>149</v>
      </c>
      <c r="P2016" s="54">
        <f>HEX2DEC(RIGHT(Table132321432[[#This Row],[h1]],8))</f>
        <v>0</v>
      </c>
      <c r="Q2016" s="54" t="s">
        <v>149</v>
      </c>
      <c r="R2016" s="54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4" t="s">
        <v>149</v>
      </c>
      <c r="P2017" s="54">
        <f>HEX2DEC(RIGHT(Table132321432[[#This Row],[h1]],8))</f>
        <v>0</v>
      </c>
      <c r="Q2017" s="54" t="s">
        <v>149</v>
      </c>
      <c r="R2017" s="54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4" t="s">
        <v>149</v>
      </c>
      <c r="P2018" s="54">
        <f>HEX2DEC(RIGHT(Table132321432[[#This Row],[h1]],8))</f>
        <v>0</v>
      </c>
      <c r="Q2018" s="54" t="s">
        <v>149</v>
      </c>
      <c r="R2018" s="54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4" t="s">
        <v>149</v>
      </c>
      <c r="P2019" s="54">
        <f>HEX2DEC(RIGHT(Table132321432[[#This Row],[h1]],8))</f>
        <v>0</v>
      </c>
      <c r="Q2019" s="54" t="s">
        <v>149</v>
      </c>
      <c r="R2019" s="54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4" t="s">
        <v>149</v>
      </c>
      <c r="P2020" s="54">
        <f>HEX2DEC(RIGHT(Table132321432[[#This Row],[h1]],8))</f>
        <v>0</v>
      </c>
      <c r="Q2020" s="54" t="s">
        <v>149</v>
      </c>
      <c r="R2020" s="54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4" t="s">
        <v>149</v>
      </c>
      <c r="P2021" s="54">
        <f>HEX2DEC(RIGHT(Table132321432[[#This Row],[h1]],8))</f>
        <v>0</v>
      </c>
      <c r="Q2021" s="54" t="s">
        <v>149</v>
      </c>
      <c r="R2021" s="54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4" t="s">
        <v>149</v>
      </c>
      <c r="P2022" s="54">
        <f>HEX2DEC(RIGHT(Table132321432[[#This Row],[h1]],8))</f>
        <v>0</v>
      </c>
      <c r="Q2022" s="54" t="s">
        <v>149</v>
      </c>
      <c r="R2022" s="54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4" t="s">
        <v>149</v>
      </c>
      <c r="P2023" s="54">
        <f>HEX2DEC(RIGHT(Table132321432[[#This Row],[h1]],8))</f>
        <v>0</v>
      </c>
      <c r="Q2023" s="54" t="s">
        <v>149</v>
      </c>
      <c r="R2023" s="54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4" t="s">
        <v>149</v>
      </c>
      <c r="P2024" s="54">
        <f>HEX2DEC(RIGHT(Table132321432[[#This Row],[h1]],8))</f>
        <v>0</v>
      </c>
      <c r="Q2024" s="54" t="s">
        <v>149</v>
      </c>
      <c r="R2024" s="54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4" t="s">
        <v>149</v>
      </c>
      <c r="P2025" s="54">
        <f>HEX2DEC(RIGHT(Table132321432[[#This Row],[h1]],8))</f>
        <v>0</v>
      </c>
      <c r="Q2025" s="54" t="s">
        <v>149</v>
      </c>
      <c r="R2025" s="54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4" t="s">
        <v>149</v>
      </c>
      <c r="P2026" s="54">
        <f>HEX2DEC(RIGHT(Table132321432[[#This Row],[h1]],8))</f>
        <v>0</v>
      </c>
      <c r="Q2026" s="54" t="s">
        <v>149</v>
      </c>
      <c r="R2026" s="54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4" t="s">
        <v>149</v>
      </c>
      <c r="P2027" s="54">
        <f>HEX2DEC(RIGHT(Table132321432[[#This Row],[h1]],8))</f>
        <v>0</v>
      </c>
      <c r="Q2027" s="54" t="s">
        <v>149</v>
      </c>
      <c r="R2027" s="54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4" t="s">
        <v>149</v>
      </c>
      <c r="P2028" s="54">
        <f>HEX2DEC(RIGHT(Table132321432[[#This Row],[h1]],8))</f>
        <v>0</v>
      </c>
      <c r="Q2028" s="54" t="s">
        <v>149</v>
      </c>
      <c r="R2028" s="54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4" t="s">
        <v>149</v>
      </c>
      <c r="P2029" s="54">
        <f>HEX2DEC(RIGHT(Table132321432[[#This Row],[h1]],8))</f>
        <v>0</v>
      </c>
      <c r="Q2029" s="54" t="s">
        <v>149</v>
      </c>
      <c r="R2029" s="54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4" t="s">
        <v>149</v>
      </c>
      <c r="P2030" s="54">
        <f>HEX2DEC(RIGHT(Table132321432[[#This Row],[h1]],8))</f>
        <v>0</v>
      </c>
      <c r="Q2030" s="54" t="s">
        <v>149</v>
      </c>
      <c r="R2030" s="54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4" t="s">
        <v>149</v>
      </c>
      <c r="P2031" s="54">
        <f>HEX2DEC(RIGHT(Table132321432[[#This Row],[h1]],8))</f>
        <v>0</v>
      </c>
      <c r="Q2031" s="54" t="s">
        <v>149</v>
      </c>
      <c r="R2031" s="54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4" t="s">
        <v>149</v>
      </c>
      <c r="P2032" s="54">
        <f>HEX2DEC(RIGHT(Table132321432[[#This Row],[h1]],8))</f>
        <v>0</v>
      </c>
      <c r="Q2032" s="54" t="s">
        <v>149</v>
      </c>
      <c r="R2032" s="54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4" t="s">
        <v>149</v>
      </c>
      <c r="P2033" s="54">
        <f>HEX2DEC(RIGHT(Table132321432[[#This Row],[h1]],8))</f>
        <v>0</v>
      </c>
      <c r="Q2033" s="54" t="s">
        <v>149</v>
      </c>
      <c r="R2033" s="54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4" t="s">
        <v>149</v>
      </c>
      <c r="P2034" s="54">
        <f>HEX2DEC(RIGHT(Table132321432[[#This Row],[h1]],8))</f>
        <v>0</v>
      </c>
      <c r="Q2034" s="54" t="s">
        <v>149</v>
      </c>
      <c r="R2034" s="54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4" t="s">
        <v>149</v>
      </c>
      <c r="P2035" s="54">
        <f>HEX2DEC(RIGHT(Table132321432[[#This Row],[h1]],8))</f>
        <v>0</v>
      </c>
      <c r="Q2035" s="54" t="s">
        <v>149</v>
      </c>
      <c r="R2035" s="54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4" t="s">
        <v>149</v>
      </c>
      <c r="P2036" s="54">
        <f>HEX2DEC(RIGHT(Table132321432[[#This Row],[h1]],8))</f>
        <v>0</v>
      </c>
      <c r="Q2036" s="54" t="s">
        <v>149</v>
      </c>
      <c r="R2036" s="54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4" t="s">
        <v>149</v>
      </c>
      <c r="P2037" s="54">
        <f>HEX2DEC(RIGHT(Table132321432[[#This Row],[h1]],8))</f>
        <v>0</v>
      </c>
      <c r="Q2037" s="54" t="s">
        <v>149</v>
      </c>
      <c r="R2037" s="54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4" t="s">
        <v>149</v>
      </c>
      <c r="P2038" s="54">
        <f>HEX2DEC(RIGHT(Table132321432[[#This Row],[h1]],8))</f>
        <v>0</v>
      </c>
      <c r="Q2038" s="54" t="s">
        <v>149</v>
      </c>
      <c r="R2038" s="54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4" t="s">
        <v>149</v>
      </c>
      <c r="P2039" s="54">
        <f>HEX2DEC(RIGHT(Table132321432[[#This Row],[h1]],8))</f>
        <v>0</v>
      </c>
      <c r="Q2039" s="54" t="s">
        <v>149</v>
      </c>
      <c r="R2039" s="54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4" t="s">
        <v>149</v>
      </c>
      <c r="P2040" s="54">
        <f>HEX2DEC(RIGHT(Table132321432[[#This Row],[h1]],8))</f>
        <v>0</v>
      </c>
      <c r="Q2040" s="54" t="s">
        <v>149</v>
      </c>
      <c r="R2040" s="54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4" t="s">
        <v>149</v>
      </c>
      <c r="P2041" s="54">
        <f>HEX2DEC(RIGHT(Table132321432[[#This Row],[h1]],8))</f>
        <v>0</v>
      </c>
      <c r="Q2041" s="54" t="s">
        <v>149</v>
      </c>
      <c r="R2041" s="54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4" t="s">
        <v>48</v>
      </c>
      <c r="Q2042" s="54" t="s">
        <v>48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4" t="s">
        <v>48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140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52</v>
      </c>
      <c r="B2" s="10" t="s">
        <v>55</v>
      </c>
      <c r="D2" s="60" t="s">
        <v>50</v>
      </c>
      <c r="E2" s="60"/>
      <c r="F2" s="60"/>
      <c r="G2" s="60"/>
      <c r="I2" s="60" t="s">
        <v>141</v>
      </c>
      <c r="J2" s="60"/>
      <c r="K2" s="11"/>
      <c r="L2" s="60" t="s">
        <v>142</v>
      </c>
      <c r="M2" s="60"/>
      <c r="O2" s="60" t="s">
        <v>210</v>
      </c>
      <c r="P2" s="60"/>
      <c r="Q2" s="60"/>
      <c r="R2" s="60"/>
      <c r="T2" s="60" t="s">
        <v>51</v>
      </c>
      <c r="U2" s="60"/>
      <c r="V2" s="60"/>
      <c r="W2" s="60"/>
    </row>
    <row r="3" spans="1:23" s="45" customFormat="1" x14ac:dyDescent="0.3">
      <c r="A3" s="12" t="s">
        <v>53</v>
      </c>
      <c r="C3" s="45" t="s">
        <v>44</v>
      </c>
      <c r="D3" s="45" t="s">
        <v>9</v>
      </c>
      <c r="E3" s="45" t="s">
        <v>10</v>
      </c>
      <c r="F3" s="45" t="s">
        <v>11</v>
      </c>
      <c r="G3" s="45" t="s">
        <v>157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150</v>
      </c>
      <c r="P3" s="34" t="s">
        <v>151</v>
      </c>
      <c r="Q3" s="45" t="s">
        <v>152</v>
      </c>
      <c r="R3" s="45" t="s">
        <v>153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54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164</v>
      </c>
      <c r="B5" s="45" t="str">
        <f>A3&amp;"."&amp;A4&amp;"."&amp;A5&amp;A6&amp;"."</f>
        <v>SCL3.TS.EVF001.</v>
      </c>
      <c r="C5" s="41"/>
      <c r="D5" s="13"/>
      <c r="E5" s="13"/>
      <c r="F5" s="13" t="s">
        <v>137</v>
      </c>
      <c r="G5" s="13"/>
      <c r="I5" s="13" t="s">
        <v>49</v>
      </c>
      <c r="J5" s="13" t="s">
        <v>47</v>
      </c>
      <c r="L5" s="13" t="s">
        <v>138</v>
      </c>
      <c r="M5" s="14" t="s">
        <v>139</v>
      </c>
      <c r="O5" s="13" t="s">
        <v>102</v>
      </c>
      <c r="P5" s="13"/>
      <c r="Q5" s="13" t="s">
        <v>103</v>
      </c>
      <c r="R5" s="14"/>
      <c r="T5" s="13"/>
      <c r="U5" s="13"/>
      <c r="V5" s="13"/>
      <c r="W5" s="13"/>
    </row>
    <row r="6" spans="1:23" s="45" customFormat="1" x14ac:dyDescent="0.3">
      <c r="A6" s="12" t="s">
        <v>62</v>
      </c>
      <c r="B6" s="45" t="str">
        <f>A3&amp;":"&amp;A4&amp;":"&amp;A5&amp;A6&amp;":"</f>
        <v>SCL3:TS:EVF001:</v>
      </c>
      <c r="C6" s="41"/>
      <c r="D6" s="13"/>
      <c r="E6" s="13" t="s">
        <v>143</v>
      </c>
      <c r="F6" s="13" t="s">
        <v>105</v>
      </c>
      <c r="G6" s="13"/>
      <c r="I6" s="13"/>
      <c r="J6" s="13" t="s">
        <v>104</v>
      </c>
      <c r="L6" s="13"/>
      <c r="M6" s="13" t="s">
        <v>104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159</v>
      </c>
      <c r="E7" s="16"/>
      <c r="F7" s="16"/>
      <c r="G7" s="17"/>
      <c r="H7" s="45"/>
      <c r="I7" s="28" t="s">
        <v>340</v>
      </c>
      <c r="J7" s="29" t="s">
        <v>341</v>
      </c>
      <c r="K7" s="30"/>
      <c r="L7" s="28" t="s">
        <v>342</v>
      </c>
      <c r="M7" s="29" t="s">
        <v>343</v>
      </c>
      <c r="O7" s="18" t="s">
        <v>211</v>
      </c>
      <c r="P7" s="18"/>
      <c r="Q7" s="18" t="s">
        <v>212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57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213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53" t="s">
        <v>149</v>
      </c>
      <c r="P11" s="45">
        <f>HEX2DEC(RIGHT(Table132321[[#This Row],[h1]],8))</f>
        <v>0</v>
      </c>
      <c r="Q11" s="45" t="s">
        <v>149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149</v>
      </c>
      <c r="P12" s="45">
        <f>HEX2DEC(RIGHT(Table132321[[#This Row],[h1]],8))</f>
        <v>0</v>
      </c>
      <c r="Q12" s="45" t="s">
        <v>149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144</v>
      </c>
      <c r="H13" s="45"/>
      <c r="I13" s="20" t="s">
        <v>48</v>
      </c>
      <c r="J13" s="24">
        <v>50000</v>
      </c>
      <c r="K13" s="45"/>
      <c r="L13" s="24">
        <v>13</v>
      </c>
      <c r="M13" s="24">
        <v>50000</v>
      </c>
      <c r="O13" s="45" t="s">
        <v>149</v>
      </c>
      <c r="P13" s="45">
        <f>HEX2DEC(RIGHT(Table132321[[#This Row],[h1]],8))</f>
        <v>0</v>
      </c>
      <c r="Q13" s="45" t="s">
        <v>149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214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149</v>
      </c>
      <c r="P14" s="45">
        <f>HEX2DEC(RIGHT(Table132321[[#This Row],[h1]],8))</f>
        <v>0</v>
      </c>
      <c r="Q14" s="45" t="s">
        <v>149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215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149</v>
      </c>
      <c r="P15" s="45">
        <f>HEX2DEC(RIGHT(Table132321[[#This Row],[h1]],8))</f>
        <v>0</v>
      </c>
      <c r="Q15" s="45" t="s">
        <v>149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216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149</v>
      </c>
      <c r="P16" s="45">
        <f>HEX2DEC(RIGHT(Table132321[[#This Row],[h1]],8))</f>
        <v>0</v>
      </c>
      <c r="Q16" s="45" t="s">
        <v>149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217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149</v>
      </c>
      <c r="P17" s="45">
        <f>HEX2DEC(RIGHT(Table132321[[#This Row],[h1]],8))</f>
        <v>0</v>
      </c>
      <c r="Q17" s="45" t="s">
        <v>149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218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149</v>
      </c>
      <c r="P18" s="45">
        <f>HEX2DEC(RIGHT(Table132321[[#This Row],[h1]],8))</f>
        <v>0</v>
      </c>
      <c r="Q18" s="45" t="s">
        <v>149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219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149</v>
      </c>
      <c r="P19" s="45">
        <f>HEX2DEC(RIGHT(Table132321[[#This Row],[h1]],8))</f>
        <v>0</v>
      </c>
      <c r="Q19" s="45" t="s">
        <v>149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220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149</v>
      </c>
      <c r="P20" s="45">
        <f>HEX2DEC(RIGHT(Table132321[[#This Row],[h1]],8))</f>
        <v>0</v>
      </c>
      <c r="Q20" s="45" t="s">
        <v>149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221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149</v>
      </c>
      <c r="P21" s="45">
        <f>HEX2DEC(RIGHT(Table132321[[#This Row],[h1]],8))</f>
        <v>0</v>
      </c>
      <c r="Q21" s="45" t="s">
        <v>149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149</v>
      </c>
      <c r="P22" s="45">
        <f>HEX2DEC(RIGHT(Table132321[[#This Row],[h1]],8))</f>
        <v>0</v>
      </c>
      <c r="Q22" s="45" t="s">
        <v>149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149</v>
      </c>
      <c r="P23" s="45">
        <f>HEX2DEC(RIGHT(Table132321[[#This Row],[h1]],8))</f>
        <v>0</v>
      </c>
      <c r="Q23" s="45" t="s">
        <v>149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145</v>
      </c>
      <c r="H24" s="45"/>
      <c r="J24" s="24">
        <v>50000</v>
      </c>
      <c r="K24" s="45"/>
      <c r="L24" s="24">
        <v>24</v>
      </c>
      <c r="M24" s="24">
        <v>50000</v>
      </c>
      <c r="O24" s="45" t="s">
        <v>149</v>
      </c>
      <c r="P24" s="45">
        <f>HEX2DEC(RIGHT(Table132321[[#This Row],[h1]],8))</f>
        <v>0</v>
      </c>
      <c r="Q24" s="45" t="s">
        <v>149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222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149</v>
      </c>
      <c r="P25" s="45">
        <f>HEX2DEC(RIGHT(Table132321[[#This Row],[h1]],8))</f>
        <v>0</v>
      </c>
      <c r="Q25" s="45" t="s">
        <v>149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223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149</v>
      </c>
      <c r="P26" s="45">
        <f>HEX2DEC(RIGHT(Table132321[[#This Row],[h1]],8))</f>
        <v>0</v>
      </c>
      <c r="Q26" s="45" t="s">
        <v>149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224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149</v>
      </c>
      <c r="P27" s="45">
        <f>HEX2DEC(RIGHT(Table132321[[#This Row],[h1]],8))</f>
        <v>0</v>
      </c>
      <c r="Q27" s="45" t="s">
        <v>149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225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149</v>
      </c>
      <c r="P28" s="45">
        <f>HEX2DEC(RIGHT(Table132321[[#This Row],[h1]],8))</f>
        <v>0</v>
      </c>
      <c r="Q28" s="45" t="s">
        <v>149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226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149</v>
      </c>
      <c r="P29" s="45">
        <f>HEX2DEC(RIGHT(Table132321[[#This Row],[h1]],8))</f>
        <v>0</v>
      </c>
      <c r="Q29" s="45" t="s">
        <v>149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227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149</v>
      </c>
      <c r="P30" s="45">
        <f>HEX2DEC(RIGHT(Table132321[[#This Row],[h1]],8))</f>
        <v>0</v>
      </c>
      <c r="Q30" s="45" t="s">
        <v>149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228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149</v>
      </c>
      <c r="P31" s="45">
        <f>HEX2DEC(RIGHT(Table132321[[#This Row],[h1]],8))</f>
        <v>0</v>
      </c>
      <c r="Q31" s="45" t="s">
        <v>149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229</v>
      </c>
      <c r="G32" s="33">
        <v>0</v>
      </c>
      <c r="H32" s="45"/>
      <c r="J32" s="24">
        <v>50000</v>
      </c>
      <c r="K32" s="45"/>
      <c r="M32" s="24">
        <v>50000</v>
      </c>
      <c r="O32" s="45" t="s">
        <v>149</v>
      </c>
      <c r="P32" s="45">
        <f>HEX2DEC(RIGHT(Table132321[[#This Row],[h1]],8))</f>
        <v>0</v>
      </c>
      <c r="Q32" s="45" t="s">
        <v>149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230</v>
      </c>
      <c r="G33" s="33">
        <v>0</v>
      </c>
      <c r="H33" s="45"/>
      <c r="J33" s="24">
        <v>50000</v>
      </c>
      <c r="K33" s="45"/>
      <c r="M33" s="24">
        <v>50000</v>
      </c>
      <c r="O33" s="45" t="s">
        <v>149</v>
      </c>
      <c r="P33" s="45">
        <f>HEX2DEC(RIGHT(Table132321[[#This Row],[h1]],8))</f>
        <v>0</v>
      </c>
      <c r="Q33" s="45" t="s">
        <v>149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231</v>
      </c>
      <c r="G34" s="33">
        <v>0</v>
      </c>
      <c r="H34" s="45"/>
      <c r="J34" s="24">
        <v>50000</v>
      </c>
      <c r="K34" s="45"/>
      <c r="M34" s="24">
        <v>50000</v>
      </c>
      <c r="O34" s="45" t="s">
        <v>149</v>
      </c>
      <c r="P34" s="45">
        <f>HEX2DEC(RIGHT(Table132321[[#This Row],[h1]],8))</f>
        <v>0</v>
      </c>
      <c r="Q34" s="45" t="s">
        <v>149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232</v>
      </c>
      <c r="G35" s="33">
        <v>0</v>
      </c>
      <c r="H35" s="45"/>
      <c r="J35" s="24">
        <v>50000</v>
      </c>
      <c r="K35" s="45"/>
      <c r="M35" s="24">
        <v>50000</v>
      </c>
      <c r="O35" s="45" t="s">
        <v>149</v>
      </c>
      <c r="P35" s="45">
        <f>HEX2DEC(RIGHT(Table132321[[#This Row],[h1]],8))</f>
        <v>0</v>
      </c>
      <c r="Q35" s="45" t="s">
        <v>149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233</v>
      </c>
      <c r="G36" s="33">
        <v>0</v>
      </c>
      <c r="H36" s="45"/>
      <c r="J36" s="24">
        <v>50000</v>
      </c>
      <c r="K36" s="45"/>
      <c r="M36" s="24">
        <v>50000</v>
      </c>
      <c r="O36" s="45" t="s">
        <v>149</v>
      </c>
      <c r="P36" s="45">
        <f>HEX2DEC(RIGHT(Table132321[[#This Row],[h1]],8))</f>
        <v>0</v>
      </c>
      <c r="Q36" s="45" t="s">
        <v>149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234</v>
      </c>
      <c r="G37" s="33">
        <v>0</v>
      </c>
      <c r="H37" s="45"/>
      <c r="J37" s="24">
        <v>50000</v>
      </c>
      <c r="K37" s="45"/>
      <c r="M37" s="24">
        <v>50000</v>
      </c>
      <c r="O37" s="45" t="s">
        <v>149</v>
      </c>
      <c r="P37" s="45">
        <f>HEX2DEC(RIGHT(Table132321[[#This Row],[h1]],8))</f>
        <v>0</v>
      </c>
      <c r="Q37" s="45" t="s">
        <v>149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235</v>
      </c>
      <c r="G38" s="33">
        <v>0</v>
      </c>
      <c r="H38" s="45"/>
      <c r="J38" s="24">
        <v>50000</v>
      </c>
      <c r="K38" s="45"/>
      <c r="L38" s="20" t="s">
        <v>140</v>
      </c>
      <c r="M38" s="24">
        <v>50000</v>
      </c>
      <c r="O38" s="45" t="s">
        <v>149</v>
      </c>
      <c r="P38" s="45">
        <f>HEX2DEC(RIGHT(Table132321[[#This Row],[h1]],8))</f>
        <v>0</v>
      </c>
      <c r="Q38" s="45" t="s">
        <v>149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236</v>
      </c>
      <c r="G39" s="33">
        <v>0</v>
      </c>
      <c r="H39" s="45"/>
      <c r="J39" s="24">
        <v>50000</v>
      </c>
      <c r="K39" s="45"/>
      <c r="M39" s="24">
        <v>50000</v>
      </c>
      <c r="O39" s="45" t="s">
        <v>149</v>
      </c>
      <c r="P39" s="45">
        <f>HEX2DEC(RIGHT(Table132321[[#This Row],[h1]],8))</f>
        <v>0</v>
      </c>
      <c r="Q39" s="45" t="s">
        <v>149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149</v>
      </c>
      <c r="P40" s="45">
        <f>HEX2DEC(RIGHT(Table132321[[#This Row],[h1]],8))</f>
        <v>0</v>
      </c>
      <c r="Q40" s="45" t="s">
        <v>149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237</v>
      </c>
      <c r="G41" s="33">
        <v>0</v>
      </c>
      <c r="H41" s="45"/>
      <c r="J41" s="24">
        <v>50000</v>
      </c>
      <c r="K41" s="45"/>
      <c r="M41" s="24">
        <v>50000</v>
      </c>
      <c r="O41" s="45" t="s">
        <v>149</v>
      </c>
      <c r="P41" s="45">
        <f>HEX2DEC(RIGHT(Table132321[[#This Row],[h1]],8))</f>
        <v>0</v>
      </c>
      <c r="Q41" s="45" t="s">
        <v>149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238</v>
      </c>
      <c r="G42" s="33">
        <v>0</v>
      </c>
      <c r="H42" s="45"/>
      <c r="J42" s="24">
        <v>50000</v>
      </c>
      <c r="K42" s="45"/>
      <c r="M42" s="24">
        <v>50000</v>
      </c>
      <c r="O42" s="45" t="s">
        <v>149</v>
      </c>
      <c r="P42" s="45">
        <f>HEX2DEC(RIGHT(Table132321[[#This Row],[h1]],8))</f>
        <v>0</v>
      </c>
      <c r="Q42" s="45" t="s">
        <v>149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239</v>
      </c>
      <c r="G43" s="33">
        <v>0</v>
      </c>
      <c r="H43" s="45"/>
      <c r="J43" s="24">
        <v>50000</v>
      </c>
      <c r="K43" s="45"/>
      <c r="M43" s="24">
        <v>50000</v>
      </c>
      <c r="O43" s="45" t="s">
        <v>149</v>
      </c>
      <c r="P43" s="45">
        <f>HEX2DEC(RIGHT(Table132321[[#This Row],[h1]],8))</f>
        <v>0</v>
      </c>
      <c r="Q43" s="45" t="s">
        <v>149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240</v>
      </c>
      <c r="G44" s="33">
        <v>0</v>
      </c>
      <c r="H44" s="45"/>
      <c r="J44" s="24">
        <v>50000</v>
      </c>
      <c r="K44" s="45"/>
      <c r="M44" s="24">
        <v>50000</v>
      </c>
      <c r="O44" s="45" t="s">
        <v>149</v>
      </c>
      <c r="P44" s="45">
        <f>HEX2DEC(RIGHT(Table132321[[#This Row],[h1]],8))</f>
        <v>0</v>
      </c>
      <c r="Q44" s="45" t="s">
        <v>149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241</v>
      </c>
      <c r="G45" s="33">
        <v>0</v>
      </c>
      <c r="H45" s="45"/>
      <c r="J45" s="24">
        <v>50000</v>
      </c>
      <c r="K45" s="45"/>
      <c r="M45" s="24">
        <v>50000</v>
      </c>
      <c r="O45" s="45" t="s">
        <v>149</v>
      </c>
      <c r="P45" s="45">
        <f>HEX2DEC(RIGHT(Table132321[[#This Row],[h1]],8))</f>
        <v>0</v>
      </c>
      <c r="Q45" s="45" t="s">
        <v>149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242</v>
      </c>
      <c r="G46" s="33">
        <v>0</v>
      </c>
      <c r="H46" s="45"/>
      <c r="I46" s="20" t="s">
        <v>140</v>
      </c>
      <c r="J46" s="24">
        <v>50000</v>
      </c>
      <c r="K46" s="45"/>
      <c r="M46" s="24">
        <v>50000</v>
      </c>
      <c r="O46" s="45" t="s">
        <v>149</v>
      </c>
      <c r="P46" s="45">
        <f>HEX2DEC(RIGHT(Table132321[[#This Row],[h1]],8))</f>
        <v>0</v>
      </c>
      <c r="Q46" s="45" t="s">
        <v>149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243</v>
      </c>
      <c r="G47" s="33">
        <v>0</v>
      </c>
      <c r="H47" s="45"/>
      <c r="J47" s="24">
        <v>50000</v>
      </c>
      <c r="K47" s="45"/>
      <c r="M47" s="24">
        <v>50000</v>
      </c>
      <c r="O47" s="45" t="s">
        <v>149</v>
      </c>
      <c r="P47" s="45">
        <f>HEX2DEC(RIGHT(Table132321[[#This Row],[h1]],8))</f>
        <v>0</v>
      </c>
      <c r="Q47" s="45" t="s">
        <v>149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244</v>
      </c>
      <c r="G48" s="33">
        <v>0</v>
      </c>
      <c r="H48" s="45"/>
      <c r="J48" s="24">
        <v>50000</v>
      </c>
      <c r="K48" s="45"/>
      <c r="M48" s="24">
        <v>50000</v>
      </c>
      <c r="O48" s="45" t="s">
        <v>149</v>
      </c>
      <c r="P48" s="45">
        <f>HEX2DEC(RIGHT(Table132321[[#This Row],[h1]],8))</f>
        <v>0</v>
      </c>
      <c r="Q48" s="45" t="s">
        <v>149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245</v>
      </c>
      <c r="G49" s="33">
        <v>0</v>
      </c>
      <c r="H49" s="45"/>
      <c r="J49" s="24">
        <v>50000</v>
      </c>
      <c r="K49" s="45"/>
      <c r="M49" s="24">
        <v>50000</v>
      </c>
      <c r="O49" s="45" t="s">
        <v>149</v>
      </c>
      <c r="P49" s="45">
        <f>HEX2DEC(RIGHT(Table132321[[#This Row],[h1]],8))</f>
        <v>0</v>
      </c>
      <c r="Q49" s="45" t="s">
        <v>149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246</v>
      </c>
      <c r="G50" s="33">
        <v>0</v>
      </c>
      <c r="H50" s="45"/>
      <c r="J50" s="24">
        <v>50000</v>
      </c>
      <c r="K50" s="45"/>
      <c r="M50" s="24">
        <v>50000</v>
      </c>
      <c r="O50" s="45" t="s">
        <v>149</v>
      </c>
      <c r="P50" s="45">
        <f>HEX2DEC(RIGHT(Table132321[[#This Row],[h1]],8))</f>
        <v>0</v>
      </c>
      <c r="Q50" s="45" t="s">
        <v>149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247</v>
      </c>
      <c r="G51" s="33">
        <v>0</v>
      </c>
      <c r="H51" s="45"/>
      <c r="J51" s="24">
        <v>50000</v>
      </c>
      <c r="K51" s="45"/>
      <c r="M51" s="24">
        <v>50000</v>
      </c>
      <c r="O51" s="45" t="s">
        <v>149</v>
      </c>
      <c r="P51" s="45">
        <f>HEX2DEC(RIGHT(Table132321[[#This Row],[h1]],8))</f>
        <v>0</v>
      </c>
      <c r="Q51" s="45" t="s">
        <v>149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248</v>
      </c>
      <c r="G52" s="33">
        <v>0</v>
      </c>
      <c r="H52" s="45"/>
      <c r="J52" s="24">
        <v>50000</v>
      </c>
      <c r="K52" s="45"/>
      <c r="M52" s="24">
        <v>50000</v>
      </c>
      <c r="O52" s="45" t="s">
        <v>149</v>
      </c>
      <c r="P52" s="45">
        <f>HEX2DEC(RIGHT(Table132321[[#This Row],[h1]],8))</f>
        <v>0</v>
      </c>
      <c r="Q52" s="45" t="s">
        <v>149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249</v>
      </c>
      <c r="G53" s="33">
        <v>0</v>
      </c>
      <c r="H53" s="45"/>
      <c r="J53" s="24">
        <v>50000</v>
      </c>
      <c r="K53" s="45"/>
      <c r="M53" s="24">
        <v>50000</v>
      </c>
      <c r="O53" s="45" t="s">
        <v>149</v>
      </c>
      <c r="P53" s="45">
        <f>HEX2DEC(RIGHT(Table132321[[#This Row],[h1]],8))</f>
        <v>0</v>
      </c>
      <c r="Q53" s="45" t="s">
        <v>149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250</v>
      </c>
      <c r="G54" s="33">
        <v>0</v>
      </c>
      <c r="H54" s="45"/>
      <c r="J54" s="24">
        <v>50000</v>
      </c>
      <c r="K54" s="45"/>
      <c r="M54" s="24">
        <v>50000</v>
      </c>
      <c r="O54" s="45" t="s">
        <v>149</v>
      </c>
      <c r="P54" s="45">
        <f>HEX2DEC(RIGHT(Table132321[[#This Row],[h1]],8))</f>
        <v>0</v>
      </c>
      <c r="Q54" s="45" t="s">
        <v>149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251</v>
      </c>
      <c r="G55" s="33">
        <v>0</v>
      </c>
      <c r="H55" s="45"/>
      <c r="J55" s="24">
        <v>50000</v>
      </c>
      <c r="K55" s="45"/>
      <c r="M55" s="24">
        <v>50000</v>
      </c>
      <c r="O55" s="45" t="s">
        <v>149</v>
      </c>
      <c r="P55" s="45">
        <f>HEX2DEC(RIGHT(Table132321[[#This Row],[h1]],8))</f>
        <v>0</v>
      </c>
      <c r="Q55" s="45" t="s">
        <v>149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252</v>
      </c>
      <c r="G56" s="33">
        <v>0</v>
      </c>
      <c r="H56" s="45"/>
      <c r="J56" s="24">
        <v>50000</v>
      </c>
      <c r="K56" s="45"/>
      <c r="M56" s="24">
        <v>50000</v>
      </c>
      <c r="O56" s="45" t="s">
        <v>149</v>
      </c>
      <c r="P56" s="45">
        <f>HEX2DEC(RIGHT(Table132321[[#This Row],[h1]],8))</f>
        <v>0</v>
      </c>
      <c r="Q56" s="45" t="s">
        <v>149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253</v>
      </c>
      <c r="G57" s="33">
        <v>0</v>
      </c>
      <c r="H57" s="45"/>
      <c r="J57" s="24">
        <v>50000</v>
      </c>
      <c r="K57" s="45"/>
      <c r="M57" s="24">
        <v>50000</v>
      </c>
      <c r="O57" s="45" t="s">
        <v>149</v>
      </c>
      <c r="P57" s="45">
        <f>HEX2DEC(RIGHT(Table132321[[#This Row],[h1]],8))</f>
        <v>0</v>
      </c>
      <c r="Q57" s="45" t="s">
        <v>149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254</v>
      </c>
      <c r="G58" s="33">
        <v>0</v>
      </c>
      <c r="H58" s="45"/>
      <c r="J58" s="24">
        <v>50000</v>
      </c>
      <c r="K58" s="45"/>
      <c r="M58" s="24">
        <v>50000</v>
      </c>
      <c r="O58" s="45" t="s">
        <v>149</v>
      </c>
      <c r="P58" s="45">
        <f>HEX2DEC(RIGHT(Table132321[[#This Row],[h1]],8))</f>
        <v>0</v>
      </c>
      <c r="Q58" s="45" t="s">
        <v>149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255</v>
      </c>
      <c r="G59" s="33">
        <v>0</v>
      </c>
      <c r="H59" s="45"/>
      <c r="J59" s="24">
        <v>50000</v>
      </c>
      <c r="K59" s="45"/>
      <c r="M59" s="24">
        <v>50000</v>
      </c>
      <c r="O59" s="45" t="s">
        <v>149</v>
      </c>
      <c r="P59" s="45">
        <f>HEX2DEC(RIGHT(Table132321[[#This Row],[h1]],8))</f>
        <v>0</v>
      </c>
      <c r="Q59" s="45" t="s">
        <v>149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256</v>
      </c>
      <c r="G60" s="33">
        <v>0</v>
      </c>
      <c r="H60" s="45"/>
      <c r="J60" s="24">
        <v>50000</v>
      </c>
      <c r="K60" s="45"/>
      <c r="M60" s="24">
        <v>50000</v>
      </c>
      <c r="O60" s="45" t="s">
        <v>149</v>
      </c>
      <c r="P60" s="45">
        <f>HEX2DEC(RIGHT(Table132321[[#This Row],[h1]],8))</f>
        <v>0</v>
      </c>
      <c r="Q60" s="45" t="s">
        <v>149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257</v>
      </c>
      <c r="G61" s="33">
        <v>0</v>
      </c>
      <c r="H61" s="45"/>
      <c r="J61" s="24">
        <v>50000</v>
      </c>
      <c r="K61" s="45"/>
      <c r="M61" s="24">
        <v>50000</v>
      </c>
      <c r="O61" s="45" t="s">
        <v>149</v>
      </c>
      <c r="P61" s="45">
        <f>HEX2DEC(RIGHT(Table132321[[#This Row],[h1]],8))</f>
        <v>0</v>
      </c>
      <c r="Q61" s="45" t="s">
        <v>149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258</v>
      </c>
      <c r="G62" s="33">
        <v>0</v>
      </c>
      <c r="J62" s="24">
        <v>50000</v>
      </c>
      <c r="M62" s="24">
        <v>50000</v>
      </c>
      <c r="O62" s="45" t="s">
        <v>149</v>
      </c>
      <c r="P62" s="45">
        <f>HEX2DEC(RIGHT(Table132321[[#This Row],[h1]],8))</f>
        <v>0</v>
      </c>
      <c r="Q62" s="45" t="s">
        <v>149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259</v>
      </c>
      <c r="G63" s="33">
        <v>0</v>
      </c>
      <c r="J63" s="24">
        <v>50000</v>
      </c>
      <c r="M63" s="24">
        <v>50000</v>
      </c>
      <c r="O63" s="45" t="s">
        <v>149</v>
      </c>
      <c r="P63" s="45">
        <f>HEX2DEC(RIGHT(Table132321[[#This Row],[h1]],8))</f>
        <v>0</v>
      </c>
      <c r="Q63" s="45" t="s">
        <v>149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260</v>
      </c>
      <c r="G64" s="33">
        <v>0</v>
      </c>
      <c r="J64" s="24">
        <v>50000</v>
      </c>
      <c r="M64" s="24">
        <v>50000</v>
      </c>
      <c r="O64" s="45" t="s">
        <v>149</v>
      </c>
      <c r="P64" s="45">
        <f>HEX2DEC(RIGHT(Table132321[[#This Row],[h1]],8))</f>
        <v>0</v>
      </c>
      <c r="Q64" s="45" t="s">
        <v>149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261</v>
      </c>
      <c r="G65" s="33">
        <v>0</v>
      </c>
      <c r="J65" s="24">
        <v>50000</v>
      </c>
      <c r="M65" s="24">
        <v>50000</v>
      </c>
      <c r="O65" s="45" t="s">
        <v>149</v>
      </c>
      <c r="P65" s="45">
        <f>HEX2DEC(RIGHT(Table132321[[#This Row],[h1]],8))</f>
        <v>0</v>
      </c>
      <c r="Q65" s="45" t="s">
        <v>149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262</v>
      </c>
      <c r="G66" s="33">
        <v>0</v>
      </c>
      <c r="J66" s="24">
        <v>50000</v>
      </c>
      <c r="M66" s="24">
        <v>50000</v>
      </c>
      <c r="O66" s="45" t="s">
        <v>149</v>
      </c>
      <c r="P66" s="45">
        <f>HEX2DEC(RIGHT(Table132321[[#This Row],[h1]],8))</f>
        <v>0</v>
      </c>
      <c r="Q66" s="45" t="s">
        <v>149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263</v>
      </c>
      <c r="G67" s="33">
        <v>0</v>
      </c>
      <c r="J67" s="24">
        <v>50000</v>
      </c>
      <c r="M67" s="24">
        <v>50000</v>
      </c>
      <c r="O67" s="45" t="s">
        <v>149</v>
      </c>
      <c r="P67" s="45">
        <f>HEX2DEC(RIGHT(Table132321[[#This Row],[h1]],8))</f>
        <v>0</v>
      </c>
      <c r="Q67" s="45" t="s">
        <v>149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264</v>
      </c>
      <c r="G68" s="33">
        <v>0</v>
      </c>
      <c r="J68" s="24">
        <v>50000</v>
      </c>
      <c r="M68" s="24">
        <v>50000</v>
      </c>
      <c r="O68" s="45" t="s">
        <v>149</v>
      </c>
      <c r="P68" s="45">
        <f>HEX2DEC(RIGHT(Table132321[[#This Row],[h1]],8))</f>
        <v>0</v>
      </c>
      <c r="Q68" s="45" t="s">
        <v>149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265</v>
      </c>
      <c r="G69" s="33">
        <v>0</v>
      </c>
      <c r="J69" s="24">
        <v>50000</v>
      </c>
      <c r="M69" s="24">
        <v>50000</v>
      </c>
      <c r="O69" s="45" t="s">
        <v>149</v>
      </c>
      <c r="P69" s="45">
        <f>HEX2DEC(RIGHT(Table132321[[#This Row],[h1]],8))</f>
        <v>0</v>
      </c>
      <c r="Q69" s="45" t="s">
        <v>149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266</v>
      </c>
      <c r="G70" s="33">
        <v>0</v>
      </c>
      <c r="J70" s="24">
        <v>50000</v>
      </c>
      <c r="M70" s="24">
        <v>50000</v>
      </c>
      <c r="O70" s="45" t="s">
        <v>149</v>
      </c>
      <c r="P70" s="45">
        <f>HEX2DEC(RIGHT(Table132321[[#This Row],[h1]],8))</f>
        <v>0</v>
      </c>
      <c r="Q70" s="45" t="s">
        <v>149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267</v>
      </c>
      <c r="G71" s="33">
        <v>0</v>
      </c>
      <c r="J71" s="24">
        <v>50000</v>
      </c>
      <c r="M71" s="24">
        <v>50000</v>
      </c>
      <c r="O71" s="45" t="s">
        <v>149</v>
      </c>
      <c r="P71" s="45">
        <f>HEX2DEC(RIGHT(Table132321[[#This Row],[h1]],8))</f>
        <v>0</v>
      </c>
      <c r="Q71" s="45" t="s">
        <v>149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268</v>
      </c>
      <c r="G72" s="33">
        <v>0</v>
      </c>
      <c r="J72" s="24">
        <v>50000</v>
      </c>
      <c r="M72" s="24">
        <v>50000</v>
      </c>
      <c r="O72" s="45" t="s">
        <v>149</v>
      </c>
      <c r="P72" s="45">
        <f>HEX2DEC(RIGHT(Table132321[[#This Row],[h1]],8))</f>
        <v>0</v>
      </c>
      <c r="Q72" s="45" t="s">
        <v>149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149</v>
      </c>
      <c r="P73" s="45">
        <f>HEX2DEC(RIGHT(Table132321[[#This Row],[h1]],8))</f>
        <v>0</v>
      </c>
      <c r="Q73" s="45" t="s">
        <v>149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269</v>
      </c>
      <c r="G74" s="33">
        <v>10</v>
      </c>
      <c r="J74" s="24">
        <v>50000</v>
      </c>
      <c r="M74" s="24">
        <v>50000</v>
      </c>
      <c r="O74" s="45" t="s">
        <v>149</v>
      </c>
      <c r="P74" s="45">
        <f>HEX2DEC(RIGHT(Table132321[[#This Row],[h1]],8))</f>
        <v>0</v>
      </c>
      <c r="Q74" s="45" t="s">
        <v>149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270</v>
      </c>
      <c r="G75" s="33">
        <v>20</v>
      </c>
      <c r="J75" s="24">
        <v>50000</v>
      </c>
      <c r="M75" s="24">
        <v>50000</v>
      </c>
      <c r="O75" s="45" t="s">
        <v>149</v>
      </c>
      <c r="P75" s="45">
        <f>HEX2DEC(RIGHT(Table132321[[#This Row],[h1]],8))</f>
        <v>0</v>
      </c>
      <c r="Q75" s="45" t="s">
        <v>149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271</v>
      </c>
      <c r="G76" s="33">
        <v>50</v>
      </c>
      <c r="J76" s="24">
        <v>50000</v>
      </c>
      <c r="M76" s="24">
        <v>50000</v>
      </c>
      <c r="O76" s="45" t="s">
        <v>149</v>
      </c>
      <c r="P76" s="45">
        <f>HEX2DEC(RIGHT(Table132321[[#This Row],[h1]],8))</f>
        <v>0</v>
      </c>
      <c r="Q76" s="45" t="s">
        <v>149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272</v>
      </c>
      <c r="G77" s="33">
        <v>0</v>
      </c>
      <c r="J77" s="24">
        <v>50000</v>
      </c>
      <c r="M77" s="24">
        <v>50000</v>
      </c>
      <c r="O77" s="45" t="s">
        <v>149</v>
      </c>
      <c r="P77" s="45">
        <f>HEX2DEC(RIGHT(Table132321[[#This Row],[h1]],8))</f>
        <v>0</v>
      </c>
      <c r="Q77" s="45" t="s">
        <v>149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273</v>
      </c>
      <c r="G78" s="33">
        <v>0</v>
      </c>
      <c r="J78" s="24">
        <v>50000</v>
      </c>
      <c r="M78" s="24">
        <v>50000</v>
      </c>
      <c r="O78" s="45" t="s">
        <v>149</v>
      </c>
      <c r="P78" s="45">
        <f>HEX2DEC(RIGHT(Table132321[[#This Row],[h1]],8))</f>
        <v>0</v>
      </c>
      <c r="Q78" s="45" t="s">
        <v>149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274</v>
      </c>
      <c r="G79" s="33">
        <v>0</v>
      </c>
      <c r="J79" s="24">
        <v>50000</v>
      </c>
      <c r="M79" s="24">
        <v>50000</v>
      </c>
      <c r="O79" s="45" t="s">
        <v>149</v>
      </c>
      <c r="P79" s="45">
        <f>HEX2DEC(RIGHT(Table132321[[#This Row],[h1]],8))</f>
        <v>0</v>
      </c>
      <c r="Q79" s="45" t="s">
        <v>149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275</v>
      </c>
      <c r="G80" s="33">
        <v>0</v>
      </c>
      <c r="J80" s="24">
        <v>50000</v>
      </c>
      <c r="M80" s="24">
        <v>50000</v>
      </c>
      <c r="O80" s="45" t="s">
        <v>149</v>
      </c>
      <c r="P80" s="45">
        <f>HEX2DEC(RIGHT(Table132321[[#This Row],[h1]],8))</f>
        <v>0</v>
      </c>
      <c r="Q80" s="45" t="s">
        <v>149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276</v>
      </c>
      <c r="G81" s="33">
        <v>0</v>
      </c>
      <c r="J81" s="24">
        <v>50000</v>
      </c>
      <c r="M81" s="24">
        <v>50000</v>
      </c>
      <c r="O81" s="45" t="s">
        <v>149</v>
      </c>
      <c r="P81" s="45">
        <f>HEX2DEC(RIGHT(Table132321[[#This Row],[h1]],8))</f>
        <v>0</v>
      </c>
      <c r="Q81" s="45" t="s">
        <v>149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277</v>
      </c>
      <c r="G82" s="33">
        <v>0</v>
      </c>
      <c r="J82" s="24">
        <v>50000</v>
      </c>
      <c r="M82" s="24">
        <v>50000</v>
      </c>
      <c r="O82" s="45" t="s">
        <v>149</v>
      </c>
      <c r="P82" s="45">
        <f>HEX2DEC(RIGHT(Table132321[[#This Row],[h1]],8))</f>
        <v>0</v>
      </c>
      <c r="Q82" s="45" t="s">
        <v>149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278</v>
      </c>
      <c r="G83" s="33">
        <v>0</v>
      </c>
      <c r="J83" s="24">
        <v>50000</v>
      </c>
      <c r="M83" s="24">
        <v>50000</v>
      </c>
      <c r="O83" s="45" t="s">
        <v>149</v>
      </c>
      <c r="P83" s="45">
        <f>HEX2DEC(RIGHT(Table132321[[#This Row],[h1]],8))</f>
        <v>0</v>
      </c>
      <c r="Q83" s="45" t="s">
        <v>149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279</v>
      </c>
      <c r="G84" s="33">
        <v>0</v>
      </c>
      <c r="J84" s="24">
        <v>50000</v>
      </c>
      <c r="M84" s="24">
        <v>50000</v>
      </c>
      <c r="O84" s="45" t="s">
        <v>149</v>
      </c>
      <c r="P84" s="45">
        <f>HEX2DEC(RIGHT(Table132321[[#This Row],[h1]],8))</f>
        <v>0</v>
      </c>
      <c r="Q84" s="45" t="s">
        <v>149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280</v>
      </c>
      <c r="G85" s="33">
        <v>0</v>
      </c>
      <c r="J85" s="24">
        <v>50000</v>
      </c>
      <c r="M85" s="24">
        <v>50000</v>
      </c>
      <c r="O85" s="45" t="s">
        <v>149</v>
      </c>
      <c r="P85" s="45">
        <f>HEX2DEC(RIGHT(Table132321[[#This Row],[h1]],8))</f>
        <v>0</v>
      </c>
      <c r="Q85" s="45" t="s">
        <v>149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281</v>
      </c>
      <c r="G86" s="33">
        <v>0</v>
      </c>
      <c r="J86" s="24">
        <v>50000</v>
      </c>
      <c r="M86" s="24">
        <v>50000</v>
      </c>
      <c r="O86" s="45" t="s">
        <v>149</v>
      </c>
      <c r="P86" s="45">
        <f>HEX2DEC(RIGHT(Table132321[[#This Row],[h1]],8))</f>
        <v>0</v>
      </c>
      <c r="Q86" s="45" t="s">
        <v>149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282</v>
      </c>
      <c r="G87" s="33">
        <v>0</v>
      </c>
      <c r="J87" s="24">
        <v>50000</v>
      </c>
      <c r="M87" s="24">
        <v>50000</v>
      </c>
      <c r="O87" s="45" t="s">
        <v>149</v>
      </c>
      <c r="P87" s="45">
        <f>HEX2DEC(RIGHT(Table132321[[#This Row],[h1]],8))</f>
        <v>0</v>
      </c>
      <c r="Q87" s="45" t="s">
        <v>149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283</v>
      </c>
      <c r="G88" s="33">
        <v>0</v>
      </c>
      <c r="J88" s="24">
        <v>50000</v>
      </c>
      <c r="M88" s="24">
        <v>50000</v>
      </c>
      <c r="O88" s="45" t="s">
        <v>149</v>
      </c>
      <c r="P88" s="45">
        <f>HEX2DEC(RIGHT(Table132321[[#This Row],[h1]],8))</f>
        <v>0</v>
      </c>
      <c r="Q88" s="45" t="s">
        <v>149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284</v>
      </c>
      <c r="G89" s="33">
        <v>0</v>
      </c>
      <c r="J89" s="24">
        <v>50000</v>
      </c>
      <c r="M89" s="24">
        <v>50000</v>
      </c>
      <c r="O89" s="45" t="s">
        <v>149</v>
      </c>
      <c r="P89" s="45">
        <f>HEX2DEC(RIGHT(Table132321[[#This Row],[h1]],8))</f>
        <v>0</v>
      </c>
      <c r="Q89" s="45" t="s">
        <v>149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285</v>
      </c>
      <c r="G90" s="33">
        <v>0</v>
      </c>
      <c r="J90" s="24">
        <v>50000</v>
      </c>
      <c r="M90" s="24">
        <v>50000</v>
      </c>
      <c r="O90" s="45" t="s">
        <v>149</v>
      </c>
      <c r="P90" s="45">
        <f>HEX2DEC(RIGHT(Table132321[[#This Row],[h1]],8))</f>
        <v>0</v>
      </c>
      <c r="Q90" s="45" t="s">
        <v>149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286</v>
      </c>
      <c r="G91" s="33">
        <v>0</v>
      </c>
      <c r="J91" s="24">
        <v>50000</v>
      </c>
      <c r="M91" s="24">
        <v>50000</v>
      </c>
      <c r="O91" s="45" t="s">
        <v>149</v>
      </c>
      <c r="P91" s="45">
        <f>HEX2DEC(RIGHT(Table132321[[#This Row],[h1]],8))</f>
        <v>0</v>
      </c>
      <c r="Q91" s="45" t="s">
        <v>149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287</v>
      </c>
      <c r="G92" s="33">
        <v>0</v>
      </c>
      <c r="J92" s="24">
        <v>50000</v>
      </c>
      <c r="M92" s="24">
        <v>50000</v>
      </c>
      <c r="O92" s="45" t="s">
        <v>149</v>
      </c>
      <c r="P92" s="45">
        <f>HEX2DEC(RIGHT(Table132321[[#This Row],[h1]],8))</f>
        <v>0</v>
      </c>
      <c r="Q92" s="45" t="s">
        <v>149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288</v>
      </c>
      <c r="G93" s="33">
        <v>0</v>
      </c>
      <c r="J93" s="24">
        <v>50000</v>
      </c>
      <c r="M93" s="24">
        <v>50000</v>
      </c>
      <c r="O93" s="45" t="s">
        <v>149</v>
      </c>
      <c r="P93" s="45">
        <f>HEX2DEC(RIGHT(Table132321[[#This Row],[h1]],8))</f>
        <v>0</v>
      </c>
      <c r="Q93" s="45" t="s">
        <v>149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289</v>
      </c>
      <c r="G94" s="33">
        <v>0</v>
      </c>
      <c r="J94" s="24">
        <v>50000</v>
      </c>
      <c r="M94" s="24">
        <v>50000</v>
      </c>
      <c r="O94" s="45" t="s">
        <v>149</v>
      </c>
      <c r="P94" s="45">
        <f>HEX2DEC(RIGHT(Table132321[[#This Row],[h1]],8))</f>
        <v>0</v>
      </c>
      <c r="Q94" s="45" t="s">
        <v>149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290</v>
      </c>
      <c r="G95" s="33">
        <v>0</v>
      </c>
      <c r="J95" s="24">
        <v>50000</v>
      </c>
      <c r="M95" s="24">
        <v>50000</v>
      </c>
      <c r="O95" s="45" t="s">
        <v>149</v>
      </c>
      <c r="P95" s="45">
        <f>HEX2DEC(RIGHT(Table132321[[#This Row],[h1]],8))</f>
        <v>0</v>
      </c>
      <c r="Q95" s="45" t="s">
        <v>149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291</v>
      </c>
      <c r="G96" s="33">
        <v>0</v>
      </c>
      <c r="J96" s="24">
        <v>50000</v>
      </c>
      <c r="M96" s="24">
        <v>50000</v>
      </c>
      <c r="O96" s="45" t="s">
        <v>149</v>
      </c>
      <c r="P96" s="45">
        <f>HEX2DEC(RIGHT(Table132321[[#This Row],[h1]],8))</f>
        <v>0</v>
      </c>
      <c r="Q96" s="45" t="s">
        <v>149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292</v>
      </c>
      <c r="G97" s="33">
        <v>0</v>
      </c>
      <c r="J97" s="24">
        <v>50000</v>
      </c>
      <c r="M97" s="24">
        <v>50000</v>
      </c>
      <c r="O97" s="45" t="s">
        <v>149</v>
      </c>
      <c r="P97" s="45">
        <f>HEX2DEC(RIGHT(Table132321[[#This Row],[h1]],8))</f>
        <v>0</v>
      </c>
      <c r="Q97" s="45" t="s">
        <v>149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293</v>
      </c>
      <c r="G98" s="33">
        <v>0</v>
      </c>
      <c r="J98" s="24">
        <v>50000</v>
      </c>
      <c r="M98" s="24">
        <v>50000</v>
      </c>
      <c r="O98" s="45" t="s">
        <v>149</v>
      </c>
      <c r="P98" s="45">
        <f>HEX2DEC(RIGHT(Table132321[[#This Row],[h1]],8))</f>
        <v>0</v>
      </c>
      <c r="Q98" s="45" t="s">
        <v>149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294</v>
      </c>
      <c r="G99" s="33">
        <v>0</v>
      </c>
      <c r="J99" s="24">
        <v>50000</v>
      </c>
      <c r="M99" s="24">
        <v>50000</v>
      </c>
      <c r="O99" s="45" t="s">
        <v>149</v>
      </c>
      <c r="P99" s="45">
        <f>HEX2DEC(RIGHT(Table132321[[#This Row],[h1]],8))</f>
        <v>0</v>
      </c>
      <c r="Q99" s="45" t="s">
        <v>149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295</v>
      </c>
      <c r="G100" s="33">
        <v>0</v>
      </c>
      <c r="J100" s="24">
        <v>50000</v>
      </c>
      <c r="M100" s="24">
        <v>50000</v>
      </c>
      <c r="O100" s="45" t="s">
        <v>149</v>
      </c>
      <c r="P100" s="45">
        <f>HEX2DEC(RIGHT(Table132321[[#This Row],[h1]],8))</f>
        <v>0</v>
      </c>
      <c r="Q100" s="45" t="s">
        <v>149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296</v>
      </c>
      <c r="G101" s="33">
        <v>0</v>
      </c>
      <c r="J101" s="24">
        <v>50000</v>
      </c>
      <c r="M101" s="24">
        <v>50000</v>
      </c>
      <c r="O101" s="45" t="s">
        <v>149</v>
      </c>
      <c r="P101" s="45">
        <f>HEX2DEC(RIGHT(Table132321[[#This Row],[h1]],8))</f>
        <v>0</v>
      </c>
      <c r="Q101" s="45" t="s">
        <v>149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297</v>
      </c>
      <c r="G102" s="33">
        <v>0</v>
      </c>
      <c r="J102" s="24">
        <v>50000</v>
      </c>
      <c r="M102" s="24">
        <v>50000</v>
      </c>
      <c r="O102" s="45" t="s">
        <v>149</v>
      </c>
      <c r="P102" s="45">
        <f>HEX2DEC(RIGHT(Table132321[[#This Row],[h1]],8))</f>
        <v>0</v>
      </c>
      <c r="Q102" s="45" t="s">
        <v>149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298</v>
      </c>
      <c r="G103" s="33">
        <v>0</v>
      </c>
      <c r="J103" s="24">
        <v>50000</v>
      </c>
      <c r="M103" s="24">
        <v>50000</v>
      </c>
      <c r="O103" s="45" t="s">
        <v>149</v>
      </c>
      <c r="P103" s="45">
        <f>HEX2DEC(RIGHT(Table132321[[#This Row],[h1]],8))</f>
        <v>0</v>
      </c>
      <c r="Q103" s="45" t="s">
        <v>149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299</v>
      </c>
      <c r="G104" s="33">
        <v>0</v>
      </c>
      <c r="J104" s="24">
        <v>50000</v>
      </c>
      <c r="M104" s="24">
        <v>50000</v>
      </c>
      <c r="O104" s="45" t="s">
        <v>149</v>
      </c>
      <c r="P104" s="45">
        <f>HEX2DEC(RIGHT(Table132321[[#This Row],[h1]],8))</f>
        <v>0</v>
      </c>
      <c r="Q104" s="45" t="s">
        <v>149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300</v>
      </c>
      <c r="G105" s="33">
        <v>0</v>
      </c>
      <c r="J105" s="24">
        <v>50000</v>
      </c>
      <c r="M105" s="24">
        <v>50000</v>
      </c>
      <c r="O105" s="45" t="s">
        <v>149</v>
      </c>
      <c r="P105" s="45">
        <f>HEX2DEC(RIGHT(Table132321[[#This Row],[h1]],8))</f>
        <v>0</v>
      </c>
      <c r="Q105" s="45" t="s">
        <v>149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149</v>
      </c>
      <c r="P106" s="45">
        <f>HEX2DEC(RIGHT(Table132321[[#This Row],[h1]],8))</f>
        <v>0</v>
      </c>
      <c r="Q106" s="45" t="s">
        <v>149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301</v>
      </c>
      <c r="G107" s="33">
        <v>100</v>
      </c>
      <c r="J107" s="24">
        <v>50000</v>
      </c>
      <c r="M107" s="24">
        <v>50000</v>
      </c>
      <c r="O107" s="45" t="s">
        <v>149</v>
      </c>
      <c r="P107" s="45">
        <f>HEX2DEC(RIGHT(Table132321[[#This Row],[h1]],8))</f>
        <v>0</v>
      </c>
      <c r="Q107" s="45" t="s">
        <v>149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302</v>
      </c>
      <c r="G108" s="33">
        <v>100</v>
      </c>
      <c r="J108" s="24">
        <v>50000</v>
      </c>
      <c r="M108" s="24">
        <v>50000</v>
      </c>
      <c r="O108" s="45" t="s">
        <v>149</v>
      </c>
      <c r="P108" s="45">
        <f>HEX2DEC(RIGHT(Table132321[[#This Row],[h1]],8))</f>
        <v>0</v>
      </c>
      <c r="Q108" s="45" t="s">
        <v>149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303</v>
      </c>
      <c r="G109" s="33">
        <v>100</v>
      </c>
      <c r="J109" s="24">
        <v>50000</v>
      </c>
      <c r="M109" s="24">
        <v>50000</v>
      </c>
      <c r="O109" s="45" t="s">
        <v>149</v>
      </c>
      <c r="P109" s="45">
        <f>HEX2DEC(RIGHT(Table132321[[#This Row],[h1]],8))</f>
        <v>0</v>
      </c>
      <c r="Q109" s="45" t="s">
        <v>149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304</v>
      </c>
      <c r="G110" s="33">
        <v>100</v>
      </c>
      <c r="J110" s="24">
        <v>50000</v>
      </c>
      <c r="M110" s="24">
        <v>50000</v>
      </c>
      <c r="O110" s="45" t="s">
        <v>149</v>
      </c>
      <c r="P110" s="45">
        <f>HEX2DEC(RIGHT(Table132321[[#This Row],[h1]],8))</f>
        <v>0</v>
      </c>
      <c r="Q110" s="45" t="s">
        <v>149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305</v>
      </c>
      <c r="G111" s="33">
        <v>100</v>
      </c>
      <c r="J111" s="24">
        <v>50000</v>
      </c>
      <c r="M111" s="24">
        <v>50000</v>
      </c>
      <c r="O111" s="45" t="s">
        <v>149</v>
      </c>
      <c r="P111" s="45">
        <f>HEX2DEC(RIGHT(Table132321[[#This Row],[h1]],8))</f>
        <v>0</v>
      </c>
      <c r="Q111" s="45" t="s">
        <v>149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306</v>
      </c>
      <c r="G112" s="33">
        <v>100</v>
      </c>
      <c r="J112" s="24">
        <v>50000</v>
      </c>
      <c r="M112" s="24">
        <v>50000</v>
      </c>
      <c r="O112" s="45" t="s">
        <v>149</v>
      </c>
      <c r="P112" s="45">
        <f>HEX2DEC(RIGHT(Table132321[[#This Row],[h1]],8))</f>
        <v>0</v>
      </c>
      <c r="Q112" s="45" t="s">
        <v>149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307</v>
      </c>
      <c r="G113" s="33">
        <v>100</v>
      </c>
      <c r="J113" s="24">
        <v>50000</v>
      </c>
      <c r="M113" s="24">
        <v>50000</v>
      </c>
      <c r="O113" s="45" t="s">
        <v>149</v>
      </c>
      <c r="P113" s="45">
        <f>HEX2DEC(RIGHT(Table132321[[#This Row],[h1]],8))</f>
        <v>0</v>
      </c>
      <c r="Q113" s="45" t="s">
        <v>149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308</v>
      </c>
      <c r="G114" s="33">
        <v>100</v>
      </c>
      <c r="J114" s="24">
        <v>50000</v>
      </c>
      <c r="M114" s="24">
        <v>50000</v>
      </c>
      <c r="O114" s="45" t="s">
        <v>149</v>
      </c>
      <c r="P114" s="45">
        <f>HEX2DEC(RIGHT(Table132321[[#This Row],[h1]],8))</f>
        <v>0</v>
      </c>
      <c r="Q114" s="45" t="s">
        <v>149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309</v>
      </c>
      <c r="G115" s="33">
        <v>100</v>
      </c>
      <c r="J115" s="24">
        <v>50000</v>
      </c>
      <c r="M115" s="24">
        <v>50000</v>
      </c>
      <c r="O115" s="45" t="s">
        <v>149</v>
      </c>
      <c r="P115" s="45">
        <f>HEX2DEC(RIGHT(Table132321[[#This Row],[h1]],8))</f>
        <v>0</v>
      </c>
      <c r="Q115" s="45" t="s">
        <v>149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310</v>
      </c>
      <c r="G116" s="33">
        <v>100</v>
      </c>
      <c r="J116" s="24">
        <v>50000</v>
      </c>
      <c r="M116" s="24">
        <v>50000</v>
      </c>
      <c r="O116" s="45" t="s">
        <v>149</v>
      </c>
      <c r="P116" s="45">
        <f>HEX2DEC(RIGHT(Table132321[[#This Row],[h1]],8))</f>
        <v>0</v>
      </c>
      <c r="Q116" s="45" t="s">
        <v>149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311</v>
      </c>
      <c r="G117" s="33">
        <v>100</v>
      </c>
      <c r="J117" s="24">
        <v>50000</v>
      </c>
      <c r="M117" s="24">
        <v>50000</v>
      </c>
      <c r="O117" s="45" t="s">
        <v>149</v>
      </c>
      <c r="P117" s="45">
        <f>HEX2DEC(RIGHT(Table132321[[#This Row],[h1]],8))</f>
        <v>0</v>
      </c>
      <c r="Q117" s="45" t="s">
        <v>149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312</v>
      </c>
      <c r="G118" s="33">
        <v>100</v>
      </c>
      <c r="J118" s="24">
        <v>50000</v>
      </c>
      <c r="M118" s="24">
        <v>50000</v>
      </c>
      <c r="O118" s="45" t="s">
        <v>149</v>
      </c>
      <c r="P118" s="45">
        <f>HEX2DEC(RIGHT(Table132321[[#This Row],[h1]],8))</f>
        <v>0</v>
      </c>
      <c r="Q118" s="45" t="s">
        <v>149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313</v>
      </c>
      <c r="G119" s="33">
        <v>100</v>
      </c>
      <c r="J119" s="24">
        <v>50000</v>
      </c>
      <c r="M119" s="24">
        <v>50000</v>
      </c>
      <c r="O119" s="45" t="s">
        <v>149</v>
      </c>
      <c r="P119" s="45">
        <f>HEX2DEC(RIGHT(Table132321[[#This Row],[h1]],8))</f>
        <v>0</v>
      </c>
      <c r="Q119" s="45" t="s">
        <v>149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314</v>
      </c>
      <c r="G120" s="33">
        <v>100</v>
      </c>
      <c r="J120" s="24">
        <v>50000</v>
      </c>
      <c r="M120" s="24">
        <v>50000</v>
      </c>
      <c r="O120" s="45" t="s">
        <v>149</v>
      </c>
      <c r="P120" s="45">
        <f>HEX2DEC(RIGHT(Table132321[[#This Row],[h1]],8))</f>
        <v>0</v>
      </c>
      <c r="Q120" s="45" t="s">
        <v>149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315</v>
      </c>
      <c r="G121" s="33">
        <v>100</v>
      </c>
      <c r="J121" s="24">
        <v>50000</v>
      </c>
      <c r="M121" s="24">
        <v>50000</v>
      </c>
      <c r="O121" s="45" t="s">
        <v>149</v>
      </c>
      <c r="P121" s="45">
        <f>HEX2DEC(RIGHT(Table132321[[#This Row],[h1]],8))</f>
        <v>0</v>
      </c>
      <c r="Q121" s="45" t="s">
        <v>149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316</v>
      </c>
      <c r="G122" s="33">
        <v>100</v>
      </c>
      <c r="J122" s="24">
        <v>50000</v>
      </c>
      <c r="M122" s="24">
        <v>50000</v>
      </c>
      <c r="O122" s="45" t="s">
        <v>149</v>
      </c>
      <c r="P122" s="45">
        <f>HEX2DEC(RIGHT(Table132321[[#This Row],[h1]],8))</f>
        <v>0</v>
      </c>
      <c r="Q122" s="45" t="s">
        <v>149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317</v>
      </c>
      <c r="G123" s="33">
        <v>100</v>
      </c>
      <c r="J123" s="24">
        <v>50000</v>
      </c>
      <c r="M123" s="24">
        <v>50000</v>
      </c>
      <c r="O123" s="45" t="s">
        <v>149</v>
      </c>
      <c r="P123" s="45">
        <f>HEX2DEC(RIGHT(Table132321[[#This Row],[h1]],8))</f>
        <v>0</v>
      </c>
      <c r="Q123" s="45" t="s">
        <v>149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318</v>
      </c>
      <c r="G124" s="33">
        <v>100</v>
      </c>
      <c r="J124" s="24">
        <v>50000</v>
      </c>
      <c r="M124" s="24">
        <v>50000</v>
      </c>
      <c r="O124" s="45" t="s">
        <v>149</v>
      </c>
      <c r="P124" s="45">
        <f>HEX2DEC(RIGHT(Table132321[[#This Row],[h1]],8))</f>
        <v>0</v>
      </c>
      <c r="Q124" s="45" t="s">
        <v>149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319</v>
      </c>
      <c r="G125" s="33">
        <v>100</v>
      </c>
      <c r="J125" s="24">
        <v>50000</v>
      </c>
      <c r="M125" s="24">
        <v>50000</v>
      </c>
      <c r="O125" s="45" t="s">
        <v>149</v>
      </c>
      <c r="P125" s="45">
        <f>HEX2DEC(RIGHT(Table132321[[#This Row],[h1]],8))</f>
        <v>0</v>
      </c>
      <c r="Q125" s="45" t="s">
        <v>149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320</v>
      </c>
      <c r="G126" s="33">
        <v>100</v>
      </c>
      <c r="J126" s="24">
        <v>50000</v>
      </c>
      <c r="M126" s="24">
        <v>50000</v>
      </c>
      <c r="O126" s="45" t="s">
        <v>149</v>
      </c>
      <c r="P126" s="45">
        <f>HEX2DEC(RIGHT(Table132321[[#This Row],[h1]],8))</f>
        <v>0</v>
      </c>
      <c r="Q126" s="45" t="s">
        <v>149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321</v>
      </c>
      <c r="G127" s="33">
        <v>100</v>
      </c>
      <c r="J127" s="24">
        <v>50000</v>
      </c>
      <c r="M127" s="24">
        <v>50000</v>
      </c>
      <c r="O127" s="45" t="s">
        <v>149</v>
      </c>
      <c r="P127" s="45">
        <f>HEX2DEC(RIGHT(Table132321[[#This Row],[h1]],8))</f>
        <v>0</v>
      </c>
      <c r="Q127" s="45" t="s">
        <v>149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322</v>
      </c>
      <c r="G128" s="33">
        <v>100</v>
      </c>
      <c r="J128" s="24">
        <v>50000</v>
      </c>
      <c r="M128" s="24">
        <v>50000</v>
      </c>
      <c r="O128" s="45" t="s">
        <v>149</v>
      </c>
      <c r="P128" s="45">
        <f>HEX2DEC(RIGHT(Table132321[[#This Row],[h1]],8))</f>
        <v>0</v>
      </c>
      <c r="Q128" s="45" t="s">
        <v>149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323</v>
      </c>
      <c r="G129" s="33">
        <v>100</v>
      </c>
      <c r="J129" s="24">
        <v>50000</v>
      </c>
      <c r="M129" s="24">
        <v>50000</v>
      </c>
      <c r="O129" s="45" t="s">
        <v>149</v>
      </c>
      <c r="P129" s="45">
        <f>HEX2DEC(RIGHT(Table132321[[#This Row],[h1]],8))</f>
        <v>0</v>
      </c>
      <c r="Q129" s="45" t="s">
        <v>149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324</v>
      </c>
      <c r="G130" s="33">
        <v>100</v>
      </c>
      <c r="J130" s="24">
        <v>50000</v>
      </c>
      <c r="M130" s="24">
        <v>50000</v>
      </c>
      <c r="O130" s="45" t="s">
        <v>149</v>
      </c>
      <c r="P130" s="45">
        <f>HEX2DEC(RIGHT(Table132321[[#This Row],[h1]],8))</f>
        <v>0</v>
      </c>
      <c r="Q130" s="45" t="s">
        <v>149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325</v>
      </c>
      <c r="G131" s="33">
        <v>100</v>
      </c>
      <c r="J131" s="24">
        <v>50000</v>
      </c>
      <c r="M131" s="24">
        <v>50000</v>
      </c>
      <c r="O131" s="45" t="s">
        <v>149</v>
      </c>
      <c r="P131" s="45">
        <f>HEX2DEC(RIGHT(Table132321[[#This Row],[h1]],8))</f>
        <v>0</v>
      </c>
      <c r="Q131" s="45" t="s">
        <v>149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326</v>
      </c>
      <c r="G132" s="33">
        <v>100</v>
      </c>
      <c r="J132" s="24">
        <v>50000</v>
      </c>
      <c r="M132" s="24">
        <v>50000</v>
      </c>
      <c r="O132" s="45" t="s">
        <v>149</v>
      </c>
      <c r="P132" s="45">
        <f>HEX2DEC(RIGHT(Table132321[[#This Row],[h1]],8))</f>
        <v>0</v>
      </c>
      <c r="Q132" s="45" t="s">
        <v>149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327</v>
      </c>
      <c r="G133" s="33">
        <v>100</v>
      </c>
      <c r="J133" s="24">
        <v>50000</v>
      </c>
      <c r="M133" s="24">
        <v>50000</v>
      </c>
      <c r="O133" s="45" t="s">
        <v>149</v>
      </c>
      <c r="P133" s="45">
        <f>HEX2DEC(RIGHT(Table132321[[#This Row],[h1]],8))</f>
        <v>0</v>
      </c>
      <c r="Q133" s="45" t="s">
        <v>149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328</v>
      </c>
      <c r="F134" s="22"/>
      <c r="G134" s="33">
        <v>100</v>
      </c>
      <c r="J134" s="24">
        <v>50000</v>
      </c>
      <c r="M134" s="24">
        <v>50000</v>
      </c>
      <c r="O134" s="45" t="s">
        <v>149</v>
      </c>
      <c r="P134" s="45">
        <f>HEX2DEC(RIGHT(Table132321[[#This Row],[h1]],8))</f>
        <v>0</v>
      </c>
      <c r="Q134" s="45" t="s">
        <v>149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329</v>
      </c>
      <c r="F135" s="22"/>
      <c r="G135" s="33">
        <v>100</v>
      </c>
      <c r="J135" s="24">
        <v>50000</v>
      </c>
      <c r="M135" s="24">
        <v>50000</v>
      </c>
      <c r="O135" s="45" t="s">
        <v>149</v>
      </c>
      <c r="P135" s="45">
        <f>HEX2DEC(RIGHT(Table132321[[#This Row],[h1]],8))</f>
        <v>0</v>
      </c>
      <c r="Q135" s="45" t="s">
        <v>149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330</v>
      </c>
      <c r="F136" s="22"/>
      <c r="G136" s="33">
        <v>100</v>
      </c>
      <c r="J136" s="24">
        <v>50000</v>
      </c>
      <c r="M136" s="24">
        <v>50000</v>
      </c>
      <c r="O136" s="45" t="s">
        <v>149</v>
      </c>
      <c r="P136" s="45">
        <f>HEX2DEC(RIGHT(Table132321[[#This Row],[h1]],8))</f>
        <v>0</v>
      </c>
      <c r="Q136" s="45" t="s">
        <v>149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331</v>
      </c>
      <c r="F137" s="22"/>
      <c r="G137" s="33">
        <v>100</v>
      </c>
      <c r="J137" s="24">
        <v>50000</v>
      </c>
      <c r="M137" s="24">
        <v>50000</v>
      </c>
      <c r="O137" s="45" t="s">
        <v>149</v>
      </c>
      <c r="P137" s="45">
        <f>HEX2DEC(RIGHT(Table132321[[#This Row],[h1]],8))</f>
        <v>0</v>
      </c>
      <c r="Q137" s="45" t="s">
        <v>149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332</v>
      </c>
      <c r="F138" s="22"/>
      <c r="G138" s="33">
        <v>100</v>
      </c>
      <c r="J138" s="24">
        <v>50000</v>
      </c>
      <c r="M138" s="24">
        <v>50000</v>
      </c>
      <c r="O138" s="45" t="s">
        <v>149</v>
      </c>
      <c r="P138" s="45">
        <f>HEX2DEC(RIGHT(Table132321[[#This Row],[h1]],8))</f>
        <v>0</v>
      </c>
      <c r="Q138" s="45" t="s">
        <v>149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149</v>
      </c>
      <c r="P139" s="45">
        <f>HEX2DEC(RIGHT(Table132321[[#This Row],[h1]],8))</f>
        <v>0</v>
      </c>
      <c r="Q139" s="45" t="s">
        <v>149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333</v>
      </c>
      <c r="F140" s="22"/>
      <c r="G140" s="36">
        <v>1</v>
      </c>
      <c r="J140" s="24">
        <v>50000</v>
      </c>
      <c r="M140" s="24">
        <v>50000</v>
      </c>
      <c r="O140" s="45" t="s">
        <v>149</v>
      </c>
      <c r="P140" s="45">
        <f>HEX2DEC(RIGHT(Table132321[[#This Row],[h1]],8))</f>
        <v>0</v>
      </c>
      <c r="Q140" s="45" t="s">
        <v>149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333</v>
      </c>
      <c r="F141" s="22"/>
      <c r="G141" s="36">
        <v>0</v>
      </c>
      <c r="J141" s="24">
        <v>50000</v>
      </c>
      <c r="M141" s="24">
        <v>50000</v>
      </c>
      <c r="O141" s="45" t="s">
        <v>149</v>
      </c>
      <c r="P141" s="45">
        <f>HEX2DEC(RIGHT(Table132321[[#This Row],[h1]],8))</f>
        <v>0</v>
      </c>
      <c r="Q141" s="45" t="s">
        <v>149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149</v>
      </c>
      <c r="P142" s="45">
        <f>HEX2DEC(RIGHT(Table132321[[#This Row],[h1]],8))</f>
        <v>0</v>
      </c>
      <c r="Q142" s="45" t="s">
        <v>149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334</v>
      </c>
      <c r="F143" s="22"/>
      <c r="G143" s="32">
        <v>0</v>
      </c>
      <c r="J143" s="24">
        <v>50000</v>
      </c>
      <c r="M143" s="24">
        <v>50000</v>
      </c>
      <c r="O143" s="45" t="s">
        <v>149</v>
      </c>
      <c r="P143" s="45">
        <f>HEX2DEC(RIGHT(Table132321[[#This Row],[h1]],8))</f>
        <v>0</v>
      </c>
      <c r="Q143" s="45" t="s">
        <v>149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335</v>
      </c>
      <c r="F144" s="22"/>
      <c r="G144" s="32">
        <v>0</v>
      </c>
      <c r="J144" s="24">
        <v>50000</v>
      </c>
      <c r="M144" s="24">
        <v>50000</v>
      </c>
      <c r="O144" s="45" t="s">
        <v>149</v>
      </c>
      <c r="P144" s="45">
        <f>HEX2DEC(RIGHT(Table132321[[#This Row],[h1]],8))</f>
        <v>0</v>
      </c>
      <c r="Q144" s="45" t="s">
        <v>149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336</v>
      </c>
      <c r="F145" s="22"/>
      <c r="G145" s="32">
        <v>0</v>
      </c>
      <c r="J145" s="24">
        <v>50000</v>
      </c>
      <c r="M145" s="24">
        <v>50000</v>
      </c>
      <c r="O145" s="45" t="s">
        <v>149</v>
      </c>
      <c r="P145" s="45">
        <f>HEX2DEC(RIGHT(Table132321[[#This Row],[h1]],8))</f>
        <v>0</v>
      </c>
      <c r="Q145" s="45" t="s">
        <v>149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149</v>
      </c>
      <c r="P146" s="45">
        <f>HEX2DEC(RIGHT(Table132321[[#This Row],[h1]],8))</f>
        <v>0</v>
      </c>
      <c r="Q146" s="45" t="s">
        <v>149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337</v>
      </c>
      <c r="F147" s="22"/>
      <c r="G147" s="32">
        <v>1</v>
      </c>
      <c r="J147" s="24">
        <v>50000</v>
      </c>
      <c r="M147" s="24">
        <v>50000</v>
      </c>
      <c r="O147" s="45" t="s">
        <v>149</v>
      </c>
      <c r="P147" s="45">
        <f>HEX2DEC(RIGHT(Table132321[[#This Row],[h1]],8))</f>
        <v>0</v>
      </c>
      <c r="Q147" s="45" t="s">
        <v>149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338</v>
      </c>
      <c r="F148" s="22"/>
      <c r="G148" s="32">
        <v>1</v>
      </c>
      <c r="J148" s="24">
        <v>50000</v>
      </c>
      <c r="M148" s="24">
        <v>50000</v>
      </c>
      <c r="O148" s="45" t="s">
        <v>149</v>
      </c>
      <c r="P148" s="45">
        <f>HEX2DEC(RIGHT(Table132321[[#This Row],[h1]],8))</f>
        <v>0</v>
      </c>
      <c r="Q148" s="45" t="s">
        <v>149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339</v>
      </c>
      <c r="F149" s="22"/>
      <c r="G149" s="32">
        <v>1</v>
      </c>
      <c r="J149" s="24">
        <v>50000</v>
      </c>
      <c r="M149" s="24">
        <v>50000</v>
      </c>
      <c r="O149" s="45" t="s">
        <v>149</v>
      </c>
      <c r="P149" s="45">
        <f>HEX2DEC(RIGHT(Table132321[[#This Row],[h1]],8))</f>
        <v>0</v>
      </c>
      <c r="Q149" s="45" t="s">
        <v>149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700</v>
      </c>
      <c r="F150" s="22"/>
      <c r="G150" s="32">
        <v>1</v>
      </c>
      <c r="J150" s="24">
        <v>50000</v>
      </c>
      <c r="M150" s="24">
        <v>50000</v>
      </c>
      <c r="O150" s="45" t="s">
        <v>149</v>
      </c>
      <c r="P150" s="45">
        <f>HEX2DEC(RIGHT(Table132321[[#This Row],[h1]],8))</f>
        <v>0</v>
      </c>
      <c r="Q150" s="45" t="s">
        <v>149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149</v>
      </c>
      <c r="P151" s="45">
        <f>HEX2DEC(RIGHT(Table132321[[#This Row],[h1]],8))</f>
        <v>0</v>
      </c>
      <c r="Q151" s="45" t="s">
        <v>149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344</v>
      </c>
      <c r="E152" s="56">
        <v>1</v>
      </c>
      <c r="F152" s="57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149</v>
      </c>
      <c r="P152" s="45">
        <f>HEX2DEC(RIGHT(Table132321[[#This Row],[h1]],8))</f>
        <v>0</v>
      </c>
      <c r="Q152" s="45" t="s">
        <v>149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345</v>
      </c>
      <c r="E153" s="56">
        <v>10</v>
      </c>
      <c r="F153" s="57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149</v>
      </c>
      <c r="P153" s="45">
        <f>HEX2DEC(RIGHT(Table132321[[#This Row],[h1]],8))</f>
        <v>0</v>
      </c>
      <c r="Q153" s="45" t="s">
        <v>149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346</v>
      </c>
      <c r="E154" s="56">
        <v>100</v>
      </c>
      <c r="F154" s="57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149</v>
      </c>
      <c r="P154" s="45">
        <f>HEX2DEC(RIGHT(Table132321[[#This Row],[h1]],8))</f>
        <v>0</v>
      </c>
      <c r="Q154" s="45" t="s">
        <v>149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347</v>
      </c>
      <c r="E155" s="56">
        <v>1000</v>
      </c>
      <c r="F155" s="57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149</v>
      </c>
      <c r="P155" s="45">
        <f>HEX2DEC(RIGHT(Table132321[[#This Row],[h1]],8))</f>
        <v>0</v>
      </c>
      <c r="Q155" s="45" t="s">
        <v>149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348</v>
      </c>
      <c r="E156" s="56">
        <v>10000</v>
      </c>
      <c r="F156" s="57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149</v>
      </c>
      <c r="P156" s="45">
        <f>HEX2DEC(RIGHT(Table132321[[#This Row],[h1]],8))</f>
        <v>0</v>
      </c>
      <c r="Q156" s="45" t="s">
        <v>149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349</v>
      </c>
      <c r="E157" s="56">
        <v>100000</v>
      </c>
      <c r="F157" s="57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149</v>
      </c>
      <c r="P157" s="45">
        <f>HEX2DEC(RIGHT(Table132321[[#This Row],[h1]],8))</f>
        <v>0</v>
      </c>
      <c r="Q157" s="45" t="s">
        <v>149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350</v>
      </c>
      <c r="E158" s="56">
        <v>200000</v>
      </c>
      <c r="F158" s="57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149</v>
      </c>
      <c r="P158" s="45">
        <f>HEX2DEC(RIGHT(Table132321[[#This Row],[h1]],8))</f>
        <v>0</v>
      </c>
      <c r="Q158" s="45" t="s">
        <v>149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351</v>
      </c>
      <c r="E159" s="56">
        <v>300000</v>
      </c>
      <c r="F159" s="57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149</v>
      </c>
      <c r="P159" s="45">
        <f>HEX2DEC(RIGHT(Table132321[[#This Row],[h1]],8))</f>
        <v>0</v>
      </c>
      <c r="Q159" s="45" t="s">
        <v>149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352</v>
      </c>
      <c r="E160" s="56">
        <v>400000</v>
      </c>
      <c r="F160" s="57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149</v>
      </c>
      <c r="P160" s="45">
        <f>HEX2DEC(RIGHT(Table132321[[#This Row],[h1]],8))</f>
        <v>0</v>
      </c>
      <c r="Q160" s="45" t="s">
        <v>149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353</v>
      </c>
      <c r="E161" s="56">
        <v>500000</v>
      </c>
      <c r="F161" s="57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149</v>
      </c>
      <c r="P161" s="45">
        <f>HEX2DEC(RIGHT(Table132321[[#This Row],[h1]],8))</f>
        <v>0</v>
      </c>
      <c r="Q161" s="45" t="s">
        <v>149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354</v>
      </c>
      <c r="E162" s="56">
        <v>600000</v>
      </c>
      <c r="F162" s="57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149</v>
      </c>
      <c r="P162" s="45">
        <f>HEX2DEC(RIGHT(Table132321[[#This Row],[h1]],8))</f>
        <v>0</v>
      </c>
      <c r="Q162" s="45" t="s">
        <v>149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355</v>
      </c>
      <c r="E163" s="56">
        <v>700000</v>
      </c>
      <c r="F163" s="57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149</v>
      </c>
      <c r="P163" s="45">
        <f>HEX2DEC(RIGHT(Table132321[[#This Row],[h1]],8))</f>
        <v>0</v>
      </c>
      <c r="Q163" s="45" t="s">
        <v>149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356</v>
      </c>
      <c r="E164" s="56">
        <v>800000</v>
      </c>
      <c r="F164" s="57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149</v>
      </c>
      <c r="P164" s="45">
        <f>HEX2DEC(RIGHT(Table132321[[#This Row],[h1]],8))</f>
        <v>0</v>
      </c>
      <c r="Q164" s="45" t="s">
        <v>149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357</v>
      </c>
      <c r="E165" s="56">
        <v>900000</v>
      </c>
      <c r="F165" s="57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149</v>
      </c>
      <c r="P165" s="45">
        <f>HEX2DEC(RIGHT(Table132321[[#This Row],[h1]],8))</f>
        <v>0</v>
      </c>
      <c r="Q165" s="45" t="s">
        <v>149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149</v>
      </c>
      <c r="P166" s="45">
        <f>HEX2DEC(RIGHT(Table132321[[#This Row],[h1]],8))</f>
        <v>0</v>
      </c>
      <c r="Q166" s="45" t="s">
        <v>149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358</v>
      </c>
      <c r="G167" s="45" t="s">
        <v>94</v>
      </c>
      <c r="J167" s="24">
        <v>50000</v>
      </c>
      <c r="M167" s="24">
        <v>50000</v>
      </c>
      <c r="O167" s="45" t="s">
        <v>149</v>
      </c>
      <c r="P167" s="45">
        <f>HEX2DEC(RIGHT(Table132321[[#This Row],[h1]],8))</f>
        <v>0</v>
      </c>
      <c r="Q167" s="45" t="s">
        <v>149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359</v>
      </c>
      <c r="G168" s="45" t="s">
        <v>94</v>
      </c>
      <c r="J168" s="24">
        <v>50000</v>
      </c>
      <c r="M168" s="24">
        <v>50000</v>
      </c>
      <c r="O168" s="45" t="s">
        <v>149</v>
      </c>
      <c r="P168" s="45">
        <f>HEX2DEC(RIGHT(Table132321[[#This Row],[h1]],8))</f>
        <v>0</v>
      </c>
      <c r="Q168" s="45" t="s">
        <v>149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360</v>
      </c>
      <c r="G169" s="45" t="s">
        <v>94</v>
      </c>
      <c r="J169" s="24">
        <v>50000</v>
      </c>
      <c r="M169" s="24">
        <v>50000</v>
      </c>
      <c r="O169" s="45" t="s">
        <v>149</v>
      </c>
      <c r="P169" s="45">
        <f>HEX2DEC(RIGHT(Table132321[[#This Row],[h1]],8))</f>
        <v>0</v>
      </c>
      <c r="Q169" s="45" t="s">
        <v>149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361</v>
      </c>
      <c r="G170" s="45" t="s">
        <v>94</v>
      </c>
      <c r="J170" s="24">
        <v>50000</v>
      </c>
      <c r="M170" s="24">
        <v>50000</v>
      </c>
      <c r="O170" s="45" t="s">
        <v>149</v>
      </c>
      <c r="P170" s="45">
        <f>HEX2DEC(RIGHT(Table132321[[#This Row],[h1]],8))</f>
        <v>0</v>
      </c>
      <c r="Q170" s="45" t="s">
        <v>149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362</v>
      </c>
      <c r="G171" s="45" t="s">
        <v>94</v>
      </c>
      <c r="J171" s="24">
        <v>50000</v>
      </c>
      <c r="M171" s="24">
        <v>50000</v>
      </c>
      <c r="O171" s="45" t="s">
        <v>149</v>
      </c>
      <c r="P171" s="45">
        <f>HEX2DEC(RIGHT(Table132321[[#This Row],[h1]],8))</f>
        <v>0</v>
      </c>
      <c r="Q171" s="45" t="s">
        <v>149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363</v>
      </c>
      <c r="G172" s="45" t="s">
        <v>94</v>
      </c>
      <c r="J172" s="24">
        <v>50000</v>
      </c>
      <c r="M172" s="24">
        <v>50000</v>
      </c>
      <c r="O172" s="45" t="s">
        <v>149</v>
      </c>
      <c r="P172" s="45">
        <f>HEX2DEC(RIGHT(Table132321[[#This Row],[h1]],8))</f>
        <v>0</v>
      </c>
      <c r="Q172" s="45" t="s">
        <v>149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364</v>
      </c>
      <c r="G173" s="45" t="s">
        <v>94</v>
      </c>
      <c r="J173" s="24">
        <v>50000</v>
      </c>
      <c r="M173" s="24">
        <v>50000</v>
      </c>
      <c r="O173" s="45" t="s">
        <v>149</v>
      </c>
      <c r="P173" s="45">
        <f>HEX2DEC(RIGHT(Table132321[[#This Row],[h1]],8))</f>
        <v>0</v>
      </c>
      <c r="Q173" s="45" t="s">
        <v>149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365</v>
      </c>
      <c r="G174" s="45" t="s">
        <v>94</v>
      </c>
      <c r="J174" s="24">
        <v>50000</v>
      </c>
      <c r="M174" s="24">
        <v>50000</v>
      </c>
      <c r="O174" s="45" t="s">
        <v>149</v>
      </c>
      <c r="P174" s="45">
        <f>HEX2DEC(RIGHT(Table132321[[#This Row],[h1]],8))</f>
        <v>0</v>
      </c>
      <c r="Q174" s="45" t="s">
        <v>149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149</v>
      </c>
      <c r="P175" s="45">
        <f>HEX2DEC(RIGHT(Table132321[[#This Row],[h1]],8))</f>
        <v>0</v>
      </c>
      <c r="Q175" s="45" t="s">
        <v>149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366</v>
      </c>
      <c r="G176" s="45" t="s">
        <v>94</v>
      </c>
      <c r="J176" s="24">
        <v>50000</v>
      </c>
      <c r="M176" s="24">
        <v>50000</v>
      </c>
      <c r="O176" s="45" t="s">
        <v>149</v>
      </c>
      <c r="P176" s="45">
        <f>HEX2DEC(RIGHT(Table132321[[#This Row],[h1]],8))</f>
        <v>0</v>
      </c>
      <c r="Q176" s="45" t="s">
        <v>149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367</v>
      </c>
      <c r="G177" s="45" t="s">
        <v>94</v>
      </c>
      <c r="J177" s="24">
        <v>50000</v>
      </c>
      <c r="M177" s="24">
        <v>50000</v>
      </c>
      <c r="O177" s="45" t="s">
        <v>149</v>
      </c>
      <c r="P177" s="45">
        <f>HEX2DEC(RIGHT(Table132321[[#This Row],[h1]],8))</f>
        <v>0</v>
      </c>
      <c r="Q177" s="45" t="s">
        <v>149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368</v>
      </c>
      <c r="G178" s="45" t="s">
        <v>94</v>
      </c>
      <c r="J178" s="24">
        <v>50000</v>
      </c>
      <c r="M178" s="24">
        <v>50000</v>
      </c>
      <c r="O178" s="45" t="s">
        <v>149</v>
      </c>
      <c r="P178" s="45">
        <f>HEX2DEC(RIGHT(Table132321[[#This Row],[h1]],8))</f>
        <v>0</v>
      </c>
      <c r="Q178" s="45" t="s">
        <v>149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369</v>
      </c>
      <c r="G179" s="45" t="s">
        <v>94</v>
      </c>
      <c r="J179" s="24">
        <v>50000</v>
      </c>
      <c r="M179" s="24">
        <v>50000</v>
      </c>
      <c r="O179" s="45" t="s">
        <v>149</v>
      </c>
      <c r="P179" s="45">
        <f>HEX2DEC(RIGHT(Table132321[[#This Row],[h1]],8))</f>
        <v>0</v>
      </c>
      <c r="Q179" s="45" t="s">
        <v>149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370</v>
      </c>
      <c r="G180" s="45" t="s">
        <v>94</v>
      </c>
      <c r="J180" s="24">
        <v>50000</v>
      </c>
      <c r="M180" s="24">
        <v>50000</v>
      </c>
      <c r="O180" s="45" t="s">
        <v>149</v>
      </c>
      <c r="P180" s="45">
        <f>HEX2DEC(RIGHT(Table132321[[#This Row],[h1]],8))</f>
        <v>0</v>
      </c>
      <c r="Q180" s="45" t="s">
        <v>149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371</v>
      </c>
      <c r="G181" s="45" t="s">
        <v>94</v>
      </c>
      <c r="J181" s="24">
        <v>50000</v>
      </c>
      <c r="M181" s="24">
        <v>50000</v>
      </c>
      <c r="O181" s="45" t="s">
        <v>149</v>
      </c>
      <c r="P181" s="45">
        <f>HEX2DEC(RIGHT(Table132321[[#This Row],[h1]],8))</f>
        <v>0</v>
      </c>
      <c r="Q181" s="45" t="s">
        <v>149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372</v>
      </c>
      <c r="G182" s="45" t="s">
        <v>94</v>
      </c>
      <c r="J182" s="24">
        <v>50000</v>
      </c>
      <c r="M182" s="24">
        <v>50000</v>
      </c>
      <c r="O182" s="45" t="s">
        <v>149</v>
      </c>
      <c r="P182" s="45">
        <f>HEX2DEC(RIGHT(Table132321[[#This Row],[h1]],8))</f>
        <v>0</v>
      </c>
      <c r="Q182" s="45" t="s">
        <v>149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373</v>
      </c>
      <c r="G183" s="45" t="s">
        <v>94</v>
      </c>
      <c r="J183" s="24">
        <v>50000</v>
      </c>
      <c r="M183" s="24">
        <v>50000</v>
      </c>
      <c r="O183" s="45" t="s">
        <v>149</v>
      </c>
      <c r="P183" s="45">
        <f>HEX2DEC(RIGHT(Table132321[[#This Row],[h1]],8))</f>
        <v>0</v>
      </c>
      <c r="Q183" s="45" t="s">
        <v>149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374</v>
      </c>
      <c r="G184" s="45" t="s">
        <v>94</v>
      </c>
      <c r="J184" s="24">
        <v>50000</v>
      </c>
      <c r="M184" s="24">
        <v>50000</v>
      </c>
      <c r="O184" s="45" t="s">
        <v>149</v>
      </c>
      <c r="P184" s="45">
        <f>HEX2DEC(RIGHT(Table132321[[#This Row],[h1]],8))</f>
        <v>0</v>
      </c>
      <c r="Q184" s="45" t="s">
        <v>149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375</v>
      </c>
      <c r="G185" s="45" t="s">
        <v>94</v>
      </c>
      <c r="J185" s="24">
        <v>50000</v>
      </c>
      <c r="M185" s="24">
        <v>50000</v>
      </c>
      <c r="O185" s="45" t="s">
        <v>149</v>
      </c>
      <c r="P185" s="45">
        <f>HEX2DEC(RIGHT(Table132321[[#This Row],[h1]],8))</f>
        <v>0</v>
      </c>
      <c r="Q185" s="45" t="s">
        <v>149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376</v>
      </c>
      <c r="G186" s="45" t="s">
        <v>94</v>
      </c>
      <c r="J186" s="24">
        <v>50000</v>
      </c>
      <c r="M186" s="24">
        <v>50000</v>
      </c>
      <c r="O186" s="45" t="s">
        <v>149</v>
      </c>
      <c r="P186" s="45">
        <f>HEX2DEC(RIGHT(Table132321[[#This Row],[h1]],8))</f>
        <v>0</v>
      </c>
      <c r="Q186" s="45" t="s">
        <v>149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377</v>
      </c>
      <c r="G187" s="45" t="s">
        <v>94</v>
      </c>
      <c r="J187" s="24">
        <v>50000</v>
      </c>
      <c r="M187" s="24">
        <v>50000</v>
      </c>
      <c r="O187" s="45" t="s">
        <v>149</v>
      </c>
      <c r="P187" s="45">
        <f>HEX2DEC(RIGHT(Table132321[[#This Row],[h1]],8))</f>
        <v>0</v>
      </c>
      <c r="Q187" s="45" t="s">
        <v>149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378</v>
      </c>
      <c r="G188" s="45" t="s">
        <v>94</v>
      </c>
      <c r="J188" s="24">
        <v>50000</v>
      </c>
      <c r="M188" s="24">
        <v>50000</v>
      </c>
      <c r="O188" s="45" t="s">
        <v>149</v>
      </c>
      <c r="P188" s="45">
        <f>HEX2DEC(RIGHT(Table132321[[#This Row],[h1]],8))</f>
        <v>0</v>
      </c>
      <c r="Q188" s="45" t="s">
        <v>149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379</v>
      </c>
      <c r="G189" s="45" t="s">
        <v>94</v>
      </c>
      <c r="J189" s="24">
        <v>50000</v>
      </c>
      <c r="M189" s="24">
        <v>50000</v>
      </c>
      <c r="O189" s="45" t="s">
        <v>149</v>
      </c>
      <c r="P189" s="45">
        <f>HEX2DEC(RIGHT(Table132321[[#This Row],[h1]],8))</f>
        <v>0</v>
      </c>
      <c r="Q189" s="45" t="s">
        <v>149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380</v>
      </c>
      <c r="G190" s="45" t="s">
        <v>94</v>
      </c>
      <c r="J190" s="24">
        <v>50000</v>
      </c>
      <c r="M190" s="24">
        <v>50000</v>
      </c>
      <c r="O190" s="45" t="s">
        <v>149</v>
      </c>
      <c r="P190" s="45">
        <f>HEX2DEC(RIGHT(Table132321[[#This Row],[h1]],8))</f>
        <v>0</v>
      </c>
      <c r="Q190" s="45" t="s">
        <v>149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381</v>
      </c>
      <c r="E191" s="27"/>
      <c r="F191" s="27"/>
      <c r="G191" s="45" t="s">
        <v>94</v>
      </c>
      <c r="J191" s="24">
        <v>50000</v>
      </c>
      <c r="M191" s="24">
        <v>50000</v>
      </c>
      <c r="O191" s="45" t="s">
        <v>149</v>
      </c>
      <c r="P191" s="45">
        <f>HEX2DEC(RIGHT(Table132321[[#This Row],[h1]],8))</f>
        <v>0</v>
      </c>
      <c r="Q191" s="45" t="s">
        <v>149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382</v>
      </c>
      <c r="G192" s="45" t="s">
        <v>94</v>
      </c>
      <c r="J192" s="24">
        <v>50000</v>
      </c>
      <c r="M192" s="24">
        <v>50000</v>
      </c>
      <c r="O192" s="45" t="s">
        <v>149</v>
      </c>
      <c r="P192" s="45">
        <f>HEX2DEC(RIGHT(Table132321[[#This Row],[h1]],8))</f>
        <v>0</v>
      </c>
      <c r="Q192" s="45" t="s">
        <v>149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383</v>
      </c>
      <c r="G193" s="45" t="s">
        <v>94</v>
      </c>
      <c r="J193" s="24">
        <v>50000</v>
      </c>
      <c r="M193" s="24">
        <v>50000</v>
      </c>
      <c r="O193" s="45" t="s">
        <v>149</v>
      </c>
      <c r="P193" s="45">
        <f>HEX2DEC(RIGHT(Table132321[[#This Row],[h1]],8))</f>
        <v>0</v>
      </c>
      <c r="Q193" s="45" t="s">
        <v>149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384</v>
      </c>
      <c r="G194" s="45" t="s">
        <v>94</v>
      </c>
      <c r="J194" s="24">
        <v>50000</v>
      </c>
      <c r="M194" s="24">
        <v>50000</v>
      </c>
      <c r="O194" s="45" t="s">
        <v>149</v>
      </c>
      <c r="P194" s="45">
        <f>HEX2DEC(RIGHT(Table132321[[#This Row],[h1]],8))</f>
        <v>0</v>
      </c>
      <c r="Q194" s="45" t="s">
        <v>149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385</v>
      </c>
      <c r="G195" s="45" t="s">
        <v>94</v>
      </c>
      <c r="J195" s="24">
        <v>50000</v>
      </c>
      <c r="M195" s="24">
        <v>50000</v>
      </c>
      <c r="O195" s="45" t="s">
        <v>149</v>
      </c>
      <c r="P195" s="45">
        <f>HEX2DEC(RIGHT(Table132321[[#This Row],[h1]],8))</f>
        <v>0</v>
      </c>
      <c r="Q195" s="45" t="s">
        <v>149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386</v>
      </c>
      <c r="G196" s="45" t="s">
        <v>94</v>
      </c>
      <c r="J196" s="24">
        <v>50000</v>
      </c>
      <c r="M196" s="24">
        <v>50000</v>
      </c>
      <c r="O196" s="45" t="s">
        <v>149</v>
      </c>
      <c r="P196" s="45">
        <f>HEX2DEC(RIGHT(Table132321[[#This Row],[h1]],8))</f>
        <v>0</v>
      </c>
      <c r="Q196" s="45" t="s">
        <v>149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387</v>
      </c>
      <c r="G197" s="45" t="s">
        <v>94</v>
      </c>
      <c r="J197" s="24">
        <v>50000</v>
      </c>
      <c r="M197" s="24">
        <v>50000</v>
      </c>
      <c r="O197" s="45" t="s">
        <v>149</v>
      </c>
      <c r="P197" s="45">
        <f>HEX2DEC(RIGHT(Table132321[[#This Row],[h1]],8))</f>
        <v>0</v>
      </c>
      <c r="Q197" s="45" t="s">
        <v>149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388</v>
      </c>
      <c r="G198" s="45" t="s">
        <v>94</v>
      </c>
      <c r="J198" s="24">
        <v>50000</v>
      </c>
      <c r="M198" s="24">
        <v>50000</v>
      </c>
      <c r="O198" s="45" t="s">
        <v>149</v>
      </c>
      <c r="P198" s="45">
        <f>HEX2DEC(RIGHT(Table132321[[#This Row],[h1]],8))</f>
        <v>0</v>
      </c>
      <c r="Q198" s="45" t="s">
        <v>149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389</v>
      </c>
      <c r="G199" s="45" t="s">
        <v>94</v>
      </c>
      <c r="J199" s="24">
        <v>50000</v>
      </c>
      <c r="M199" s="24">
        <v>50000</v>
      </c>
      <c r="O199" s="45" t="s">
        <v>149</v>
      </c>
      <c r="P199" s="45">
        <f>HEX2DEC(RIGHT(Table132321[[#This Row],[h1]],8))</f>
        <v>0</v>
      </c>
      <c r="Q199" s="45" t="s">
        <v>149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390</v>
      </c>
      <c r="G200" s="45" t="s">
        <v>94</v>
      </c>
      <c r="J200" s="24">
        <v>50000</v>
      </c>
      <c r="M200" s="24">
        <v>50000</v>
      </c>
      <c r="O200" s="45" t="s">
        <v>149</v>
      </c>
      <c r="P200" s="45">
        <f>HEX2DEC(RIGHT(Table132321[[#This Row],[h1]],8))</f>
        <v>0</v>
      </c>
      <c r="Q200" s="45" t="s">
        <v>149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391</v>
      </c>
      <c r="G201" s="45" t="s">
        <v>94</v>
      </c>
      <c r="J201" s="24">
        <v>50000</v>
      </c>
      <c r="M201" s="24">
        <v>50000</v>
      </c>
      <c r="O201" s="45" t="s">
        <v>149</v>
      </c>
      <c r="P201" s="45">
        <f>HEX2DEC(RIGHT(Table132321[[#This Row],[h1]],8))</f>
        <v>0</v>
      </c>
      <c r="Q201" s="45" t="s">
        <v>149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392</v>
      </c>
      <c r="G202" s="45" t="s">
        <v>94</v>
      </c>
      <c r="J202" s="24">
        <v>50000</v>
      </c>
      <c r="M202" s="24">
        <v>50000</v>
      </c>
      <c r="O202" s="45" t="s">
        <v>149</v>
      </c>
      <c r="P202" s="45">
        <f>HEX2DEC(RIGHT(Table132321[[#This Row],[h1]],8))</f>
        <v>0</v>
      </c>
      <c r="Q202" s="45" t="s">
        <v>149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393</v>
      </c>
      <c r="G203" s="45" t="s">
        <v>94</v>
      </c>
      <c r="J203" s="24">
        <v>50000</v>
      </c>
      <c r="M203" s="24">
        <v>50000</v>
      </c>
      <c r="O203" s="45" t="s">
        <v>149</v>
      </c>
      <c r="P203" s="45">
        <f>HEX2DEC(RIGHT(Table132321[[#This Row],[h1]],8))</f>
        <v>0</v>
      </c>
      <c r="Q203" s="45" t="s">
        <v>149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394</v>
      </c>
      <c r="G204" s="45" t="s">
        <v>94</v>
      </c>
      <c r="J204" s="24">
        <v>50000</v>
      </c>
      <c r="M204" s="24">
        <v>50000</v>
      </c>
      <c r="O204" s="45" t="s">
        <v>149</v>
      </c>
      <c r="P204" s="45">
        <f>HEX2DEC(RIGHT(Table132321[[#This Row],[h1]],8))</f>
        <v>0</v>
      </c>
      <c r="Q204" s="45" t="s">
        <v>149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395</v>
      </c>
      <c r="G205" s="45" t="s">
        <v>94</v>
      </c>
      <c r="J205" s="24">
        <v>50000</v>
      </c>
      <c r="M205" s="24">
        <v>50000</v>
      </c>
      <c r="O205" s="45" t="s">
        <v>149</v>
      </c>
      <c r="P205" s="45">
        <f>HEX2DEC(RIGHT(Table132321[[#This Row],[h1]],8))</f>
        <v>0</v>
      </c>
      <c r="Q205" s="45" t="s">
        <v>149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396</v>
      </c>
      <c r="G206" s="45" t="s">
        <v>94</v>
      </c>
      <c r="J206" s="24">
        <v>50000</v>
      </c>
      <c r="M206" s="24">
        <v>50000</v>
      </c>
      <c r="O206" s="45" t="s">
        <v>149</v>
      </c>
      <c r="P206" s="45">
        <f>HEX2DEC(RIGHT(Table132321[[#This Row],[h1]],8))</f>
        <v>0</v>
      </c>
      <c r="Q206" s="45" t="s">
        <v>149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149</v>
      </c>
      <c r="P207" s="45">
        <f>HEX2DEC(RIGHT(Table132321[[#This Row],[h1]],8))</f>
        <v>0</v>
      </c>
      <c r="Q207" s="45" t="s">
        <v>149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397</v>
      </c>
      <c r="G208" s="45">
        <v>1</v>
      </c>
      <c r="J208" s="24">
        <v>50000</v>
      </c>
      <c r="M208" s="24">
        <v>50000</v>
      </c>
      <c r="O208" s="45" t="s">
        <v>149</v>
      </c>
      <c r="P208" s="45">
        <f>HEX2DEC(RIGHT(Table132321[[#This Row],[h1]],8))</f>
        <v>0</v>
      </c>
      <c r="Q208" s="45" t="s">
        <v>149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398</v>
      </c>
      <c r="G209" s="45">
        <v>0</v>
      </c>
      <c r="J209" s="24">
        <v>50000</v>
      </c>
      <c r="M209" s="24">
        <v>50000</v>
      </c>
      <c r="O209" s="45" t="s">
        <v>149</v>
      </c>
      <c r="P209" s="45">
        <f>HEX2DEC(RIGHT(Table132321[[#This Row],[h1]],8))</f>
        <v>0</v>
      </c>
      <c r="Q209" s="45" t="s">
        <v>149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399</v>
      </c>
      <c r="G210" s="45">
        <v>0</v>
      </c>
      <c r="J210" s="24">
        <v>50000</v>
      </c>
      <c r="M210" s="24">
        <v>50000</v>
      </c>
      <c r="O210" s="45" t="s">
        <v>149</v>
      </c>
      <c r="P210" s="45">
        <f>HEX2DEC(RIGHT(Table132321[[#This Row],[h1]],8))</f>
        <v>0</v>
      </c>
      <c r="Q210" s="45" t="s">
        <v>149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400</v>
      </c>
      <c r="G211" s="45">
        <v>0</v>
      </c>
      <c r="J211" s="24">
        <v>50000</v>
      </c>
      <c r="M211" s="24">
        <v>50000</v>
      </c>
      <c r="O211" s="45" t="s">
        <v>149</v>
      </c>
      <c r="P211" s="45">
        <f>HEX2DEC(RIGHT(Table132321[[#This Row],[h1]],8))</f>
        <v>0</v>
      </c>
      <c r="Q211" s="45" t="s">
        <v>149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401</v>
      </c>
      <c r="G212" s="45">
        <v>0</v>
      </c>
      <c r="J212" s="24">
        <v>50000</v>
      </c>
      <c r="M212" s="24">
        <v>50000</v>
      </c>
      <c r="O212" s="45" t="s">
        <v>149</v>
      </c>
      <c r="P212" s="45">
        <f>HEX2DEC(RIGHT(Table132321[[#This Row],[h1]],8))</f>
        <v>0</v>
      </c>
      <c r="Q212" s="45" t="s">
        <v>149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402</v>
      </c>
      <c r="G213" s="45">
        <v>0</v>
      </c>
      <c r="J213" s="24">
        <v>50000</v>
      </c>
      <c r="M213" s="24">
        <v>50000</v>
      </c>
      <c r="O213" s="45" t="s">
        <v>149</v>
      </c>
      <c r="P213" s="45">
        <f>HEX2DEC(RIGHT(Table132321[[#This Row],[h1]],8))</f>
        <v>0</v>
      </c>
      <c r="Q213" s="45" t="s">
        <v>149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403</v>
      </c>
      <c r="G214" s="45">
        <v>0</v>
      </c>
      <c r="J214" s="24">
        <v>50000</v>
      </c>
      <c r="M214" s="24">
        <v>50000</v>
      </c>
      <c r="O214" s="45" t="s">
        <v>149</v>
      </c>
      <c r="P214" s="45">
        <f>HEX2DEC(RIGHT(Table132321[[#This Row],[h1]],8))</f>
        <v>0</v>
      </c>
      <c r="Q214" s="45" t="s">
        <v>149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404</v>
      </c>
      <c r="G215" s="45">
        <v>0</v>
      </c>
      <c r="J215" s="24">
        <v>50000</v>
      </c>
      <c r="M215" s="24">
        <v>50000</v>
      </c>
      <c r="O215" s="45" t="s">
        <v>149</v>
      </c>
      <c r="P215" s="45">
        <f>HEX2DEC(RIGHT(Table132321[[#This Row],[h1]],8))</f>
        <v>0</v>
      </c>
      <c r="Q215" s="45" t="s">
        <v>149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405</v>
      </c>
      <c r="G216" s="45">
        <v>0</v>
      </c>
      <c r="J216" s="24">
        <v>50000</v>
      </c>
      <c r="M216" s="24">
        <v>50000</v>
      </c>
      <c r="O216" s="45" t="s">
        <v>149</v>
      </c>
      <c r="P216" s="45">
        <f>HEX2DEC(RIGHT(Table132321[[#This Row],[h1]],8))</f>
        <v>0</v>
      </c>
      <c r="Q216" s="45" t="s">
        <v>149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406</v>
      </c>
      <c r="G217" s="45">
        <v>0</v>
      </c>
      <c r="J217" s="24">
        <v>50000</v>
      </c>
      <c r="M217" s="24">
        <v>50000</v>
      </c>
      <c r="O217" s="45" t="s">
        <v>149</v>
      </c>
      <c r="P217" s="45">
        <f>HEX2DEC(RIGHT(Table132321[[#This Row],[h1]],8))</f>
        <v>0</v>
      </c>
      <c r="Q217" s="45" t="s">
        <v>149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407</v>
      </c>
      <c r="G218" s="45">
        <v>0</v>
      </c>
      <c r="J218" s="24">
        <v>50000</v>
      </c>
      <c r="M218" s="24">
        <v>50000</v>
      </c>
      <c r="O218" s="45" t="s">
        <v>149</v>
      </c>
      <c r="P218" s="45">
        <f>HEX2DEC(RIGHT(Table132321[[#This Row],[h1]],8))</f>
        <v>0</v>
      </c>
      <c r="Q218" s="45" t="s">
        <v>149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408</v>
      </c>
      <c r="G219" s="45">
        <v>0</v>
      </c>
      <c r="J219" s="24">
        <v>50000</v>
      </c>
      <c r="M219" s="24">
        <v>50000</v>
      </c>
      <c r="O219" s="45" t="s">
        <v>149</v>
      </c>
      <c r="P219" s="45">
        <f>HEX2DEC(RIGHT(Table132321[[#This Row],[h1]],8))</f>
        <v>0</v>
      </c>
      <c r="Q219" s="45" t="s">
        <v>149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409</v>
      </c>
      <c r="G220" s="45">
        <v>0</v>
      </c>
      <c r="J220" s="24">
        <v>50000</v>
      </c>
      <c r="M220" s="24">
        <v>50000</v>
      </c>
      <c r="O220" s="45" t="s">
        <v>149</v>
      </c>
      <c r="P220" s="45">
        <f>HEX2DEC(RIGHT(Table132321[[#This Row],[h1]],8))</f>
        <v>0</v>
      </c>
      <c r="Q220" s="45" t="s">
        <v>149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410</v>
      </c>
      <c r="G221" s="45">
        <v>0</v>
      </c>
      <c r="J221" s="24">
        <v>50000</v>
      </c>
      <c r="M221" s="24">
        <v>50000</v>
      </c>
      <c r="O221" s="45" t="s">
        <v>149</v>
      </c>
      <c r="P221" s="45">
        <f>HEX2DEC(RIGHT(Table132321[[#This Row],[h1]],8))</f>
        <v>0</v>
      </c>
      <c r="Q221" s="45" t="s">
        <v>149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411</v>
      </c>
      <c r="G222" s="45">
        <v>0</v>
      </c>
      <c r="J222" s="24">
        <v>50000</v>
      </c>
      <c r="M222" s="24">
        <v>50000</v>
      </c>
      <c r="O222" s="45" t="s">
        <v>149</v>
      </c>
      <c r="P222" s="45">
        <f>HEX2DEC(RIGHT(Table132321[[#This Row],[h1]],8))</f>
        <v>0</v>
      </c>
      <c r="Q222" s="45" t="s">
        <v>149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412</v>
      </c>
      <c r="G223" s="45">
        <v>0</v>
      </c>
      <c r="J223" s="24">
        <v>50000</v>
      </c>
      <c r="M223" s="24">
        <v>50000</v>
      </c>
      <c r="O223" s="45" t="s">
        <v>149</v>
      </c>
      <c r="P223" s="45">
        <f>HEX2DEC(RIGHT(Table132321[[#This Row],[h1]],8))</f>
        <v>0</v>
      </c>
      <c r="Q223" s="45" t="s">
        <v>149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413</v>
      </c>
      <c r="G224" s="45">
        <v>0</v>
      </c>
      <c r="J224" s="24">
        <v>50000</v>
      </c>
      <c r="M224" s="24">
        <v>50000</v>
      </c>
      <c r="O224" s="45" t="s">
        <v>149</v>
      </c>
      <c r="P224" s="45">
        <f>HEX2DEC(RIGHT(Table132321[[#This Row],[h1]],8))</f>
        <v>0</v>
      </c>
      <c r="Q224" s="45" t="s">
        <v>149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414</v>
      </c>
      <c r="G225" s="45">
        <v>0</v>
      </c>
      <c r="J225" s="24">
        <v>50000</v>
      </c>
      <c r="M225" s="24">
        <v>50000</v>
      </c>
      <c r="O225" s="45" t="s">
        <v>149</v>
      </c>
      <c r="P225" s="45">
        <f>HEX2DEC(RIGHT(Table132321[[#This Row],[h1]],8))</f>
        <v>0</v>
      </c>
      <c r="Q225" s="45" t="s">
        <v>149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415</v>
      </c>
      <c r="G226" s="45">
        <v>0</v>
      </c>
      <c r="J226" s="24">
        <v>50000</v>
      </c>
      <c r="M226" s="24">
        <v>50000</v>
      </c>
      <c r="O226" s="45" t="s">
        <v>149</v>
      </c>
      <c r="P226" s="45">
        <f>HEX2DEC(RIGHT(Table132321[[#This Row],[h1]],8))</f>
        <v>0</v>
      </c>
      <c r="Q226" s="45" t="s">
        <v>149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416</v>
      </c>
      <c r="G227" s="45">
        <v>0</v>
      </c>
      <c r="J227" s="24">
        <v>50000</v>
      </c>
      <c r="M227" s="24">
        <v>50000</v>
      </c>
      <c r="O227" s="45" t="s">
        <v>149</v>
      </c>
      <c r="P227" s="45">
        <f>HEX2DEC(RIGHT(Table132321[[#This Row],[h1]],8))</f>
        <v>0</v>
      </c>
      <c r="Q227" s="45" t="s">
        <v>149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417</v>
      </c>
      <c r="G228" s="45">
        <v>0</v>
      </c>
      <c r="J228" s="24">
        <v>50000</v>
      </c>
      <c r="M228" s="24">
        <v>50000</v>
      </c>
      <c r="O228" s="45" t="s">
        <v>149</v>
      </c>
      <c r="P228" s="45">
        <f>HEX2DEC(RIGHT(Table132321[[#This Row],[h1]],8))</f>
        <v>0</v>
      </c>
      <c r="Q228" s="45" t="s">
        <v>149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418</v>
      </c>
      <c r="G229" s="45">
        <v>0</v>
      </c>
      <c r="J229" s="24">
        <v>50000</v>
      </c>
      <c r="M229" s="24">
        <v>50000</v>
      </c>
      <c r="O229" s="45" t="s">
        <v>149</v>
      </c>
      <c r="P229" s="45">
        <f>HEX2DEC(RIGHT(Table132321[[#This Row],[h1]],8))</f>
        <v>0</v>
      </c>
      <c r="Q229" s="45" t="s">
        <v>149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419</v>
      </c>
      <c r="G230" s="45">
        <v>0</v>
      </c>
      <c r="J230" s="24">
        <v>50000</v>
      </c>
      <c r="M230" s="24">
        <v>50000</v>
      </c>
      <c r="O230" s="45" t="s">
        <v>149</v>
      </c>
      <c r="P230" s="45">
        <f>HEX2DEC(RIGHT(Table132321[[#This Row],[h1]],8))</f>
        <v>0</v>
      </c>
      <c r="Q230" s="45" t="s">
        <v>149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420</v>
      </c>
      <c r="G231" s="45">
        <v>0</v>
      </c>
      <c r="J231" s="24">
        <v>50000</v>
      </c>
      <c r="M231" s="24">
        <v>50000</v>
      </c>
      <c r="O231" s="45" t="s">
        <v>149</v>
      </c>
      <c r="P231" s="45">
        <f>HEX2DEC(RIGHT(Table132321[[#This Row],[h1]],8))</f>
        <v>0</v>
      </c>
      <c r="Q231" s="45" t="s">
        <v>149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421</v>
      </c>
      <c r="G232" s="45">
        <v>0</v>
      </c>
      <c r="J232" s="24">
        <v>50000</v>
      </c>
      <c r="M232" s="24">
        <v>50000</v>
      </c>
      <c r="O232" s="45" t="s">
        <v>149</v>
      </c>
      <c r="P232" s="45">
        <f>HEX2DEC(RIGHT(Table132321[[#This Row],[h1]],8))</f>
        <v>0</v>
      </c>
      <c r="Q232" s="45" t="s">
        <v>149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422</v>
      </c>
      <c r="G233" s="45">
        <v>0</v>
      </c>
      <c r="J233" s="24">
        <v>50000</v>
      </c>
      <c r="M233" s="24">
        <v>50000</v>
      </c>
      <c r="O233" s="45" t="s">
        <v>149</v>
      </c>
      <c r="P233" s="45">
        <f>HEX2DEC(RIGHT(Table132321[[#This Row],[h1]],8))</f>
        <v>0</v>
      </c>
      <c r="Q233" s="45" t="s">
        <v>149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423</v>
      </c>
      <c r="G234" s="45">
        <v>0</v>
      </c>
      <c r="J234" s="24">
        <v>50000</v>
      </c>
      <c r="M234" s="24">
        <v>50000</v>
      </c>
      <c r="O234" s="45" t="s">
        <v>149</v>
      </c>
      <c r="P234" s="45">
        <f>HEX2DEC(RIGHT(Table132321[[#This Row],[h1]],8))</f>
        <v>0</v>
      </c>
      <c r="Q234" s="45" t="s">
        <v>149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424</v>
      </c>
      <c r="G235" s="45">
        <v>0</v>
      </c>
      <c r="J235" s="24">
        <v>50000</v>
      </c>
      <c r="M235" s="24">
        <v>50000</v>
      </c>
      <c r="O235" s="45" t="s">
        <v>149</v>
      </c>
      <c r="P235" s="45">
        <f>HEX2DEC(RIGHT(Table132321[[#This Row],[h1]],8))</f>
        <v>0</v>
      </c>
      <c r="Q235" s="45" t="s">
        <v>149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425</v>
      </c>
      <c r="G236" s="45">
        <v>0</v>
      </c>
      <c r="J236" s="24">
        <v>50000</v>
      </c>
      <c r="M236" s="24">
        <v>50000</v>
      </c>
      <c r="O236" s="45" t="s">
        <v>149</v>
      </c>
      <c r="P236" s="45">
        <f>HEX2DEC(RIGHT(Table132321[[#This Row],[h1]],8))</f>
        <v>0</v>
      </c>
      <c r="Q236" s="45" t="s">
        <v>149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426</v>
      </c>
      <c r="G237" s="45">
        <v>0</v>
      </c>
      <c r="J237" s="24">
        <v>50000</v>
      </c>
      <c r="M237" s="24">
        <v>50000</v>
      </c>
      <c r="O237" s="45" t="s">
        <v>149</v>
      </c>
      <c r="P237" s="45">
        <f>HEX2DEC(RIGHT(Table132321[[#This Row],[h1]],8))</f>
        <v>0</v>
      </c>
      <c r="Q237" s="45" t="s">
        <v>149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427</v>
      </c>
      <c r="G238" s="45">
        <v>0</v>
      </c>
      <c r="J238" s="24">
        <v>50000</v>
      </c>
      <c r="M238" s="24">
        <v>50000</v>
      </c>
      <c r="O238" s="45" t="s">
        <v>149</v>
      </c>
      <c r="P238" s="45">
        <f>HEX2DEC(RIGHT(Table132321[[#This Row],[h1]],8))</f>
        <v>0</v>
      </c>
      <c r="Q238" s="45" t="s">
        <v>149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149</v>
      </c>
      <c r="P239" s="45">
        <f>HEX2DEC(RIGHT(Table132321[[#This Row],[h1]],8))</f>
        <v>0</v>
      </c>
      <c r="Q239" s="45" t="s">
        <v>149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149</v>
      </c>
      <c r="P240" s="45">
        <f>HEX2DEC(RIGHT(Table132321[[#This Row],[h1]],8))</f>
        <v>0</v>
      </c>
      <c r="Q240" s="45" t="s">
        <v>149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46</v>
      </c>
      <c r="J241" s="24">
        <v>50000</v>
      </c>
      <c r="M241" s="24">
        <v>50000</v>
      </c>
      <c r="O241" s="45" t="s">
        <v>149</v>
      </c>
      <c r="P241" s="45">
        <f>HEX2DEC(RIGHT(Table132321[[#This Row],[h1]],8))</f>
        <v>0</v>
      </c>
      <c r="Q241" s="45" t="s">
        <v>149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101</v>
      </c>
      <c r="J242" s="24">
        <v>50000</v>
      </c>
      <c r="M242" s="24">
        <v>50000</v>
      </c>
      <c r="O242" s="45" t="s">
        <v>149</v>
      </c>
      <c r="P242" s="45">
        <f>HEX2DEC(RIGHT(Table132321[[#This Row],[h1]],8))</f>
        <v>0</v>
      </c>
      <c r="Q242" s="45" t="s">
        <v>149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428</v>
      </c>
      <c r="F243" s="26"/>
      <c r="G243" s="15">
        <v>-1</v>
      </c>
      <c r="J243" s="24">
        <v>50000</v>
      </c>
      <c r="M243" s="24">
        <v>50000</v>
      </c>
      <c r="O243" s="45" t="s">
        <v>149</v>
      </c>
      <c r="P243" s="45">
        <f>HEX2DEC(RIGHT(Table132321[[#This Row],[h1]],8))</f>
        <v>0</v>
      </c>
      <c r="Q243" s="45" t="s">
        <v>149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429</v>
      </c>
      <c r="G244" s="15">
        <v>1000</v>
      </c>
      <c r="J244" s="24">
        <v>50000</v>
      </c>
      <c r="M244" s="24">
        <v>50000</v>
      </c>
      <c r="O244" s="45" t="s">
        <v>149</v>
      </c>
      <c r="P244" s="45">
        <f>HEX2DEC(RIGHT(Table132321[[#This Row],[h1]],8))</f>
        <v>0</v>
      </c>
      <c r="Q244" s="45" t="s">
        <v>149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149</v>
      </c>
      <c r="P245" s="45">
        <f>HEX2DEC(RIGHT(Table132321[[#This Row],[h1]],8))</f>
        <v>0</v>
      </c>
      <c r="Q245" s="45" t="s">
        <v>149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149</v>
      </c>
      <c r="P246" s="45">
        <f>HEX2DEC(RIGHT(Table132321[[#This Row],[h1]],8))</f>
        <v>0</v>
      </c>
      <c r="Q246" s="45" t="s">
        <v>149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430</v>
      </c>
      <c r="G247" s="15" t="s">
        <v>154</v>
      </c>
      <c r="J247" s="24">
        <v>50000</v>
      </c>
      <c r="M247" s="24">
        <v>50000</v>
      </c>
      <c r="O247" s="45" t="s">
        <v>149</v>
      </c>
      <c r="P247" s="45">
        <f>HEX2DEC(RIGHT(Table132321[[#This Row],[h1]],8))</f>
        <v>0</v>
      </c>
      <c r="Q247" s="45" t="s">
        <v>149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431</v>
      </c>
      <c r="G248" s="15" t="s">
        <v>146</v>
      </c>
      <c r="J248" s="24">
        <v>50000</v>
      </c>
      <c r="M248" s="24">
        <v>50000</v>
      </c>
      <c r="O248" s="45" t="s">
        <v>149</v>
      </c>
      <c r="P248" s="45">
        <f>HEX2DEC(RIGHT(Table132321[[#This Row],[h1]],8))</f>
        <v>0</v>
      </c>
      <c r="Q248" s="45" t="s">
        <v>149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149</v>
      </c>
      <c r="P249" s="45">
        <f>HEX2DEC(RIGHT(Table132321[[#This Row],[h1]],8))</f>
        <v>0</v>
      </c>
      <c r="Q249" s="45" t="s">
        <v>149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149</v>
      </c>
      <c r="P250" s="45">
        <f>HEX2DEC(RIGHT(Table132321[[#This Row],[h1]],8))</f>
        <v>0</v>
      </c>
      <c r="Q250" s="45" t="s">
        <v>149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45</v>
      </c>
      <c r="J251" s="24">
        <v>50000</v>
      </c>
      <c r="M251" s="24">
        <v>50000</v>
      </c>
      <c r="O251" s="45" t="s">
        <v>149</v>
      </c>
      <c r="P251" s="45">
        <f>HEX2DEC(RIGHT(Table132321[[#This Row],[h1]],8))</f>
        <v>0</v>
      </c>
      <c r="Q251" s="45" t="s">
        <v>149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432</v>
      </c>
      <c r="E252" s="15" t="s">
        <v>106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149</v>
      </c>
      <c r="P252" s="45">
        <f>HEX2DEC(RIGHT(Table132321[[#This Row],[h1]],8))</f>
        <v>0</v>
      </c>
      <c r="Q252" s="45" t="s">
        <v>149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433</v>
      </c>
      <c r="E253" s="15" t="s">
        <v>107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149</v>
      </c>
      <c r="P253" s="45">
        <f>HEX2DEC(RIGHT(Table132321[[#This Row],[h1]],8))</f>
        <v>0</v>
      </c>
      <c r="Q253" s="45" t="s">
        <v>149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434</v>
      </c>
      <c r="E254" s="15" t="s">
        <v>108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149</v>
      </c>
      <c r="P254" s="45">
        <f>HEX2DEC(RIGHT(Table132321[[#This Row],[h1]],8))</f>
        <v>0</v>
      </c>
      <c r="Q254" s="45" t="s">
        <v>149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435</v>
      </c>
      <c r="E255" s="15" t="s">
        <v>109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149</v>
      </c>
      <c r="P255" s="45">
        <f>HEX2DEC(RIGHT(Table132321[[#This Row],[h1]],8))</f>
        <v>0</v>
      </c>
      <c r="Q255" s="45" t="s">
        <v>149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436</v>
      </c>
      <c r="E256" s="15" t="s">
        <v>110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149</v>
      </c>
      <c r="P256" s="45">
        <f>HEX2DEC(RIGHT(Table132321[[#This Row],[h1]],8))</f>
        <v>0</v>
      </c>
      <c r="Q256" s="45" t="s">
        <v>149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437</v>
      </c>
      <c r="E257" s="15" t="s">
        <v>111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149</v>
      </c>
      <c r="P257" s="45">
        <f>HEX2DEC(RIGHT(Table132321[[#This Row],[h1]],8))</f>
        <v>0</v>
      </c>
      <c r="Q257" s="45" t="s">
        <v>149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438</v>
      </c>
      <c r="E258" s="15" t="s">
        <v>112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149</v>
      </c>
      <c r="P258" s="45">
        <f>HEX2DEC(RIGHT(Table132321[[#This Row],[h1]],8))</f>
        <v>0</v>
      </c>
      <c r="Q258" s="45" t="s">
        <v>149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439</v>
      </c>
      <c r="E259" s="15" t="s">
        <v>113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149</v>
      </c>
      <c r="P259" s="45">
        <f>HEX2DEC(RIGHT(Table132321[[#This Row],[h1]],8))</f>
        <v>0</v>
      </c>
      <c r="Q259" s="45" t="s">
        <v>149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440</v>
      </c>
      <c r="E260" s="15" t="s">
        <v>114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149</v>
      </c>
      <c r="P260" s="45">
        <f>HEX2DEC(RIGHT(Table132321[[#This Row],[h1]],8))</f>
        <v>0</v>
      </c>
      <c r="Q260" s="45" t="s">
        <v>149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441</v>
      </c>
      <c r="E261" s="15" t="s">
        <v>115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149</v>
      </c>
      <c r="P261" s="45">
        <f>HEX2DEC(RIGHT(Table132321[[#This Row],[h1]],8))</f>
        <v>0</v>
      </c>
      <c r="Q261" s="45" t="s">
        <v>149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442</v>
      </c>
      <c r="E262" s="15" t="s">
        <v>116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149</v>
      </c>
      <c r="P262" s="45">
        <f>HEX2DEC(RIGHT(Table132321[[#This Row],[h1]],8))</f>
        <v>0</v>
      </c>
      <c r="Q262" s="45" t="s">
        <v>149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443</v>
      </c>
      <c r="E263" s="15" t="s">
        <v>117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149</v>
      </c>
      <c r="P263" s="45">
        <f>HEX2DEC(RIGHT(Table132321[[#This Row],[h1]],8))</f>
        <v>0</v>
      </c>
      <c r="Q263" s="45" t="s">
        <v>149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444</v>
      </c>
      <c r="E264" s="15" t="s">
        <v>118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149</v>
      </c>
      <c r="P264" s="45">
        <f>HEX2DEC(RIGHT(Table132321[[#This Row],[h1]],8))</f>
        <v>0</v>
      </c>
      <c r="Q264" s="45" t="s">
        <v>149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445</v>
      </c>
      <c r="E265" s="15" t="s">
        <v>119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149</v>
      </c>
      <c r="P265" s="45">
        <f>HEX2DEC(RIGHT(Table132321[[#This Row],[h1]],8))</f>
        <v>0</v>
      </c>
      <c r="Q265" s="45" t="s">
        <v>149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446</v>
      </c>
      <c r="E266" s="15" t="s">
        <v>120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149</v>
      </c>
      <c r="P266" s="45">
        <f>HEX2DEC(RIGHT(Table132321[[#This Row],[h1]],8))</f>
        <v>0</v>
      </c>
      <c r="Q266" s="45" t="s">
        <v>149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447</v>
      </c>
      <c r="E267" s="15" t="s">
        <v>121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149</v>
      </c>
      <c r="P267" s="45">
        <f>HEX2DEC(RIGHT(Table132321[[#This Row],[h1]],8))</f>
        <v>0</v>
      </c>
      <c r="Q267" s="45" t="s">
        <v>149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448</v>
      </c>
      <c r="E268" s="15" t="s">
        <v>122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149</v>
      </c>
      <c r="P268" s="45">
        <f>HEX2DEC(RIGHT(Table132321[[#This Row],[h1]],8))</f>
        <v>0</v>
      </c>
      <c r="Q268" s="45" t="s">
        <v>149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449</v>
      </c>
      <c r="E269" s="15" t="s">
        <v>123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149</v>
      </c>
      <c r="P269" s="45">
        <f>HEX2DEC(RIGHT(Table132321[[#This Row],[h1]],8))</f>
        <v>0</v>
      </c>
      <c r="Q269" s="45" t="s">
        <v>149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450</v>
      </c>
      <c r="E270" s="15" t="s">
        <v>124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149</v>
      </c>
      <c r="P270" s="45">
        <f>HEX2DEC(RIGHT(Table132321[[#This Row],[h1]],8))</f>
        <v>0</v>
      </c>
      <c r="Q270" s="45" t="s">
        <v>149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451</v>
      </c>
      <c r="E271" s="15" t="s">
        <v>125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149</v>
      </c>
      <c r="P271" s="45">
        <f>HEX2DEC(RIGHT(Table132321[[#This Row],[h1]],8))</f>
        <v>0</v>
      </c>
      <c r="Q271" s="45" t="s">
        <v>149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452</v>
      </c>
      <c r="E272" s="15" t="s">
        <v>126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149</v>
      </c>
      <c r="P272" s="45">
        <f>HEX2DEC(RIGHT(Table132321[[#This Row],[h1]],8))</f>
        <v>0</v>
      </c>
      <c r="Q272" s="45" t="s">
        <v>149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453</v>
      </c>
      <c r="E273" s="15" t="s">
        <v>127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149</v>
      </c>
      <c r="P273" s="45">
        <f>HEX2DEC(RIGHT(Table132321[[#This Row],[h1]],8))</f>
        <v>0</v>
      </c>
      <c r="Q273" s="45" t="s">
        <v>149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454</v>
      </c>
      <c r="E274" s="15" t="s">
        <v>128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149</v>
      </c>
      <c r="P274" s="45">
        <f>HEX2DEC(RIGHT(Table132321[[#This Row],[h1]],8))</f>
        <v>0</v>
      </c>
      <c r="Q274" s="45" t="s">
        <v>149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455</v>
      </c>
      <c r="E275" s="15" t="s">
        <v>129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149</v>
      </c>
      <c r="P275" s="45">
        <f>HEX2DEC(RIGHT(Table132321[[#This Row],[h1]],8))</f>
        <v>0</v>
      </c>
      <c r="Q275" s="45" t="s">
        <v>149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456</v>
      </c>
      <c r="E276" s="15" t="s">
        <v>130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149</v>
      </c>
      <c r="P276" s="45">
        <f>HEX2DEC(RIGHT(Table132321[[#This Row],[h1]],8))</f>
        <v>0</v>
      </c>
      <c r="Q276" s="45" t="s">
        <v>149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457</v>
      </c>
      <c r="E277" s="15" t="s">
        <v>131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149</v>
      </c>
      <c r="P277" s="45">
        <f>HEX2DEC(RIGHT(Table132321[[#This Row],[h1]],8))</f>
        <v>0</v>
      </c>
      <c r="Q277" s="45" t="s">
        <v>149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458</v>
      </c>
      <c r="E278" s="15" t="s">
        <v>132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149</v>
      </c>
      <c r="P278" s="45">
        <f>HEX2DEC(RIGHT(Table132321[[#This Row],[h1]],8))</f>
        <v>0</v>
      </c>
      <c r="Q278" s="45" t="s">
        <v>149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459</v>
      </c>
      <c r="E279" s="15" t="s">
        <v>133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149</v>
      </c>
      <c r="P279" s="45">
        <f>HEX2DEC(RIGHT(Table132321[[#This Row],[h1]],8))</f>
        <v>0</v>
      </c>
      <c r="Q279" s="45" t="s">
        <v>149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460</v>
      </c>
      <c r="E280" s="15" t="s">
        <v>134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149</v>
      </c>
      <c r="P280" s="45">
        <f>HEX2DEC(RIGHT(Table132321[[#This Row],[h1]],8))</f>
        <v>0</v>
      </c>
      <c r="Q280" s="45" t="s">
        <v>149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461</v>
      </c>
      <c r="E281" s="15" t="s">
        <v>135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149</v>
      </c>
      <c r="P281" s="45">
        <f>HEX2DEC(RIGHT(Table132321[[#This Row],[h1]],8))</f>
        <v>0</v>
      </c>
      <c r="Q281" s="45" t="s">
        <v>149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462</v>
      </c>
      <c r="E282" s="15" t="s">
        <v>136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149</v>
      </c>
      <c r="P282" s="45">
        <f>HEX2DEC(RIGHT(Table132321[[#This Row],[h1]],8))</f>
        <v>0</v>
      </c>
      <c r="Q282" s="45" t="s">
        <v>149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149</v>
      </c>
      <c r="P283" s="45">
        <f>HEX2DEC(RIGHT(Table132321[[#This Row],[h1]],8))</f>
        <v>0</v>
      </c>
      <c r="Q283" s="45" t="s">
        <v>149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463</v>
      </c>
      <c r="E284" s="15" t="s">
        <v>106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149</v>
      </c>
      <c r="P284" s="45">
        <f>HEX2DEC(RIGHT(Table132321[[#This Row],[h1]],8))</f>
        <v>0</v>
      </c>
      <c r="Q284" s="45" t="s">
        <v>149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464</v>
      </c>
      <c r="E285" s="15" t="s">
        <v>107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149</v>
      </c>
      <c r="P285" s="45">
        <f>HEX2DEC(RIGHT(Table132321[[#This Row],[h1]],8))</f>
        <v>0</v>
      </c>
      <c r="Q285" s="45" t="s">
        <v>149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465</v>
      </c>
      <c r="E286" s="15" t="s">
        <v>108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149</v>
      </c>
      <c r="P286" s="45">
        <f>HEX2DEC(RIGHT(Table132321[[#This Row],[h1]],8))</f>
        <v>0</v>
      </c>
      <c r="Q286" s="45" t="s">
        <v>149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466</v>
      </c>
      <c r="E287" s="15" t="s">
        <v>109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149</v>
      </c>
      <c r="P287" s="45">
        <f>HEX2DEC(RIGHT(Table132321[[#This Row],[h1]],8))</f>
        <v>0</v>
      </c>
      <c r="Q287" s="45" t="s">
        <v>149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467</v>
      </c>
      <c r="E288" s="15" t="s">
        <v>110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149</v>
      </c>
      <c r="P288" s="45">
        <f>HEX2DEC(RIGHT(Table132321[[#This Row],[h1]],8))</f>
        <v>0</v>
      </c>
      <c r="Q288" s="45" t="s">
        <v>149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468</v>
      </c>
      <c r="E289" s="15" t="s">
        <v>111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149</v>
      </c>
      <c r="P289" s="45">
        <f>HEX2DEC(RIGHT(Table132321[[#This Row],[h1]],8))</f>
        <v>0</v>
      </c>
      <c r="Q289" s="45" t="s">
        <v>149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469</v>
      </c>
      <c r="E290" s="15" t="s">
        <v>112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149</v>
      </c>
      <c r="P290" s="45">
        <f>HEX2DEC(RIGHT(Table132321[[#This Row],[h1]],8))</f>
        <v>0</v>
      </c>
      <c r="Q290" s="45" t="s">
        <v>149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470</v>
      </c>
      <c r="E291" s="15" t="s">
        <v>113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149</v>
      </c>
      <c r="P291" s="45">
        <f>HEX2DEC(RIGHT(Table132321[[#This Row],[h1]],8))</f>
        <v>0</v>
      </c>
      <c r="Q291" s="45" t="s">
        <v>149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471</v>
      </c>
      <c r="E292" s="15" t="s">
        <v>114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149</v>
      </c>
      <c r="P292" s="45">
        <f>HEX2DEC(RIGHT(Table132321[[#This Row],[h1]],8))</f>
        <v>0</v>
      </c>
      <c r="Q292" s="45" t="s">
        <v>149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472</v>
      </c>
      <c r="E293" s="15" t="s">
        <v>115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149</v>
      </c>
      <c r="P293" s="45">
        <f>HEX2DEC(RIGHT(Table132321[[#This Row],[h1]],8))</f>
        <v>0</v>
      </c>
      <c r="Q293" s="45" t="s">
        <v>149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473</v>
      </c>
      <c r="E294" s="15" t="s">
        <v>116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149</v>
      </c>
      <c r="P294" s="45">
        <f>HEX2DEC(RIGHT(Table132321[[#This Row],[h1]],8))</f>
        <v>0</v>
      </c>
      <c r="Q294" s="45" t="s">
        <v>149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474</v>
      </c>
      <c r="E295" s="15" t="s">
        <v>117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149</v>
      </c>
      <c r="P295" s="45">
        <f>HEX2DEC(RIGHT(Table132321[[#This Row],[h1]],8))</f>
        <v>0</v>
      </c>
      <c r="Q295" s="45" t="s">
        <v>149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475</v>
      </c>
      <c r="E296" s="15" t="s">
        <v>118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149</v>
      </c>
      <c r="P296" s="45">
        <f>HEX2DEC(RIGHT(Table132321[[#This Row],[h1]],8))</f>
        <v>0</v>
      </c>
      <c r="Q296" s="45" t="s">
        <v>149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476</v>
      </c>
      <c r="E297" s="15" t="s">
        <v>119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149</v>
      </c>
      <c r="P297" s="45">
        <f>HEX2DEC(RIGHT(Table132321[[#This Row],[h1]],8))</f>
        <v>0</v>
      </c>
      <c r="Q297" s="45" t="s">
        <v>149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477</v>
      </c>
      <c r="E298" s="15" t="s">
        <v>120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149</v>
      </c>
      <c r="P298" s="45">
        <f>HEX2DEC(RIGHT(Table132321[[#This Row],[h1]],8))</f>
        <v>0</v>
      </c>
      <c r="Q298" s="45" t="s">
        <v>149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478</v>
      </c>
      <c r="E299" s="15" t="s">
        <v>121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149</v>
      </c>
      <c r="P299" s="45">
        <f>HEX2DEC(RIGHT(Table132321[[#This Row],[h1]],8))</f>
        <v>0</v>
      </c>
      <c r="Q299" s="45" t="s">
        <v>149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479</v>
      </c>
      <c r="E300" s="15" t="s">
        <v>122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149</v>
      </c>
      <c r="P300" s="45">
        <f>HEX2DEC(RIGHT(Table132321[[#This Row],[h1]],8))</f>
        <v>0</v>
      </c>
      <c r="Q300" s="45" t="s">
        <v>149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480</v>
      </c>
      <c r="E301" s="15" t="s">
        <v>123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149</v>
      </c>
      <c r="P301" s="45">
        <f>HEX2DEC(RIGHT(Table132321[[#This Row],[h1]],8))</f>
        <v>0</v>
      </c>
      <c r="Q301" s="45" t="s">
        <v>149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481</v>
      </c>
      <c r="E302" s="15" t="s">
        <v>124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149</v>
      </c>
      <c r="P302" s="45">
        <f>HEX2DEC(RIGHT(Table132321[[#This Row],[h1]],8))</f>
        <v>0</v>
      </c>
      <c r="Q302" s="45" t="s">
        <v>149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482</v>
      </c>
      <c r="E303" s="15" t="s">
        <v>125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149</v>
      </c>
      <c r="P303" s="45">
        <f>HEX2DEC(RIGHT(Table132321[[#This Row],[h1]],8))</f>
        <v>0</v>
      </c>
      <c r="Q303" s="45" t="s">
        <v>149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483</v>
      </c>
      <c r="E304" s="15" t="s">
        <v>126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149</v>
      </c>
      <c r="P304" s="45">
        <f>HEX2DEC(RIGHT(Table132321[[#This Row],[h1]],8))</f>
        <v>0</v>
      </c>
      <c r="Q304" s="45" t="s">
        <v>149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484</v>
      </c>
      <c r="E305" s="15" t="s">
        <v>127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149</v>
      </c>
      <c r="P305" s="45">
        <f>HEX2DEC(RIGHT(Table132321[[#This Row],[h1]],8))</f>
        <v>0</v>
      </c>
      <c r="Q305" s="45" t="s">
        <v>149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485</v>
      </c>
      <c r="E306" s="15" t="s">
        <v>128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149</v>
      </c>
      <c r="P306" s="45">
        <f>HEX2DEC(RIGHT(Table132321[[#This Row],[h1]],8))</f>
        <v>0</v>
      </c>
      <c r="Q306" s="45" t="s">
        <v>149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486</v>
      </c>
      <c r="E307" s="15" t="s">
        <v>129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149</v>
      </c>
      <c r="P307" s="45">
        <f>HEX2DEC(RIGHT(Table132321[[#This Row],[h1]],8))</f>
        <v>0</v>
      </c>
      <c r="Q307" s="45" t="s">
        <v>149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487</v>
      </c>
      <c r="E308" s="15" t="s">
        <v>130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149</v>
      </c>
      <c r="P308" s="45">
        <f>HEX2DEC(RIGHT(Table132321[[#This Row],[h1]],8))</f>
        <v>0</v>
      </c>
      <c r="Q308" s="45" t="s">
        <v>149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488</v>
      </c>
      <c r="E309" s="15" t="s">
        <v>131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149</v>
      </c>
      <c r="P309" s="45">
        <f>HEX2DEC(RIGHT(Table132321[[#This Row],[h1]],8))</f>
        <v>0</v>
      </c>
      <c r="Q309" s="45" t="s">
        <v>149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489</v>
      </c>
      <c r="E310" s="15" t="s">
        <v>132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149</v>
      </c>
      <c r="P310" s="45">
        <f>HEX2DEC(RIGHT(Table132321[[#This Row],[h1]],8))</f>
        <v>0</v>
      </c>
      <c r="Q310" s="45" t="s">
        <v>149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490</v>
      </c>
      <c r="E311" s="15" t="s">
        <v>133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149</v>
      </c>
      <c r="P311" s="45">
        <f>HEX2DEC(RIGHT(Table132321[[#This Row],[h1]],8))</f>
        <v>0</v>
      </c>
      <c r="Q311" s="45" t="s">
        <v>149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491</v>
      </c>
      <c r="E312" s="15" t="s">
        <v>134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149</v>
      </c>
      <c r="P312" s="45">
        <f>HEX2DEC(RIGHT(Table132321[[#This Row],[h1]],8))</f>
        <v>0</v>
      </c>
      <c r="Q312" s="45" t="s">
        <v>149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492</v>
      </c>
      <c r="E313" s="15" t="s">
        <v>135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149</v>
      </c>
      <c r="P313" s="45">
        <f>HEX2DEC(RIGHT(Table132321[[#This Row],[h1]],8))</f>
        <v>0</v>
      </c>
      <c r="Q313" s="45" t="s">
        <v>149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493</v>
      </c>
      <c r="E314" s="15" t="s">
        <v>136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149</v>
      </c>
      <c r="P314" s="45">
        <f>HEX2DEC(RIGHT(Table132321[[#This Row],[h1]],8))</f>
        <v>0</v>
      </c>
      <c r="Q314" s="45" t="s">
        <v>149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149</v>
      </c>
      <c r="P315" s="45">
        <f>HEX2DEC(RIGHT(Table132321[[#This Row],[h1]],8))</f>
        <v>0</v>
      </c>
      <c r="Q315" s="45" t="s">
        <v>149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494</v>
      </c>
      <c r="E316" s="15" t="s">
        <v>106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149</v>
      </c>
      <c r="P316" s="45">
        <f>HEX2DEC(RIGHT(Table132321[[#This Row],[h1]],8))</f>
        <v>0</v>
      </c>
      <c r="Q316" s="45" t="s">
        <v>149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495</v>
      </c>
      <c r="E317" s="15" t="s">
        <v>107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149</v>
      </c>
      <c r="P317" s="45">
        <f>HEX2DEC(RIGHT(Table132321[[#This Row],[h1]],8))</f>
        <v>0</v>
      </c>
      <c r="Q317" s="45" t="s">
        <v>149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496</v>
      </c>
      <c r="E318" s="15" t="s">
        <v>108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149</v>
      </c>
      <c r="P318" s="45">
        <f>HEX2DEC(RIGHT(Table132321[[#This Row],[h1]],8))</f>
        <v>0</v>
      </c>
      <c r="Q318" s="45" t="s">
        <v>149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497</v>
      </c>
      <c r="E319" s="15" t="s">
        <v>109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149</v>
      </c>
      <c r="P319" s="45">
        <f>HEX2DEC(RIGHT(Table132321[[#This Row],[h1]],8))</f>
        <v>0</v>
      </c>
      <c r="Q319" s="45" t="s">
        <v>149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498</v>
      </c>
      <c r="E320" s="15" t="s">
        <v>110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149</v>
      </c>
      <c r="P320" s="45">
        <f>HEX2DEC(RIGHT(Table132321[[#This Row],[h1]],8))</f>
        <v>0</v>
      </c>
      <c r="Q320" s="45" t="s">
        <v>149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499</v>
      </c>
      <c r="E321" s="15" t="s">
        <v>111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149</v>
      </c>
      <c r="P321" s="45">
        <f>HEX2DEC(RIGHT(Table132321[[#This Row],[h1]],8))</f>
        <v>0</v>
      </c>
      <c r="Q321" s="45" t="s">
        <v>149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500</v>
      </c>
      <c r="E322" s="15" t="s">
        <v>112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149</v>
      </c>
      <c r="P322" s="45">
        <f>HEX2DEC(RIGHT(Table132321[[#This Row],[h1]],8))</f>
        <v>0</v>
      </c>
      <c r="Q322" s="45" t="s">
        <v>149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501</v>
      </c>
      <c r="E323" s="15" t="s">
        <v>113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149</v>
      </c>
      <c r="P323" s="45">
        <f>HEX2DEC(RIGHT(Table132321[[#This Row],[h1]],8))</f>
        <v>0</v>
      </c>
      <c r="Q323" s="45" t="s">
        <v>149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502</v>
      </c>
      <c r="E324" s="15" t="s">
        <v>114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149</v>
      </c>
      <c r="P324" s="45">
        <f>HEX2DEC(RIGHT(Table132321[[#This Row],[h1]],8))</f>
        <v>0</v>
      </c>
      <c r="Q324" s="45" t="s">
        <v>149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503</v>
      </c>
      <c r="E325" s="15" t="s">
        <v>115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149</v>
      </c>
      <c r="P325" s="45">
        <f>HEX2DEC(RIGHT(Table132321[[#This Row],[h1]],8))</f>
        <v>0</v>
      </c>
      <c r="Q325" s="45" t="s">
        <v>149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504</v>
      </c>
      <c r="E326" s="15" t="s">
        <v>116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149</v>
      </c>
      <c r="P326" s="45">
        <f>HEX2DEC(RIGHT(Table132321[[#This Row],[h1]],8))</f>
        <v>0</v>
      </c>
      <c r="Q326" s="45" t="s">
        <v>149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505</v>
      </c>
      <c r="E327" s="15" t="s">
        <v>117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149</v>
      </c>
      <c r="P327" s="45">
        <f>HEX2DEC(RIGHT(Table132321[[#This Row],[h1]],8))</f>
        <v>0</v>
      </c>
      <c r="Q327" s="45" t="s">
        <v>149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506</v>
      </c>
      <c r="E328" s="15" t="s">
        <v>118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149</v>
      </c>
      <c r="P328" s="45">
        <f>HEX2DEC(RIGHT(Table132321[[#This Row],[h1]],8))</f>
        <v>0</v>
      </c>
      <c r="Q328" s="45" t="s">
        <v>149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507</v>
      </c>
      <c r="E329" s="15" t="s">
        <v>119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149</v>
      </c>
      <c r="P329" s="45">
        <f>HEX2DEC(RIGHT(Table132321[[#This Row],[h1]],8))</f>
        <v>0</v>
      </c>
      <c r="Q329" s="45" t="s">
        <v>149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508</v>
      </c>
      <c r="E330" s="15" t="s">
        <v>120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149</v>
      </c>
      <c r="P330" s="45">
        <f>HEX2DEC(RIGHT(Table132321[[#This Row],[h1]],8))</f>
        <v>0</v>
      </c>
      <c r="Q330" s="45" t="s">
        <v>149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509</v>
      </c>
      <c r="E331" s="15" t="s">
        <v>121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149</v>
      </c>
      <c r="P331" s="45">
        <f>HEX2DEC(RIGHT(Table132321[[#This Row],[h1]],8))</f>
        <v>0</v>
      </c>
      <c r="Q331" s="45" t="s">
        <v>149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510</v>
      </c>
      <c r="E332" s="15" t="s">
        <v>122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149</v>
      </c>
      <c r="P332" s="45">
        <f>HEX2DEC(RIGHT(Table132321[[#This Row],[h1]],8))</f>
        <v>0</v>
      </c>
      <c r="Q332" s="45" t="s">
        <v>149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511</v>
      </c>
      <c r="E333" s="15" t="s">
        <v>123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149</v>
      </c>
      <c r="P333" s="45">
        <f>HEX2DEC(RIGHT(Table132321[[#This Row],[h1]],8))</f>
        <v>0</v>
      </c>
      <c r="Q333" s="45" t="s">
        <v>149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512</v>
      </c>
      <c r="E334" s="15" t="s">
        <v>124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149</v>
      </c>
      <c r="P334" s="45">
        <f>HEX2DEC(RIGHT(Table132321[[#This Row],[h1]],8))</f>
        <v>0</v>
      </c>
      <c r="Q334" s="45" t="s">
        <v>149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513</v>
      </c>
      <c r="E335" s="15" t="s">
        <v>125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149</v>
      </c>
      <c r="P335" s="45">
        <f>HEX2DEC(RIGHT(Table132321[[#This Row],[h1]],8))</f>
        <v>0</v>
      </c>
      <c r="Q335" s="45" t="s">
        <v>149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514</v>
      </c>
      <c r="E336" s="15" t="s">
        <v>126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149</v>
      </c>
      <c r="P336" s="45">
        <f>HEX2DEC(RIGHT(Table132321[[#This Row],[h1]],8))</f>
        <v>0</v>
      </c>
      <c r="Q336" s="45" t="s">
        <v>149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515</v>
      </c>
      <c r="E337" s="15" t="s">
        <v>127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149</v>
      </c>
      <c r="P337" s="45">
        <f>HEX2DEC(RIGHT(Table132321[[#This Row],[h1]],8))</f>
        <v>0</v>
      </c>
      <c r="Q337" s="45" t="s">
        <v>149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516</v>
      </c>
      <c r="E338" s="15" t="s">
        <v>128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149</v>
      </c>
      <c r="P338" s="45">
        <f>HEX2DEC(RIGHT(Table132321[[#This Row],[h1]],8))</f>
        <v>0</v>
      </c>
      <c r="Q338" s="45" t="s">
        <v>149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517</v>
      </c>
      <c r="E339" s="15" t="s">
        <v>129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149</v>
      </c>
      <c r="P339" s="45">
        <f>HEX2DEC(RIGHT(Table132321[[#This Row],[h1]],8))</f>
        <v>0</v>
      </c>
      <c r="Q339" s="45" t="s">
        <v>149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518</v>
      </c>
      <c r="E340" s="15" t="s">
        <v>130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149</v>
      </c>
      <c r="P340" s="45">
        <f>HEX2DEC(RIGHT(Table132321[[#This Row],[h1]],8))</f>
        <v>0</v>
      </c>
      <c r="Q340" s="45" t="s">
        <v>149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519</v>
      </c>
      <c r="E341" s="15" t="s">
        <v>131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149</v>
      </c>
      <c r="P341" s="45">
        <f>HEX2DEC(RIGHT(Table132321[[#This Row],[h1]],8))</f>
        <v>0</v>
      </c>
      <c r="Q341" s="45" t="s">
        <v>149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520</v>
      </c>
      <c r="E342" s="15" t="s">
        <v>132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149</v>
      </c>
      <c r="P342" s="45">
        <f>HEX2DEC(RIGHT(Table132321[[#This Row],[h1]],8))</f>
        <v>0</v>
      </c>
      <c r="Q342" s="45" t="s">
        <v>149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521</v>
      </c>
      <c r="E343" s="15" t="s">
        <v>133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149</v>
      </c>
      <c r="P343" s="45">
        <f>HEX2DEC(RIGHT(Table132321[[#This Row],[h1]],8))</f>
        <v>0</v>
      </c>
      <c r="Q343" s="45" t="s">
        <v>149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522</v>
      </c>
      <c r="E344" s="15" t="s">
        <v>134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149</v>
      </c>
      <c r="P344" s="45">
        <f>HEX2DEC(RIGHT(Table132321[[#This Row],[h1]],8))</f>
        <v>0</v>
      </c>
      <c r="Q344" s="45" t="s">
        <v>149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523</v>
      </c>
      <c r="E345" s="15" t="s">
        <v>135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149</v>
      </c>
      <c r="P345" s="45">
        <f>HEX2DEC(RIGHT(Table132321[[#This Row],[h1]],8))</f>
        <v>0</v>
      </c>
      <c r="Q345" s="45" t="s">
        <v>149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524</v>
      </c>
      <c r="E346" s="15" t="s">
        <v>136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149</v>
      </c>
      <c r="P346" s="45">
        <f>HEX2DEC(RIGHT(Table132321[[#This Row],[h1]],8))</f>
        <v>0</v>
      </c>
      <c r="Q346" s="45" t="s">
        <v>149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149</v>
      </c>
      <c r="P347" s="45">
        <f>HEX2DEC(RIGHT(Table132321[[#This Row],[h1]],8))</f>
        <v>0</v>
      </c>
      <c r="Q347" s="45" t="s">
        <v>149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525</v>
      </c>
      <c r="E348" s="15" t="s">
        <v>106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149</v>
      </c>
      <c r="P348" s="45">
        <f>HEX2DEC(RIGHT(Table132321[[#This Row],[h1]],8))</f>
        <v>0</v>
      </c>
      <c r="Q348" s="45" t="s">
        <v>149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526</v>
      </c>
      <c r="E349" s="15" t="s">
        <v>107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149</v>
      </c>
      <c r="P349" s="45">
        <f>HEX2DEC(RIGHT(Table132321[[#This Row],[h1]],8))</f>
        <v>0</v>
      </c>
      <c r="Q349" s="45" t="s">
        <v>149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527</v>
      </c>
      <c r="E350" s="15" t="s">
        <v>108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149</v>
      </c>
      <c r="P350" s="45">
        <f>HEX2DEC(RIGHT(Table132321[[#This Row],[h1]],8))</f>
        <v>0</v>
      </c>
      <c r="Q350" s="45" t="s">
        <v>149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528</v>
      </c>
      <c r="E351" s="15" t="s">
        <v>109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149</v>
      </c>
      <c r="P351" s="45">
        <f>HEX2DEC(RIGHT(Table132321[[#This Row],[h1]],8))</f>
        <v>0</v>
      </c>
      <c r="Q351" s="45" t="s">
        <v>149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529</v>
      </c>
      <c r="E352" s="15" t="s">
        <v>110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149</v>
      </c>
      <c r="P352" s="45">
        <f>HEX2DEC(RIGHT(Table132321[[#This Row],[h1]],8))</f>
        <v>0</v>
      </c>
      <c r="Q352" s="45" t="s">
        <v>149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530</v>
      </c>
      <c r="E353" s="15" t="s">
        <v>111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149</v>
      </c>
      <c r="P353" s="45">
        <f>HEX2DEC(RIGHT(Table132321[[#This Row],[h1]],8))</f>
        <v>0</v>
      </c>
      <c r="Q353" s="45" t="s">
        <v>149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531</v>
      </c>
      <c r="E354" s="15" t="s">
        <v>112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149</v>
      </c>
      <c r="P354" s="45">
        <f>HEX2DEC(RIGHT(Table132321[[#This Row],[h1]],8))</f>
        <v>0</v>
      </c>
      <c r="Q354" s="45" t="s">
        <v>149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532</v>
      </c>
      <c r="E355" s="15" t="s">
        <v>113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149</v>
      </c>
      <c r="P355" s="45">
        <f>HEX2DEC(RIGHT(Table132321[[#This Row],[h1]],8))</f>
        <v>0</v>
      </c>
      <c r="Q355" s="45" t="s">
        <v>149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533</v>
      </c>
      <c r="E356" s="15" t="s">
        <v>114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149</v>
      </c>
      <c r="P356" s="45">
        <f>HEX2DEC(RIGHT(Table132321[[#This Row],[h1]],8))</f>
        <v>0</v>
      </c>
      <c r="Q356" s="45" t="s">
        <v>149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534</v>
      </c>
      <c r="E357" s="15" t="s">
        <v>115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149</v>
      </c>
      <c r="P357" s="45">
        <f>HEX2DEC(RIGHT(Table132321[[#This Row],[h1]],8))</f>
        <v>0</v>
      </c>
      <c r="Q357" s="45" t="s">
        <v>149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535</v>
      </c>
      <c r="E358" s="15" t="s">
        <v>116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149</v>
      </c>
      <c r="P358" s="45">
        <f>HEX2DEC(RIGHT(Table132321[[#This Row],[h1]],8))</f>
        <v>0</v>
      </c>
      <c r="Q358" s="45" t="s">
        <v>149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536</v>
      </c>
      <c r="E359" s="15" t="s">
        <v>117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149</v>
      </c>
      <c r="P359" s="45">
        <f>HEX2DEC(RIGHT(Table132321[[#This Row],[h1]],8))</f>
        <v>0</v>
      </c>
      <c r="Q359" s="45" t="s">
        <v>149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537</v>
      </c>
      <c r="E360" s="15" t="s">
        <v>118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149</v>
      </c>
      <c r="P360" s="45">
        <f>HEX2DEC(RIGHT(Table132321[[#This Row],[h1]],8))</f>
        <v>0</v>
      </c>
      <c r="Q360" s="45" t="s">
        <v>149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538</v>
      </c>
      <c r="E361" s="15" t="s">
        <v>119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149</v>
      </c>
      <c r="P361" s="45">
        <f>HEX2DEC(RIGHT(Table132321[[#This Row],[h1]],8))</f>
        <v>0</v>
      </c>
      <c r="Q361" s="45" t="s">
        <v>149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539</v>
      </c>
      <c r="E362" s="15" t="s">
        <v>120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149</v>
      </c>
      <c r="P362" s="45">
        <f>HEX2DEC(RIGHT(Table132321[[#This Row],[h1]],8))</f>
        <v>0</v>
      </c>
      <c r="Q362" s="45" t="s">
        <v>149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540</v>
      </c>
      <c r="E363" s="15" t="s">
        <v>121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149</v>
      </c>
      <c r="P363" s="45">
        <f>HEX2DEC(RIGHT(Table132321[[#This Row],[h1]],8))</f>
        <v>0</v>
      </c>
      <c r="Q363" s="45" t="s">
        <v>149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541</v>
      </c>
      <c r="E364" s="15" t="s">
        <v>122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149</v>
      </c>
      <c r="P364" s="45">
        <f>HEX2DEC(RIGHT(Table132321[[#This Row],[h1]],8))</f>
        <v>0</v>
      </c>
      <c r="Q364" s="45" t="s">
        <v>149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542</v>
      </c>
      <c r="E365" s="15" t="s">
        <v>123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149</v>
      </c>
      <c r="P365" s="45">
        <f>HEX2DEC(RIGHT(Table132321[[#This Row],[h1]],8))</f>
        <v>0</v>
      </c>
      <c r="Q365" s="45" t="s">
        <v>149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543</v>
      </c>
      <c r="E366" s="15" t="s">
        <v>124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149</v>
      </c>
      <c r="P366" s="45">
        <f>HEX2DEC(RIGHT(Table132321[[#This Row],[h1]],8))</f>
        <v>0</v>
      </c>
      <c r="Q366" s="45" t="s">
        <v>149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544</v>
      </c>
      <c r="E367" s="15" t="s">
        <v>125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149</v>
      </c>
      <c r="P367" s="45">
        <f>HEX2DEC(RIGHT(Table132321[[#This Row],[h1]],8))</f>
        <v>0</v>
      </c>
      <c r="Q367" s="45" t="s">
        <v>149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545</v>
      </c>
      <c r="E368" s="15" t="s">
        <v>126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149</v>
      </c>
      <c r="P368" s="45">
        <f>HEX2DEC(RIGHT(Table132321[[#This Row],[h1]],8))</f>
        <v>0</v>
      </c>
      <c r="Q368" s="45" t="s">
        <v>149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546</v>
      </c>
      <c r="E369" s="15" t="s">
        <v>127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149</v>
      </c>
      <c r="P369" s="45">
        <f>HEX2DEC(RIGHT(Table132321[[#This Row],[h1]],8))</f>
        <v>0</v>
      </c>
      <c r="Q369" s="45" t="s">
        <v>149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547</v>
      </c>
      <c r="E370" s="15" t="s">
        <v>128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149</v>
      </c>
      <c r="P370" s="45">
        <f>HEX2DEC(RIGHT(Table132321[[#This Row],[h1]],8))</f>
        <v>0</v>
      </c>
      <c r="Q370" s="45" t="s">
        <v>149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548</v>
      </c>
      <c r="E371" s="15" t="s">
        <v>129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149</v>
      </c>
      <c r="P371" s="45">
        <f>HEX2DEC(RIGHT(Table132321[[#This Row],[h1]],8))</f>
        <v>0</v>
      </c>
      <c r="Q371" s="45" t="s">
        <v>149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549</v>
      </c>
      <c r="E372" s="15" t="s">
        <v>130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149</v>
      </c>
      <c r="P372" s="45">
        <f>HEX2DEC(RIGHT(Table132321[[#This Row],[h1]],8))</f>
        <v>0</v>
      </c>
      <c r="Q372" s="45" t="s">
        <v>149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550</v>
      </c>
      <c r="E373" s="15" t="s">
        <v>131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149</v>
      </c>
      <c r="P373" s="45">
        <f>HEX2DEC(RIGHT(Table132321[[#This Row],[h1]],8))</f>
        <v>0</v>
      </c>
      <c r="Q373" s="45" t="s">
        <v>149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551</v>
      </c>
      <c r="E374" s="15" t="s">
        <v>132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149</v>
      </c>
      <c r="P374" s="45">
        <f>HEX2DEC(RIGHT(Table132321[[#This Row],[h1]],8))</f>
        <v>0</v>
      </c>
      <c r="Q374" s="45" t="s">
        <v>149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552</v>
      </c>
      <c r="E375" s="15" t="s">
        <v>133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149</v>
      </c>
      <c r="P375" s="45">
        <f>HEX2DEC(RIGHT(Table132321[[#This Row],[h1]],8))</f>
        <v>0</v>
      </c>
      <c r="Q375" s="45" t="s">
        <v>149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553</v>
      </c>
      <c r="E376" s="15" t="s">
        <v>134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149</v>
      </c>
      <c r="P376" s="45">
        <f>HEX2DEC(RIGHT(Table132321[[#This Row],[h1]],8))</f>
        <v>0</v>
      </c>
      <c r="Q376" s="45" t="s">
        <v>149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554</v>
      </c>
      <c r="E377" s="15" t="s">
        <v>135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149</v>
      </c>
      <c r="P377" s="45">
        <f>HEX2DEC(RIGHT(Table132321[[#This Row],[h1]],8))</f>
        <v>0</v>
      </c>
      <c r="Q377" s="45" t="s">
        <v>149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555</v>
      </c>
      <c r="E378" s="15" t="s">
        <v>136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149</v>
      </c>
      <c r="P378" s="45">
        <f>HEX2DEC(RIGHT(Table132321[[#This Row],[h1]],8))</f>
        <v>0</v>
      </c>
      <c r="Q378" s="45" t="s">
        <v>149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149</v>
      </c>
      <c r="P379" s="45">
        <f>HEX2DEC(RIGHT(Table132321[[#This Row],[h1]],8))</f>
        <v>0</v>
      </c>
      <c r="Q379" s="45" t="s">
        <v>149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556</v>
      </c>
      <c r="G380" s="15">
        <v>0</v>
      </c>
      <c r="J380" s="24">
        <v>50000</v>
      </c>
      <c r="M380" s="24">
        <v>50000</v>
      </c>
      <c r="O380" s="45" t="s">
        <v>149</v>
      </c>
      <c r="P380" s="45">
        <f>HEX2DEC(RIGHT(Table132321[[#This Row],[h1]],8))</f>
        <v>0</v>
      </c>
      <c r="Q380" s="45" t="s">
        <v>149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557</v>
      </c>
      <c r="G381" s="15">
        <v>0</v>
      </c>
      <c r="J381" s="24">
        <v>50000</v>
      </c>
      <c r="M381" s="24">
        <v>50000</v>
      </c>
      <c r="O381" s="45" t="s">
        <v>149</v>
      </c>
      <c r="P381" s="45">
        <f>HEX2DEC(RIGHT(Table132321[[#This Row],[h1]],8))</f>
        <v>0</v>
      </c>
      <c r="Q381" s="45" t="s">
        <v>149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558</v>
      </c>
      <c r="G382" s="15">
        <v>0</v>
      </c>
      <c r="J382" s="24">
        <v>50000</v>
      </c>
      <c r="M382" s="24">
        <v>50000</v>
      </c>
      <c r="O382" s="45" t="s">
        <v>149</v>
      </c>
      <c r="P382" s="45">
        <f>HEX2DEC(RIGHT(Table132321[[#This Row],[h1]],8))</f>
        <v>0</v>
      </c>
      <c r="Q382" s="45" t="s">
        <v>149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559</v>
      </c>
      <c r="G383" s="15">
        <v>0</v>
      </c>
      <c r="J383" s="24">
        <v>50000</v>
      </c>
      <c r="M383" s="24">
        <v>50000</v>
      </c>
      <c r="O383" s="45" t="s">
        <v>149</v>
      </c>
      <c r="P383" s="45">
        <f>HEX2DEC(RIGHT(Table132321[[#This Row],[h1]],8))</f>
        <v>0</v>
      </c>
      <c r="Q383" s="45" t="s">
        <v>149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560</v>
      </c>
      <c r="G384" s="15">
        <v>0</v>
      </c>
      <c r="J384" s="24">
        <v>50000</v>
      </c>
      <c r="M384" s="24">
        <v>50000</v>
      </c>
      <c r="O384" s="45" t="s">
        <v>149</v>
      </c>
      <c r="P384" s="45">
        <f>HEX2DEC(RIGHT(Table132321[[#This Row],[h1]],8))</f>
        <v>0</v>
      </c>
      <c r="Q384" s="45" t="s">
        <v>149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561</v>
      </c>
      <c r="G385" s="15">
        <v>0</v>
      </c>
      <c r="J385" s="24">
        <v>50000</v>
      </c>
      <c r="M385" s="24">
        <v>50000</v>
      </c>
      <c r="O385" s="45" t="s">
        <v>149</v>
      </c>
      <c r="P385" s="45">
        <f>HEX2DEC(RIGHT(Table132321[[#This Row],[h1]],8))</f>
        <v>0</v>
      </c>
      <c r="Q385" s="45" t="s">
        <v>149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562</v>
      </c>
      <c r="G386" s="15">
        <v>0</v>
      </c>
      <c r="J386" s="24">
        <v>50000</v>
      </c>
      <c r="M386" s="24">
        <v>50000</v>
      </c>
      <c r="O386" s="45" t="s">
        <v>149</v>
      </c>
      <c r="P386" s="45">
        <f>HEX2DEC(RIGHT(Table132321[[#This Row],[h1]],8))</f>
        <v>0</v>
      </c>
      <c r="Q386" s="45" t="s">
        <v>149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149</v>
      </c>
      <c r="P387" s="45">
        <f>HEX2DEC(RIGHT(Table132321[[#This Row],[h1]],8))</f>
        <v>0</v>
      </c>
      <c r="Q387" s="45" t="s">
        <v>149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165</v>
      </c>
      <c r="G388" s="59" t="s">
        <v>735</v>
      </c>
      <c r="J388" s="24">
        <v>50000</v>
      </c>
      <c r="M388" s="24">
        <v>50000</v>
      </c>
      <c r="O388" s="45" t="s">
        <v>149</v>
      </c>
      <c r="P388" s="45">
        <f>HEX2DEC(RIGHT(Table132321[[#This Row],[h1]],8))</f>
        <v>0</v>
      </c>
      <c r="Q388" s="45" t="s">
        <v>149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166</v>
      </c>
      <c r="G389" s="59" t="s">
        <v>208</v>
      </c>
      <c r="J389" s="24">
        <v>50000</v>
      </c>
      <c r="M389" s="24">
        <v>50000</v>
      </c>
      <c r="O389" s="45" t="s">
        <v>149</v>
      </c>
      <c r="P389" s="45">
        <f>HEX2DEC(RIGHT(Table132321[[#This Row],[h1]],8))</f>
        <v>0</v>
      </c>
      <c r="Q389" s="45" t="s">
        <v>149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167</v>
      </c>
      <c r="G390" s="59" t="s">
        <v>736</v>
      </c>
      <c r="J390" s="24">
        <v>50000</v>
      </c>
      <c r="M390" s="24">
        <v>50000</v>
      </c>
      <c r="O390" s="45" t="s">
        <v>149</v>
      </c>
      <c r="P390" s="45">
        <f>HEX2DEC(RIGHT(Table132321[[#This Row],[h1]],8))</f>
        <v>0</v>
      </c>
      <c r="Q390" s="45" t="s">
        <v>149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168</v>
      </c>
      <c r="G391" s="59" t="s">
        <v>208</v>
      </c>
      <c r="J391" s="24">
        <v>50000</v>
      </c>
      <c r="M391" s="24">
        <v>50000</v>
      </c>
      <c r="O391" s="45" t="s">
        <v>149</v>
      </c>
      <c r="P391" s="45">
        <f>HEX2DEC(RIGHT(Table132321[[#This Row],[h1]],8))</f>
        <v>0</v>
      </c>
      <c r="Q391" s="45" t="s">
        <v>149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169</v>
      </c>
      <c r="G392" s="59" t="s">
        <v>208</v>
      </c>
      <c r="J392" s="24">
        <v>50000</v>
      </c>
      <c r="M392" s="24">
        <v>50000</v>
      </c>
      <c r="O392" s="45" t="s">
        <v>149</v>
      </c>
      <c r="P392" s="45">
        <f>HEX2DEC(RIGHT(Table132321[[#This Row],[h1]],8))</f>
        <v>0</v>
      </c>
      <c r="Q392" s="45" t="s">
        <v>149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170</v>
      </c>
      <c r="G393" s="59" t="s">
        <v>208</v>
      </c>
      <c r="J393" s="24">
        <v>50000</v>
      </c>
      <c r="M393" s="24">
        <v>50000</v>
      </c>
      <c r="O393" s="45" t="s">
        <v>149</v>
      </c>
      <c r="P393" s="45">
        <f>HEX2DEC(RIGHT(Table132321[[#This Row],[h1]],8))</f>
        <v>0</v>
      </c>
      <c r="Q393" s="45" t="s">
        <v>149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171</v>
      </c>
      <c r="G394" s="59" t="s">
        <v>208</v>
      </c>
      <c r="J394" s="24">
        <v>50000</v>
      </c>
      <c r="M394" s="24">
        <v>50000</v>
      </c>
      <c r="O394" s="45" t="s">
        <v>149</v>
      </c>
      <c r="P394" s="45">
        <f>HEX2DEC(RIGHT(Table132321[[#This Row],[h1]],8))</f>
        <v>0</v>
      </c>
      <c r="Q394" s="45" t="s">
        <v>149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172</v>
      </c>
      <c r="G395" s="59" t="s">
        <v>204</v>
      </c>
      <c r="J395" s="24">
        <v>50000</v>
      </c>
      <c r="M395" s="24">
        <v>50000</v>
      </c>
      <c r="O395" s="45" t="s">
        <v>149</v>
      </c>
      <c r="P395" s="45">
        <f>HEX2DEC(RIGHT(Table132321[[#This Row],[h1]],8))</f>
        <v>0</v>
      </c>
      <c r="Q395" s="45" t="s">
        <v>149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173</v>
      </c>
      <c r="G396" s="59" t="s">
        <v>204</v>
      </c>
      <c r="J396" s="24">
        <v>50000</v>
      </c>
      <c r="M396" s="24">
        <v>50000</v>
      </c>
      <c r="O396" s="45" t="s">
        <v>149</v>
      </c>
      <c r="P396" s="45">
        <f>HEX2DEC(RIGHT(Table132321[[#This Row],[h1]],8))</f>
        <v>0</v>
      </c>
      <c r="Q396" s="45" t="s">
        <v>149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174</v>
      </c>
      <c r="G397" s="59" t="s">
        <v>204</v>
      </c>
      <c r="J397" s="24">
        <v>50000</v>
      </c>
      <c r="M397" s="24">
        <v>50000</v>
      </c>
      <c r="O397" s="45" t="s">
        <v>149</v>
      </c>
      <c r="P397" s="45">
        <f>HEX2DEC(RIGHT(Table132321[[#This Row],[h1]],8))</f>
        <v>0</v>
      </c>
      <c r="Q397" s="45" t="s">
        <v>149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175</v>
      </c>
      <c r="G398" s="59" t="s">
        <v>204</v>
      </c>
      <c r="J398" s="24">
        <v>50000</v>
      </c>
      <c r="M398" s="24">
        <v>50000</v>
      </c>
      <c r="O398" s="45" t="s">
        <v>149</v>
      </c>
      <c r="P398" s="45">
        <f>HEX2DEC(RIGHT(Table132321[[#This Row],[h1]],8))</f>
        <v>0</v>
      </c>
      <c r="Q398" s="45" t="s">
        <v>149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176</v>
      </c>
      <c r="G399" s="59" t="s">
        <v>204</v>
      </c>
      <c r="J399" s="24">
        <v>50000</v>
      </c>
      <c r="M399" s="24">
        <v>50000</v>
      </c>
      <c r="O399" s="45" t="s">
        <v>149</v>
      </c>
      <c r="P399" s="45">
        <f>HEX2DEC(RIGHT(Table132321[[#This Row],[h1]],8))</f>
        <v>0</v>
      </c>
      <c r="Q399" s="45" t="s">
        <v>149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177</v>
      </c>
      <c r="G400" s="59" t="s">
        <v>204</v>
      </c>
      <c r="J400" s="24">
        <v>50000</v>
      </c>
      <c r="M400" s="24">
        <v>50000</v>
      </c>
      <c r="O400" s="45" t="s">
        <v>149</v>
      </c>
      <c r="P400" s="45">
        <f>HEX2DEC(RIGHT(Table132321[[#This Row],[h1]],8))</f>
        <v>0</v>
      </c>
      <c r="Q400" s="45" t="s">
        <v>149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178</v>
      </c>
      <c r="G401" s="59" t="s">
        <v>204</v>
      </c>
      <c r="J401" s="24">
        <v>50000</v>
      </c>
      <c r="M401" s="24">
        <v>50000</v>
      </c>
      <c r="O401" s="45" t="s">
        <v>149</v>
      </c>
      <c r="P401" s="45">
        <f>HEX2DEC(RIGHT(Table132321[[#This Row],[h1]],8))</f>
        <v>0</v>
      </c>
      <c r="Q401" s="45" t="s">
        <v>149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179</v>
      </c>
      <c r="G402" s="59" t="s">
        <v>204</v>
      </c>
      <c r="J402" s="24">
        <v>50000</v>
      </c>
      <c r="M402" s="24">
        <v>50000</v>
      </c>
      <c r="O402" s="45" t="s">
        <v>149</v>
      </c>
      <c r="P402" s="45">
        <f>HEX2DEC(RIGHT(Table132321[[#This Row],[h1]],8))</f>
        <v>0</v>
      </c>
      <c r="Q402" s="45" t="s">
        <v>149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180</v>
      </c>
      <c r="G403" s="59" t="s">
        <v>204</v>
      </c>
      <c r="J403" s="24">
        <v>50000</v>
      </c>
      <c r="M403" s="24">
        <v>50000</v>
      </c>
      <c r="O403" s="45" t="s">
        <v>149</v>
      </c>
      <c r="P403" s="45">
        <f>HEX2DEC(RIGHT(Table132321[[#This Row],[h1]],8))</f>
        <v>0</v>
      </c>
      <c r="Q403" s="45" t="s">
        <v>149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181</v>
      </c>
      <c r="G404" s="59" t="s">
        <v>204</v>
      </c>
      <c r="J404" s="24">
        <v>50000</v>
      </c>
      <c r="M404" s="24">
        <v>50000</v>
      </c>
      <c r="O404" s="45" t="s">
        <v>149</v>
      </c>
      <c r="P404" s="45">
        <f>HEX2DEC(RIGHT(Table132321[[#This Row],[h1]],8))</f>
        <v>0</v>
      </c>
      <c r="Q404" s="45" t="s">
        <v>149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182</v>
      </c>
      <c r="G405" s="59" t="s">
        <v>204</v>
      </c>
      <c r="J405" s="24">
        <v>50000</v>
      </c>
      <c r="M405" s="24">
        <v>50000</v>
      </c>
      <c r="O405" s="45" t="s">
        <v>149</v>
      </c>
      <c r="P405" s="45">
        <f>HEX2DEC(RIGHT(Table132321[[#This Row],[h1]],8))</f>
        <v>0</v>
      </c>
      <c r="Q405" s="45" t="s">
        <v>149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183</v>
      </c>
      <c r="G406" s="59" t="s">
        <v>204</v>
      </c>
      <c r="J406" s="24">
        <v>50000</v>
      </c>
      <c r="M406" s="24">
        <v>50000</v>
      </c>
      <c r="O406" s="45" t="s">
        <v>149</v>
      </c>
      <c r="P406" s="45">
        <f>HEX2DEC(RIGHT(Table132321[[#This Row],[h1]],8))</f>
        <v>0</v>
      </c>
      <c r="Q406" s="45" t="s">
        <v>149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184</v>
      </c>
      <c r="G407" s="59" t="s">
        <v>204</v>
      </c>
      <c r="J407" s="24">
        <v>50000</v>
      </c>
      <c r="M407" s="24">
        <v>50000</v>
      </c>
      <c r="O407" s="45" t="s">
        <v>149</v>
      </c>
      <c r="P407" s="45">
        <f>HEX2DEC(RIGHT(Table132321[[#This Row],[h1]],8))</f>
        <v>0</v>
      </c>
      <c r="Q407" s="45" t="s">
        <v>149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185</v>
      </c>
      <c r="G408" s="59" t="s">
        <v>204</v>
      </c>
      <c r="J408" s="24">
        <v>50000</v>
      </c>
      <c r="M408" s="24">
        <v>50000</v>
      </c>
      <c r="O408" s="45" t="s">
        <v>149</v>
      </c>
      <c r="P408" s="45">
        <f>HEX2DEC(RIGHT(Table132321[[#This Row],[h1]],8))</f>
        <v>0</v>
      </c>
      <c r="Q408" s="45" t="s">
        <v>149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186</v>
      </c>
      <c r="G409" s="59" t="s">
        <v>204</v>
      </c>
      <c r="J409" s="24">
        <v>50000</v>
      </c>
      <c r="M409" s="24">
        <v>50000</v>
      </c>
      <c r="O409" s="45" t="s">
        <v>149</v>
      </c>
      <c r="P409" s="45">
        <f>HEX2DEC(RIGHT(Table132321[[#This Row],[h1]],8))</f>
        <v>0</v>
      </c>
      <c r="Q409" s="45" t="s">
        <v>149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187</v>
      </c>
      <c r="G410" s="59" t="s">
        <v>204</v>
      </c>
      <c r="J410" s="24">
        <v>50000</v>
      </c>
      <c r="M410" s="24">
        <v>50000</v>
      </c>
      <c r="O410" s="45" t="s">
        <v>149</v>
      </c>
      <c r="P410" s="45">
        <f>HEX2DEC(RIGHT(Table132321[[#This Row],[h1]],8))</f>
        <v>0</v>
      </c>
      <c r="Q410" s="45" t="s">
        <v>149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188</v>
      </c>
      <c r="G411" s="59" t="s">
        <v>737</v>
      </c>
      <c r="J411" s="24">
        <v>50000</v>
      </c>
      <c r="M411" s="24">
        <v>50000</v>
      </c>
      <c r="O411" s="45" t="s">
        <v>149</v>
      </c>
      <c r="P411" s="45">
        <f>HEX2DEC(RIGHT(Table132321[[#This Row],[h1]],8))</f>
        <v>0</v>
      </c>
      <c r="Q411" s="45" t="s">
        <v>149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189</v>
      </c>
      <c r="G412" s="59" t="s">
        <v>204</v>
      </c>
      <c r="J412" s="24">
        <v>50000</v>
      </c>
      <c r="M412" s="24">
        <v>50000</v>
      </c>
      <c r="O412" s="45" t="s">
        <v>149</v>
      </c>
      <c r="P412" s="45">
        <f>HEX2DEC(RIGHT(Table132321[[#This Row],[h1]],8))</f>
        <v>0</v>
      </c>
      <c r="Q412" s="45" t="s">
        <v>149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190</v>
      </c>
      <c r="G413" s="59" t="s">
        <v>204</v>
      </c>
      <c r="J413" s="24">
        <v>50000</v>
      </c>
      <c r="M413" s="24">
        <v>50000</v>
      </c>
      <c r="O413" s="45" t="s">
        <v>149</v>
      </c>
      <c r="P413" s="45">
        <f>HEX2DEC(RIGHT(Table132321[[#This Row],[h1]],8))</f>
        <v>0</v>
      </c>
      <c r="Q413" s="45" t="s">
        <v>149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191</v>
      </c>
      <c r="G414" s="59" t="s">
        <v>204</v>
      </c>
      <c r="J414" s="24">
        <v>50000</v>
      </c>
      <c r="M414" s="24">
        <v>50000</v>
      </c>
      <c r="O414" s="45" t="s">
        <v>149</v>
      </c>
      <c r="P414" s="45">
        <f>HEX2DEC(RIGHT(Table132321[[#This Row],[h1]],8))</f>
        <v>0</v>
      </c>
      <c r="Q414" s="45" t="s">
        <v>149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192</v>
      </c>
      <c r="G415" s="59" t="s">
        <v>204</v>
      </c>
      <c r="J415" s="24">
        <v>50000</v>
      </c>
      <c r="M415" s="24">
        <v>50000</v>
      </c>
      <c r="O415" s="45" t="s">
        <v>149</v>
      </c>
      <c r="P415" s="45">
        <f>HEX2DEC(RIGHT(Table132321[[#This Row],[h1]],8))</f>
        <v>0</v>
      </c>
      <c r="Q415" s="45" t="s">
        <v>149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193</v>
      </c>
      <c r="G416" s="59" t="s">
        <v>204</v>
      </c>
      <c r="J416" s="24">
        <v>50000</v>
      </c>
      <c r="M416" s="24">
        <v>50000</v>
      </c>
      <c r="O416" s="45" t="s">
        <v>149</v>
      </c>
      <c r="P416" s="45">
        <f>HEX2DEC(RIGHT(Table132321[[#This Row],[h1]],8))</f>
        <v>0</v>
      </c>
      <c r="Q416" s="45" t="s">
        <v>149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194</v>
      </c>
      <c r="G417" s="59" t="s">
        <v>204</v>
      </c>
      <c r="J417" s="24">
        <v>50000</v>
      </c>
      <c r="M417" s="24">
        <v>50000</v>
      </c>
      <c r="O417" s="45" t="s">
        <v>149</v>
      </c>
      <c r="P417" s="45">
        <f>HEX2DEC(RIGHT(Table132321[[#This Row],[h1]],8))</f>
        <v>0</v>
      </c>
      <c r="Q417" s="45" t="s">
        <v>149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195</v>
      </c>
      <c r="G418" s="59" t="s">
        <v>204</v>
      </c>
      <c r="J418" s="24">
        <v>50000</v>
      </c>
      <c r="M418" s="24">
        <v>50000</v>
      </c>
      <c r="O418" s="45" t="s">
        <v>149</v>
      </c>
      <c r="P418" s="45">
        <f>HEX2DEC(RIGHT(Table132321[[#This Row],[h1]],8))</f>
        <v>0</v>
      </c>
      <c r="Q418" s="45" t="s">
        <v>149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196</v>
      </c>
      <c r="G419" s="59" t="s">
        <v>204</v>
      </c>
      <c r="J419" s="24">
        <v>50000</v>
      </c>
      <c r="M419" s="24">
        <v>50000</v>
      </c>
      <c r="O419" s="45" t="s">
        <v>149</v>
      </c>
      <c r="P419" s="45">
        <f>HEX2DEC(RIGHT(Table132321[[#This Row],[h1]],8))</f>
        <v>0</v>
      </c>
      <c r="Q419" s="45" t="s">
        <v>149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197</v>
      </c>
      <c r="G420" s="59" t="s">
        <v>204</v>
      </c>
      <c r="J420" s="24">
        <v>50000</v>
      </c>
      <c r="M420" s="24">
        <v>50000</v>
      </c>
      <c r="O420" s="45" t="s">
        <v>149</v>
      </c>
      <c r="P420" s="45">
        <f>HEX2DEC(RIGHT(Table132321[[#This Row],[h1]],8))</f>
        <v>0</v>
      </c>
      <c r="Q420" s="45" t="s">
        <v>149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198</v>
      </c>
      <c r="G421" s="59" t="s">
        <v>204</v>
      </c>
      <c r="J421" s="24">
        <v>50000</v>
      </c>
      <c r="M421" s="24">
        <v>50000</v>
      </c>
      <c r="O421" s="45" t="s">
        <v>149</v>
      </c>
      <c r="P421" s="45">
        <f>HEX2DEC(RIGHT(Table132321[[#This Row],[h1]],8))</f>
        <v>0</v>
      </c>
      <c r="Q421" s="45" t="s">
        <v>149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199</v>
      </c>
      <c r="G422" s="59" t="s">
        <v>204</v>
      </c>
      <c r="J422" s="24">
        <v>50000</v>
      </c>
      <c r="M422" s="24">
        <v>50000</v>
      </c>
      <c r="O422" s="45" t="s">
        <v>149</v>
      </c>
      <c r="P422" s="45">
        <f>HEX2DEC(RIGHT(Table132321[[#This Row],[h1]],8))</f>
        <v>0</v>
      </c>
      <c r="Q422" s="45" t="s">
        <v>149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200</v>
      </c>
      <c r="G423" s="59" t="s">
        <v>204</v>
      </c>
      <c r="J423" s="24">
        <v>50000</v>
      </c>
      <c r="M423" s="24">
        <v>50000</v>
      </c>
      <c r="O423" s="45" t="s">
        <v>149</v>
      </c>
      <c r="P423" s="45">
        <f>HEX2DEC(RIGHT(Table132321[[#This Row],[h1]],8))</f>
        <v>0</v>
      </c>
      <c r="Q423" s="45" t="s">
        <v>149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201</v>
      </c>
      <c r="G424" s="59" t="s">
        <v>204</v>
      </c>
      <c r="J424" s="24">
        <v>50000</v>
      </c>
      <c r="M424" s="24">
        <v>50000</v>
      </c>
      <c r="O424" s="45" t="s">
        <v>149</v>
      </c>
      <c r="P424" s="45">
        <f>HEX2DEC(RIGHT(Table132321[[#This Row],[h1]],8))</f>
        <v>0</v>
      </c>
      <c r="Q424" s="45" t="s">
        <v>149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202</v>
      </c>
      <c r="G425" s="59" t="s">
        <v>204</v>
      </c>
      <c r="J425" s="24">
        <v>50000</v>
      </c>
      <c r="M425" s="24">
        <v>50000</v>
      </c>
      <c r="O425" s="45" t="s">
        <v>149</v>
      </c>
      <c r="P425" s="45">
        <f>HEX2DEC(RIGHT(Table132321[[#This Row],[h1]],8))</f>
        <v>0</v>
      </c>
      <c r="Q425" s="45" t="s">
        <v>149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203</v>
      </c>
      <c r="G426" s="59" t="s">
        <v>204</v>
      </c>
      <c r="J426" s="24">
        <v>50000</v>
      </c>
      <c r="M426" s="24">
        <v>50000</v>
      </c>
      <c r="O426" s="45" t="s">
        <v>149</v>
      </c>
      <c r="P426" s="45">
        <f>HEX2DEC(RIGHT(Table132321[[#This Row],[h1]],8))</f>
        <v>0</v>
      </c>
      <c r="Q426" s="45" t="s">
        <v>149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205</v>
      </c>
      <c r="G427" s="15">
        <v>1</v>
      </c>
      <c r="J427" s="24">
        <v>50000</v>
      </c>
      <c r="M427" s="24">
        <v>50000</v>
      </c>
      <c r="O427" s="45" t="s">
        <v>149</v>
      </c>
      <c r="P427" s="45">
        <f>HEX2DEC(RIGHT(Table132321[[#This Row],[h1]],8))</f>
        <v>0</v>
      </c>
      <c r="Q427" s="45" t="s">
        <v>149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205</v>
      </c>
      <c r="G428" s="15">
        <v>0</v>
      </c>
      <c r="J428" s="24">
        <v>50000</v>
      </c>
      <c r="M428" s="24">
        <v>50000</v>
      </c>
      <c r="O428" s="45" t="s">
        <v>149</v>
      </c>
      <c r="P428" s="45">
        <f>HEX2DEC(RIGHT(Table132321[[#This Row],[h1]],8))</f>
        <v>0</v>
      </c>
      <c r="Q428" s="45" t="s">
        <v>149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149</v>
      </c>
      <c r="P429" s="45">
        <f>HEX2DEC(RIGHT(Table132321[[#This Row],[h1]],8))</f>
        <v>0</v>
      </c>
      <c r="Q429" s="45" t="s">
        <v>149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149</v>
      </c>
      <c r="P430" s="45">
        <f>HEX2DEC(RIGHT(Table132321[[#This Row],[h1]],8))</f>
        <v>0</v>
      </c>
      <c r="Q430" s="45" t="s">
        <v>149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149</v>
      </c>
      <c r="P431" s="45">
        <f>HEX2DEC(RIGHT(Table132321[[#This Row],[h1]],8))</f>
        <v>0</v>
      </c>
      <c r="Q431" s="45" t="s">
        <v>149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149</v>
      </c>
      <c r="P432" s="45">
        <f>HEX2DEC(RIGHT(Table132321[[#This Row],[h1]],8))</f>
        <v>0</v>
      </c>
      <c r="Q432" s="45" t="s">
        <v>149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149</v>
      </c>
      <c r="P433" s="45">
        <f>HEX2DEC(RIGHT(Table132321[[#This Row],[h1]],8))</f>
        <v>0</v>
      </c>
      <c r="Q433" s="45" t="s">
        <v>149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149</v>
      </c>
      <c r="P434" s="45">
        <f>HEX2DEC(RIGHT(Table132321[[#This Row],[h1]],8))</f>
        <v>0</v>
      </c>
      <c r="Q434" s="45" t="s">
        <v>149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149</v>
      </c>
      <c r="P435" s="45">
        <f>HEX2DEC(RIGHT(Table132321[[#This Row],[h1]],8))</f>
        <v>0</v>
      </c>
      <c r="Q435" s="45" t="s">
        <v>149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149</v>
      </c>
      <c r="P436" s="45">
        <f>HEX2DEC(RIGHT(Table132321[[#This Row],[h1]],8))</f>
        <v>0</v>
      </c>
      <c r="Q436" s="45" t="s">
        <v>149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149</v>
      </c>
      <c r="P437" s="45">
        <f>HEX2DEC(RIGHT(Table132321[[#This Row],[h1]],8))</f>
        <v>0</v>
      </c>
      <c r="Q437" s="45" t="s">
        <v>149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149</v>
      </c>
      <c r="P438" s="45">
        <f>HEX2DEC(RIGHT(Table132321[[#This Row],[h1]],8))</f>
        <v>0</v>
      </c>
      <c r="Q438" s="45" t="s">
        <v>149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149</v>
      </c>
      <c r="P439" s="45">
        <f>HEX2DEC(RIGHT(Table132321[[#This Row],[h1]],8))</f>
        <v>0</v>
      </c>
      <c r="Q439" s="45" t="s">
        <v>149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149</v>
      </c>
      <c r="P440" s="45">
        <f>HEX2DEC(RIGHT(Table132321[[#This Row],[h1]],8))</f>
        <v>0</v>
      </c>
      <c r="Q440" s="45" t="s">
        <v>149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149</v>
      </c>
      <c r="P441" s="45">
        <f>HEX2DEC(RIGHT(Table132321[[#This Row],[h1]],8))</f>
        <v>0</v>
      </c>
      <c r="Q441" s="45" t="s">
        <v>149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149</v>
      </c>
      <c r="P442" s="45">
        <f>HEX2DEC(RIGHT(Table132321[[#This Row],[h1]],8))</f>
        <v>0</v>
      </c>
      <c r="Q442" s="45" t="s">
        <v>149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149</v>
      </c>
      <c r="P443" s="45">
        <f>HEX2DEC(RIGHT(Table132321[[#This Row],[h1]],8))</f>
        <v>0</v>
      </c>
      <c r="Q443" s="45" t="s">
        <v>149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149</v>
      </c>
      <c r="P444" s="45">
        <f>HEX2DEC(RIGHT(Table132321[[#This Row],[h1]],8))</f>
        <v>0</v>
      </c>
      <c r="Q444" s="45" t="s">
        <v>149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149</v>
      </c>
      <c r="P445" s="45">
        <f>HEX2DEC(RIGHT(Table132321[[#This Row],[h1]],8))</f>
        <v>0</v>
      </c>
      <c r="Q445" s="45" t="s">
        <v>149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149</v>
      </c>
      <c r="P446" s="45">
        <f>HEX2DEC(RIGHT(Table132321[[#This Row],[h1]],8))</f>
        <v>0</v>
      </c>
      <c r="Q446" s="45" t="s">
        <v>149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149</v>
      </c>
      <c r="P447" s="45">
        <f>HEX2DEC(RIGHT(Table132321[[#This Row],[h1]],8))</f>
        <v>0</v>
      </c>
      <c r="Q447" s="45" t="s">
        <v>149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149</v>
      </c>
      <c r="P448" s="45">
        <f>HEX2DEC(RIGHT(Table132321[[#This Row],[h1]],8))</f>
        <v>0</v>
      </c>
      <c r="Q448" s="45" t="s">
        <v>149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149</v>
      </c>
      <c r="P449" s="45">
        <f>HEX2DEC(RIGHT(Table132321[[#This Row],[h1]],8))</f>
        <v>0</v>
      </c>
      <c r="Q449" s="45" t="s">
        <v>149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149</v>
      </c>
      <c r="P450" s="45">
        <f>HEX2DEC(RIGHT(Table132321[[#This Row],[h1]],8))</f>
        <v>0</v>
      </c>
      <c r="Q450" s="45" t="s">
        <v>149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149</v>
      </c>
      <c r="P451" s="45">
        <f>HEX2DEC(RIGHT(Table132321[[#This Row],[h1]],8))</f>
        <v>0</v>
      </c>
      <c r="Q451" s="45" t="s">
        <v>149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149</v>
      </c>
      <c r="P452" s="45">
        <f>HEX2DEC(RIGHT(Table132321[[#This Row],[h1]],8))</f>
        <v>0</v>
      </c>
      <c r="Q452" s="45" t="s">
        <v>149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149</v>
      </c>
      <c r="P453" s="45">
        <f>HEX2DEC(RIGHT(Table132321[[#This Row],[h1]],8))</f>
        <v>0</v>
      </c>
      <c r="Q453" s="45" t="s">
        <v>149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149</v>
      </c>
      <c r="P454" s="45">
        <f>HEX2DEC(RIGHT(Table132321[[#This Row],[h1]],8))</f>
        <v>0</v>
      </c>
      <c r="Q454" s="45" t="s">
        <v>149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149</v>
      </c>
      <c r="P455" s="45">
        <f>HEX2DEC(RIGHT(Table132321[[#This Row],[h1]],8))</f>
        <v>0</v>
      </c>
      <c r="Q455" s="45" t="s">
        <v>149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149</v>
      </c>
      <c r="P456" s="45">
        <f>HEX2DEC(RIGHT(Table132321[[#This Row],[h1]],8))</f>
        <v>0</v>
      </c>
      <c r="Q456" s="45" t="s">
        <v>149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149</v>
      </c>
      <c r="P457" s="45">
        <f>HEX2DEC(RIGHT(Table132321[[#This Row],[h1]],8))</f>
        <v>0</v>
      </c>
      <c r="Q457" s="45" t="s">
        <v>149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149</v>
      </c>
      <c r="P458" s="45">
        <f>HEX2DEC(RIGHT(Table132321[[#This Row],[h1]],8))</f>
        <v>0</v>
      </c>
      <c r="Q458" s="45" t="s">
        <v>149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149</v>
      </c>
      <c r="P459" s="45">
        <f>HEX2DEC(RIGHT(Table132321[[#This Row],[h1]],8))</f>
        <v>0</v>
      </c>
      <c r="Q459" s="45" t="s">
        <v>149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149</v>
      </c>
      <c r="P460" s="45">
        <f>HEX2DEC(RIGHT(Table132321[[#This Row],[h1]],8))</f>
        <v>0</v>
      </c>
      <c r="Q460" s="45" t="s">
        <v>149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56</v>
      </c>
      <c r="D461" s="43" t="s">
        <v>48</v>
      </c>
      <c r="E461" s="43"/>
      <c r="F461" s="43"/>
      <c r="G461" s="44"/>
      <c r="J461" s="24">
        <v>50000</v>
      </c>
      <c r="M461" s="24">
        <v>50000</v>
      </c>
      <c r="O461" s="45" t="s">
        <v>149</v>
      </c>
      <c r="P461" s="45">
        <f>HEX2DEC(RIGHT(Table132321[[#This Row],[h1]],8))</f>
        <v>0</v>
      </c>
      <c r="Q461" s="45" t="s">
        <v>149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149</v>
      </c>
      <c r="P462" s="45">
        <f>HEX2DEC(RIGHT(Table132321[[#This Row],[h1]],8))</f>
        <v>0</v>
      </c>
      <c r="Q462" s="45" t="s">
        <v>149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149</v>
      </c>
      <c r="P463" s="45">
        <f>HEX2DEC(RIGHT(Table132321[[#This Row],[h1]],8))</f>
        <v>0</v>
      </c>
      <c r="Q463" s="45" t="s">
        <v>149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149</v>
      </c>
      <c r="P464" s="45">
        <f>HEX2DEC(RIGHT(Table132321[[#This Row],[h1]],8))</f>
        <v>0</v>
      </c>
      <c r="Q464" s="45" t="s">
        <v>149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149</v>
      </c>
      <c r="P465" s="45">
        <f>HEX2DEC(RIGHT(Table132321[[#This Row],[h1]],8))</f>
        <v>0</v>
      </c>
      <c r="Q465" s="45" t="s">
        <v>149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160</v>
      </c>
      <c r="G466" s="33">
        <v>0</v>
      </c>
      <c r="J466" s="24">
        <v>50000</v>
      </c>
      <c r="M466" s="24">
        <v>50000</v>
      </c>
      <c r="O466" s="45" t="s">
        <v>149</v>
      </c>
      <c r="P466" s="45">
        <f>HEX2DEC(RIGHT(Table132321[[#This Row],[h1]],8))</f>
        <v>0</v>
      </c>
      <c r="Q466" s="45" t="s">
        <v>149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161</v>
      </c>
      <c r="G467" s="33">
        <v>1</v>
      </c>
      <c r="J467" s="24">
        <v>50000</v>
      </c>
      <c r="M467" s="24">
        <v>50000</v>
      </c>
      <c r="O467" s="45" t="s">
        <v>149</v>
      </c>
      <c r="P467" s="45">
        <f>HEX2DEC(RIGHT(Table132321[[#This Row],[h1]],8))</f>
        <v>0</v>
      </c>
      <c r="Q467" s="45" t="s">
        <v>149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162</v>
      </c>
      <c r="G468" s="33">
        <v>1</v>
      </c>
      <c r="J468" s="24">
        <v>50000</v>
      </c>
      <c r="M468" s="24">
        <v>50000</v>
      </c>
      <c r="O468" s="45" t="s">
        <v>149</v>
      </c>
      <c r="P468" s="45">
        <f>HEX2DEC(RIGHT(Table132321[[#This Row],[h1]],8))</f>
        <v>0</v>
      </c>
      <c r="Q468" s="45" t="s">
        <v>149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163</v>
      </c>
      <c r="G469" s="33">
        <v>1</v>
      </c>
      <c r="J469" s="24">
        <v>50000</v>
      </c>
      <c r="M469" s="24">
        <v>50000</v>
      </c>
      <c r="O469" s="45" t="s">
        <v>149</v>
      </c>
      <c r="P469" s="45">
        <f>HEX2DEC(RIGHT(Table132321[[#This Row],[h1]],8))</f>
        <v>0</v>
      </c>
      <c r="Q469" s="45" t="s">
        <v>149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158</v>
      </c>
      <c r="J470" s="24">
        <v>50000</v>
      </c>
      <c r="M470" s="24">
        <v>50000</v>
      </c>
      <c r="O470" s="45" t="s">
        <v>149</v>
      </c>
      <c r="P470" s="45">
        <f>HEX2DEC(RIGHT(Table132321[[#This Row],[h1]],8))</f>
        <v>0</v>
      </c>
      <c r="Q470" s="45" t="s">
        <v>149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149</v>
      </c>
      <c r="P471" s="45">
        <f>HEX2DEC(RIGHT(Table132321[[#This Row],[h1]],8))</f>
        <v>0</v>
      </c>
      <c r="Q471" s="45" t="s">
        <v>149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48</v>
      </c>
      <c r="J472" s="24">
        <v>50000</v>
      </c>
      <c r="M472" s="24">
        <v>50000</v>
      </c>
      <c r="O472" s="45" t="s">
        <v>149</v>
      </c>
      <c r="P472" s="45">
        <f>HEX2DEC(RIGHT(Table132321[[#This Row],[h1]],8))</f>
        <v>0</v>
      </c>
      <c r="Q472" s="45" t="s">
        <v>149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149</v>
      </c>
      <c r="P473" s="45">
        <f>HEX2DEC(RIGHT(Table132321[[#This Row],[h1]],8))</f>
        <v>0</v>
      </c>
      <c r="Q473" s="45" t="s">
        <v>149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149</v>
      </c>
      <c r="P474" s="45">
        <f>HEX2DEC(RIGHT(Table132321[[#This Row],[h1]],8))</f>
        <v>0</v>
      </c>
      <c r="Q474" s="45" t="s">
        <v>149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149</v>
      </c>
      <c r="P475" s="45">
        <f>HEX2DEC(RIGHT(Table132321[[#This Row],[h1]],8))</f>
        <v>0</v>
      </c>
      <c r="Q475" s="45" t="s">
        <v>149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149</v>
      </c>
      <c r="P476" s="45">
        <f>HEX2DEC(RIGHT(Table132321[[#This Row],[h1]],8))</f>
        <v>0</v>
      </c>
      <c r="Q476" s="45" t="s">
        <v>149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149</v>
      </c>
      <c r="P477" s="45">
        <f>HEX2DEC(RIGHT(Table132321[[#This Row],[h1]],8))</f>
        <v>0</v>
      </c>
      <c r="Q477" s="45" t="s">
        <v>149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149</v>
      </c>
      <c r="P478" s="45">
        <f>HEX2DEC(RIGHT(Table132321[[#This Row],[h1]],8))</f>
        <v>0</v>
      </c>
      <c r="Q478" s="45" t="s">
        <v>149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149</v>
      </c>
      <c r="P479" s="45">
        <f>HEX2DEC(RIGHT(Table132321[[#This Row],[h1]],8))</f>
        <v>0</v>
      </c>
      <c r="Q479" s="45" t="s">
        <v>149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149</v>
      </c>
      <c r="P480" s="45">
        <f>HEX2DEC(RIGHT(Table132321[[#This Row],[h1]],8))</f>
        <v>0</v>
      </c>
      <c r="Q480" s="45" t="s">
        <v>149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149</v>
      </c>
      <c r="P481" s="45">
        <f>HEX2DEC(RIGHT(Table132321[[#This Row],[h1]],8))</f>
        <v>0</v>
      </c>
      <c r="Q481" s="45" t="s">
        <v>149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149</v>
      </c>
      <c r="P482" s="45">
        <f>HEX2DEC(RIGHT(Table132321[[#This Row],[h1]],8))</f>
        <v>0</v>
      </c>
      <c r="Q482" s="45" t="s">
        <v>149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149</v>
      </c>
      <c r="P483" s="45">
        <f>HEX2DEC(RIGHT(Table132321[[#This Row],[h1]],8))</f>
        <v>0</v>
      </c>
      <c r="Q483" s="45" t="s">
        <v>149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149</v>
      </c>
      <c r="P484" s="45">
        <f>HEX2DEC(RIGHT(Table132321[[#This Row],[h1]],8))</f>
        <v>0</v>
      </c>
      <c r="Q484" s="45" t="s">
        <v>149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149</v>
      </c>
      <c r="P485" s="45">
        <f>HEX2DEC(RIGHT(Table132321[[#This Row],[h1]],8))</f>
        <v>0</v>
      </c>
      <c r="Q485" s="45" t="s">
        <v>149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149</v>
      </c>
      <c r="P486" s="45">
        <f>HEX2DEC(RIGHT(Table132321[[#This Row],[h1]],8))</f>
        <v>0</v>
      </c>
      <c r="Q486" s="45" t="s">
        <v>149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149</v>
      </c>
      <c r="P487" s="45">
        <f>HEX2DEC(RIGHT(Table132321[[#This Row],[h1]],8))</f>
        <v>0</v>
      </c>
      <c r="Q487" s="45" t="s">
        <v>149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149</v>
      </c>
      <c r="P488" s="45">
        <f>HEX2DEC(RIGHT(Table132321[[#This Row],[h1]],8))</f>
        <v>0</v>
      </c>
      <c r="Q488" s="45" t="s">
        <v>149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149</v>
      </c>
      <c r="P489" s="45">
        <f>HEX2DEC(RIGHT(Table132321[[#This Row],[h1]],8))</f>
        <v>0</v>
      </c>
      <c r="Q489" s="45" t="s">
        <v>149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149</v>
      </c>
      <c r="P490" s="45">
        <f>HEX2DEC(RIGHT(Table132321[[#This Row],[h1]],8))</f>
        <v>0</v>
      </c>
      <c r="Q490" s="45" t="s">
        <v>149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149</v>
      </c>
      <c r="P491" s="45">
        <f>HEX2DEC(RIGHT(Table132321[[#This Row],[h1]],8))</f>
        <v>0</v>
      </c>
      <c r="Q491" s="45" t="s">
        <v>149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149</v>
      </c>
      <c r="P492" s="45">
        <f>HEX2DEC(RIGHT(Table132321[[#This Row],[h1]],8))</f>
        <v>0</v>
      </c>
      <c r="Q492" s="45" t="s">
        <v>149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149</v>
      </c>
      <c r="P493" s="45">
        <f>HEX2DEC(RIGHT(Table132321[[#This Row],[h1]],8))</f>
        <v>0</v>
      </c>
      <c r="Q493" s="45" t="s">
        <v>149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149</v>
      </c>
      <c r="P494" s="45">
        <f>HEX2DEC(RIGHT(Table132321[[#This Row],[h1]],8))</f>
        <v>0</v>
      </c>
      <c r="Q494" s="45" t="s">
        <v>149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149</v>
      </c>
      <c r="P495" s="45">
        <f>HEX2DEC(RIGHT(Table132321[[#This Row],[h1]],8))</f>
        <v>0</v>
      </c>
      <c r="Q495" s="45" t="s">
        <v>149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149</v>
      </c>
      <c r="P496" s="45">
        <f>HEX2DEC(RIGHT(Table132321[[#This Row],[h1]],8))</f>
        <v>0</v>
      </c>
      <c r="Q496" s="45" t="s">
        <v>149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149</v>
      </c>
      <c r="P497" s="45">
        <f>HEX2DEC(RIGHT(Table132321[[#This Row],[h1]],8))</f>
        <v>0</v>
      </c>
      <c r="Q497" s="45" t="s">
        <v>149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149</v>
      </c>
      <c r="P498" s="45">
        <f>HEX2DEC(RIGHT(Table132321[[#This Row],[h1]],8))</f>
        <v>0</v>
      </c>
      <c r="Q498" s="45" t="s">
        <v>149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149</v>
      </c>
      <c r="P499" s="45">
        <f>HEX2DEC(RIGHT(Table132321[[#This Row],[h1]],8))</f>
        <v>0</v>
      </c>
      <c r="Q499" s="45" t="s">
        <v>149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149</v>
      </c>
      <c r="P500" s="45">
        <f>HEX2DEC(RIGHT(Table132321[[#This Row],[h1]],8))</f>
        <v>0</v>
      </c>
      <c r="Q500" s="45" t="s">
        <v>149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149</v>
      </c>
      <c r="P501" s="45">
        <f>HEX2DEC(RIGHT(Table132321[[#This Row],[h1]],8))</f>
        <v>0</v>
      </c>
      <c r="Q501" s="45" t="s">
        <v>149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149</v>
      </c>
      <c r="P502" s="45">
        <f>HEX2DEC(RIGHT(Table132321[[#This Row],[h1]],8))</f>
        <v>0</v>
      </c>
      <c r="Q502" s="45" t="s">
        <v>149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149</v>
      </c>
      <c r="P503" s="45">
        <f>HEX2DEC(RIGHT(Table132321[[#This Row],[h1]],8))</f>
        <v>0</v>
      </c>
      <c r="Q503" s="45" t="s">
        <v>149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149</v>
      </c>
      <c r="P504" s="45">
        <f>HEX2DEC(RIGHT(Table132321[[#This Row],[h1]],8))</f>
        <v>0</v>
      </c>
      <c r="Q504" s="45" t="s">
        <v>149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149</v>
      </c>
      <c r="P505" s="45">
        <f>HEX2DEC(RIGHT(Table132321[[#This Row],[h1]],8))</f>
        <v>0</v>
      </c>
      <c r="Q505" s="45" t="s">
        <v>149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149</v>
      </c>
      <c r="P506" s="45">
        <f>HEX2DEC(RIGHT(Table132321[[#This Row],[h1]],8))</f>
        <v>0</v>
      </c>
      <c r="Q506" s="45" t="s">
        <v>149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149</v>
      </c>
      <c r="P507" s="45">
        <f>HEX2DEC(RIGHT(Table132321[[#This Row],[h1]],8))</f>
        <v>0</v>
      </c>
      <c r="Q507" s="45" t="s">
        <v>149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149</v>
      </c>
      <c r="P508" s="45">
        <f>HEX2DEC(RIGHT(Table132321[[#This Row],[h1]],8))</f>
        <v>0</v>
      </c>
      <c r="Q508" s="45" t="s">
        <v>149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149</v>
      </c>
      <c r="P509" s="45">
        <f>HEX2DEC(RIGHT(Table132321[[#This Row],[h1]],8))</f>
        <v>0</v>
      </c>
      <c r="Q509" s="45" t="s">
        <v>149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149</v>
      </c>
      <c r="P510" s="45">
        <f>HEX2DEC(RIGHT(Table132321[[#This Row],[h1]],8))</f>
        <v>0</v>
      </c>
      <c r="Q510" s="45" t="s">
        <v>149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149</v>
      </c>
      <c r="P511" s="45">
        <f>HEX2DEC(RIGHT(Table132321[[#This Row],[h1]],8))</f>
        <v>0</v>
      </c>
      <c r="Q511" s="45" t="s">
        <v>149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149</v>
      </c>
      <c r="P512" s="45">
        <f>HEX2DEC(RIGHT(Table132321[[#This Row],[h1]],8))</f>
        <v>0</v>
      </c>
      <c r="Q512" s="45" t="s">
        <v>149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149</v>
      </c>
      <c r="P513" s="45">
        <f>HEX2DEC(RIGHT(Table132321[[#This Row],[h1]],8))</f>
        <v>0</v>
      </c>
      <c r="Q513" s="45" t="s">
        <v>149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149</v>
      </c>
      <c r="P514" s="45">
        <f>HEX2DEC(RIGHT(Table132321[[#This Row],[h1]],8))</f>
        <v>0</v>
      </c>
      <c r="Q514" s="45" t="s">
        <v>149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149</v>
      </c>
      <c r="P515" s="45">
        <f>HEX2DEC(RIGHT(Table132321[[#This Row],[h1]],8))</f>
        <v>0</v>
      </c>
      <c r="Q515" s="45" t="s">
        <v>149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149</v>
      </c>
      <c r="P516" s="45">
        <f>HEX2DEC(RIGHT(Table132321[[#This Row],[h1]],8))</f>
        <v>0</v>
      </c>
      <c r="Q516" s="45" t="s">
        <v>149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149</v>
      </c>
      <c r="P517" s="45">
        <f>HEX2DEC(RIGHT(Table132321[[#This Row],[h1]],8))</f>
        <v>0</v>
      </c>
      <c r="Q517" s="45" t="s">
        <v>149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149</v>
      </c>
      <c r="P518" s="45">
        <f>HEX2DEC(RIGHT(Table132321[[#This Row],[h1]],8))</f>
        <v>0</v>
      </c>
      <c r="Q518" s="45" t="s">
        <v>149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149</v>
      </c>
      <c r="P519" s="45">
        <f>HEX2DEC(RIGHT(Table132321[[#This Row],[h1]],8))</f>
        <v>0</v>
      </c>
      <c r="Q519" s="45" t="s">
        <v>149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149</v>
      </c>
      <c r="P520" s="45">
        <f>HEX2DEC(RIGHT(Table132321[[#This Row],[h1]],8))</f>
        <v>0</v>
      </c>
      <c r="Q520" s="45" t="s">
        <v>149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149</v>
      </c>
      <c r="P521" s="45">
        <f>HEX2DEC(RIGHT(Table132321[[#This Row],[h1]],8))</f>
        <v>0</v>
      </c>
      <c r="Q521" s="45" t="s">
        <v>149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149</v>
      </c>
      <c r="P522" s="45">
        <f>HEX2DEC(RIGHT(Table132321[[#This Row],[h1]],8))</f>
        <v>0</v>
      </c>
      <c r="Q522" s="45" t="s">
        <v>149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149</v>
      </c>
      <c r="P523" s="45">
        <f>HEX2DEC(RIGHT(Table132321[[#This Row],[h1]],8))</f>
        <v>0</v>
      </c>
      <c r="Q523" s="45" t="s">
        <v>149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149</v>
      </c>
      <c r="P524" s="45">
        <f>HEX2DEC(RIGHT(Table132321[[#This Row],[h1]],8))</f>
        <v>0</v>
      </c>
      <c r="Q524" s="45" t="s">
        <v>149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149</v>
      </c>
      <c r="P525" s="45">
        <f>HEX2DEC(RIGHT(Table132321[[#This Row],[h1]],8))</f>
        <v>0</v>
      </c>
      <c r="Q525" s="45" t="s">
        <v>149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149</v>
      </c>
      <c r="P526" s="45">
        <f>HEX2DEC(RIGHT(Table132321[[#This Row],[h1]],8))</f>
        <v>0</v>
      </c>
      <c r="Q526" s="45" t="s">
        <v>149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149</v>
      </c>
      <c r="P527" s="45">
        <f>HEX2DEC(RIGHT(Table132321[[#This Row],[h1]],8))</f>
        <v>0</v>
      </c>
      <c r="Q527" s="45" t="s">
        <v>149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149</v>
      </c>
      <c r="P528" s="45">
        <f>HEX2DEC(RIGHT(Table132321[[#This Row],[h1]],8))</f>
        <v>0</v>
      </c>
      <c r="Q528" s="45" t="s">
        <v>149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149</v>
      </c>
      <c r="P529" s="45">
        <f>HEX2DEC(RIGHT(Table132321[[#This Row],[h1]],8))</f>
        <v>0</v>
      </c>
      <c r="Q529" s="45" t="s">
        <v>149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149</v>
      </c>
      <c r="P530" s="45">
        <f>HEX2DEC(RIGHT(Table132321[[#This Row],[h1]],8))</f>
        <v>0</v>
      </c>
      <c r="Q530" s="45" t="s">
        <v>149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149</v>
      </c>
      <c r="P531" s="45">
        <f>HEX2DEC(RIGHT(Table132321[[#This Row],[h1]],8))</f>
        <v>0</v>
      </c>
      <c r="Q531" s="45" t="s">
        <v>149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149</v>
      </c>
      <c r="P532" s="45">
        <f>HEX2DEC(RIGHT(Table132321[[#This Row],[h1]],8))</f>
        <v>0</v>
      </c>
      <c r="Q532" s="45" t="s">
        <v>149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149</v>
      </c>
      <c r="P533" s="45">
        <f>HEX2DEC(RIGHT(Table132321[[#This Row],[h1]],8))</f>
        <v>0</v>
      </c>
      <c r="Q533" s="45" t="s">
        <v>149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149</v>
      </c>
      <c r="P534" s="45">
        <f>HEX2DEC(RIGHT(Table132321[[#This Row],[h1]],8))</f>
        <v>0</v>
      </c>
      <c r="Q534" s="45" t="s">
        <v>149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149</v>
      </c>
      <c r="P535" s="45">
        <f>HEX2DEC(RIGHT(Table132321[[#This Row],[h1]],8))</f>
        <v>0</v>
      </c>
      <c r="Q535" s="45" t="s">
        <v>149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149</v>
      </c>
      <c r="P536" s="45">
        <f>HEX2DEC(RIGHT(Table132321[[#This Row],[h1]],8))</f>
        <v>0</v>
      </c>
      <c r="Q536" s="45" t="s">
        <v>149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149</v>
      </c>
      <c r="P537" s="45">
        <f>HEX2DEC(RIGHT(Table132321[[#This Row],[h1]],8))</f>
        <v>0</v>
      </c>
      <c r="Q537" s="45" t="s">
        <v>149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149</v>
      </c>
      <c r="P538" s="45">
        <f>HEX2DEC(RIGHT(Table132321[[#This Row],[h1]],8))</f>
        <v>0</v>
      </c>
      <c r="Q538" s="45" t="s">
        <v>149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149</v>
      </c>
      <c r="P539" s="45">
        <f>HEX2DEC(RIGHT(Table132321[[#This Row],[h1]],8))</f>
        <v>0</v>
      </c>
      <c r="Q539" s="45" t="s">
        <v>149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149</v>
      </c>
      <c r="P540" s="45">
        <f>HEX2DEC(RIGHT(Table132321[[#This Row],[h1]],8))</f>
        <v>0</v>
      </c>
      <c r="Q540" s="45" t="s">
        <v>149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149</v>
      </c>
      <c r="P541" s="45">
        <f>HEX2DEC(RIGHT(Table132321[[#This Row],[h1]],8))</f>
        <v>0</v>
      </c>
      <c r="Q541" s="45" t="s">
        <v>149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149</v>
      </c>
      <c r="P542" s="45">
        <f>HEX2DEC(RIGHT(Table132321[[#This Row],[h1]],8))</f>
        <v>0</v>
      </c>
      <c r="Q542" s="45" t="s">
        <v>149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149</v>
      </c>
      <c r="P543" s="45">
        <f>HEX2DEC(RIGHT(Table132321[[#This Row],[h1]],8))</f>
        <v>0</v>
      </c>
      <c r="Q543" s="45" t="s">
        <v>149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149</v>
      </c>
      <c r="P544" s="45">
        <f>HEX2DEC(RIGHT(Table132321[[#This Row],[h1]],8))</f>
        <v>0</v>
      </c>
      <c r="Q544" s="45" t="s">
        <v>149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149</v>
      </c>
      <c r="P545" s="45">
        <f>HEX2DEC(RIGHT(Table132321[[#This Row],[h1]],8))</f>
        <v>0</v>
      </c>
      <c r="Q545" s="45" t="s">
        <v>149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149</v>
      </c>
      <c r="P546" s="45">
        <f>HEX2DEC(RIGHT(Table132321[[#This Row],[h1]],8))</f>
        <v>0</v>
      </c>
      <c r="Q546" s="45" t="s">
        <v>149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149</v>
      </c>
      <c r="P547" s="45">
        <f>HEX2DEC(RIGHT(Table132321[[#This Row],[h1]],8))</f>
        <v>0</v>
      </c>
      <c r="Q547" s="45" t="s">
        <v>149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149</v>
      </c>
      <c r="P548" s="45">
        <f>HEX2DEC(RIGHT(Table132321[[#This Row],[h1]],8))</f>
        <v>0</v>
      </c>
      <c r="Q548" s="45" t="s">
        <v>149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149</v>
      </c>
      <c r="P549" s="45">
        <f>HEX2DEC(RIGHT(Table132321[[#This Row],[h1]],8))</f>
        <v>0</v>
      </c>
      <c r="Q549" s="45" t="s">
        <v>149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149</v>
      </c>
      <c r="P550" s="45">
        <f>HEX2DEC(RIGHT(Table132321[[#This Row],[h1]],8))</f>
        <v>0</v>
      </c>
      <c r="Q550" s="45" t="s">
        <v>149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149</v>
      </c>
      <c r="P551" s="45">
        <f>HEX2DEC(RIGHT(Table132321[[#This Row],[h1]],8))</f>
        <v>0</v>
      </c>
      <c r="Q551" s="45" t="s">
        <v>149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149</v>
      </c>
      <c r="P552" s="45">
        <f>HEX2DEC(RIGHT(Table132321[[#This Row],[h1]],8))</f>
        <v>0</v>
      </c>
      <c r="Q552" s="45" t="s">
        <v>149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149</v>
      </c>
      <c r="P553" s="45">
        <f>HEX2DEC(RIGHT(Table132321[[#This Row],[h1]],8))</f>
        <v>0</v>
      </c>
      <c r="Q553" s="45" t="s">
        <v>149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149</v>
      </c>
      <c r="P554" s="45">
        <f>HEX2DEC(RIGHT(Table132321[[#This Row],[h1]],8))</f>
        <v>0</v>
      </c>
      <c r="Q554" s="45" t="s">
        <v>149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149</v>
      </c>
      <c r="P555" s="45">
        <f>HEX2DEC(RIGHT(Table132321[[#This Row],[h1]],8))</f>
        <v>0</v>
      </c>
      <c r="Q555" s="45" t="s">
        <v>149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149</v>
      </c>
      <c r="P556" s="45">
        <f>HEX2DEC(RIGHT(Table132321[[#This Row],[h1]],8))</f>
        <v>0</v>
      </c>
      <c r="Q556" s="45" t="s">
        <v>149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149</v>
      </c>
      <c r="P557" s="45">
        <f>HEX2DEC(RIGHT(Table132321[[#This Row],[h1]],8))</f>
        <v>0</v>
      </c>
      <c r="Q557" s="45" t="s">
        <v>149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149</v>
      </c>
      <c r="P558" s="45">
        <f>HEX2DEC(RIGHT(Table132321[[#This Row],[h1]],8))</f>
        <v>0</v>
      </c>
      <c r="Q558" s="45" t="s">
        <v>149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149</v>
      </c>
      <c r="P559" s="45">
        <f>HEX2DEC(RIGHT(Table132321[[#This Row],[h1]],8))</f>
        <v>0</v>
      </c>
      <c r="Q559" s="45" t="s">
        <v>149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149</v>
      </c>
      <c r="P560" s="45">
        <f>HEX2DEC(RIGHT(Table132321[[#This Row],[h1]],8))</f>
        <v>0</v>
      </c>
      <c r="Q560" s="45" t="s">
        <v>149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149</v>
      </c>
      <c r="P561" s="45">
        <f>HEX2DEC(RIGHT(Table132321[[#This Row],[h1]],8))</f>
        <v>0</v>
      </c>
      <c r="Q561" s="45" t="s">
        <v>149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149</v>
      </c>
      <c r="P562" s="45">
        <f>HEX2DEC(RIGHT(Table132321[[#This Row],[h1]],8))</f>
        <v>0</v>
      </c>
      <c r="Q562" s="45" t="s">
        <v>149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149</v>
      </c>
      <c r="P563" s="45">
        <f>HEX2DEC(RIGHT(Table132321[[#This Row],[h1]],8))</f>
        <v>0</v>
      </c>
      <c r="Q563" s="45" t="s">
        <v>149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149</v>
      </c>
      <c r="P564" s="45">
        <f>HEX2DEC(RIGHT(Table132321[[#This Row],[h1]],8))</f>
        <v>0</v>
      </c>
      <c r="Q564" s="45" t="s">
        <v>149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149</v>
      </c>
      <c r="P565" s="45">
        <f>HEX2DEC(RIGHT(Table132321[[#This Row],[h1]],8))</f>
        <v>0</v>
      </c>
      <c r="Q565" s="45" t="s">
        <v>149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149</v>
      </c>
      <c r="P566" s="45">
        <f>HEX2DEC(RIGHT(Table132321[[#This Row],[h1]],8))</f>
        <v>0</v>
      </c>
      <c r="Q566" s="45" t="s">
        <v>149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149</v>
      </c>
      <c r="P567" s="45">
        <f>HEX2DEC(RIGHT(Table132321[[#This Row],[h1]],8))</f>
        <v>0</v>
      </c>
      <c r="Q567" s="45" t="s">
        <v>149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149</v>
      </c>
      <c r="P568" s="45">
        <f>HEX2DEC(RIGHT(Table132321[[#This Row],[h1]],8))</f>
        <v>0</v>
      </c>
      <c r="Q568" s="45" t="s">
        <v>149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149</v>
      </c>
      <c r="P569" s="45">
        <f>HEX2DEC(RIGHT(Table132321[[#This Row],[h1]],8))</f>
        <v>0</v>
      </c>
      <c r="Q569" s="45" t="s">
        <v>149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149</v>
      </c>
      <c r="P570" s="45">
        <f>HEX2DEC(RIGHT(Table132321[[#This Row],[h1]],8))</f>
        <v>0</v>
      </c>
      <c r="Q570" s="45" t="s">
        <v>149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149</v>
      </c>
      <c r="P571" s="45">
        <f>HEX2DEC(RIGHT(Table132321[[#This Row],[h1]],8))</f>
        <v>0</v>
      </c>
      <c r="Q571" s="45" t="s">
        <v>149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149</v>
      </c>
      <c r="P572" s="45">
        <f>HEX2DEC(RIGHT(Table132321[[#This Row],[h1]],8))</f>
        <v>0</v>
      </c>
      <c r="Q572" s="45" t="s">
        <v>149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149</v>
      </c>
      <c r="P573" s="45">
        <f>HEX2DEC(RIGHT(Table132321[[#This Row],[h1]],8))</f>
        <v>0</v>
      </c>
      <c r="Q573" s="45" t="s">
        <v>149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149</v>
      </c>
      <c r="P574" s="45">
        <f>HEX2DEC(RIGHT(Table132321[[#This Row],[h1]],8))</f>
        <v>0</v>
      </c>
      <c r="Q574" s="45" t="s">
        <v>149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149</v>
      </c>
      <c r="P575" s="45">
        <f>HEX2DEC(RIGHT(Table132321[[#This Row],[h1]],8))</f>
        <v>0</v>
      </c>
      <c r="Q575" s="45" t="s">
        <v>149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149</v>
      </c>
      <c r="P576" s="45">
        <f>HEX2DEC(RIGHT(Table132321[[#This Row],[h1]],8))</f>
        <v>0</v>
      </c>
      <c r="Q576" s="45" t="s">
        <v>149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149</v>
      </c>
      <c r="P577" s="45">
        <f>HEX2DEC(RIGHT(Table132321[[#This Row],[h1]],8))</f>
        <v>0</v>
      </c>
      <c r="Q577" s="45" t="s">
        <v>149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149</v>
      </c>
      <c r="P578" s="45">
        <f>HEX2DEC(RIGHT(Table132321[[#This Row],[h1]],8))</f>
        <v>0</v>
      </c>
      <c r="Q578" s="45" t="s">
        <v>149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149</v>
      </c>
      <c r="P579" s="45">
        <f>HEX2DEC(RIGHT(Table132321[[#This Row],[h1]],8))</f>
        <v>0</v>
      </c>
      <c r="Q579" s="45" t="s">
        <v>149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149</v>
      </c>
      <c r="P580" s="45">
        <f>HEX2DEC(RIGHT(Table132321[[#This Row],[h1]],8))</f>
        <v>0</v>
      </c>
      <c r="Q580" s="45" t="s">
        <v>149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149</v>
      </c>
      <c r="P581" s="45">
        <f>HEX2DEC(RIGHT(Table132321[[#This Row],[h1]],8))</f>
        <v>0</v>
      </c>
      <c r="Q581" s="45" t="s">
        <v>149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149</v>
      </c>
      <c r="P582" s="45">
        <f>HEX2DEC(RIGHT(Table132321[[#This Row],[h1]],8))</f>
        <v>0</v>
      </c>
      <c r="Q582" s="45" t="s">
        <v>149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149</v>
      </c>
      <c r="P583" s="45">
        <f>HEX2DEC(RIGHT(Table132321[[#This Row],[h1]],8))</f>
        <v>0</v>
      </c>
      <c r="Q583" s="45" t="s">
        <v>149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149</v>
      </c>
      <c r="P584" s="45">
        <f>HEX2DEC(RIGHT(Table132321[[#This Row],[h1]],8))</f>
        <v>0</v>
      </c>
      <c r="Q584" s="45" t="s">
        <v>149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149</v>
      </c>
      <c r="P585" s="45">
        <f>HEX2DEC(RIGHT(Table132321[[#This Row],[h1]],8))</f>
        <v>0</v>
      </c>
      <c r="Q585" s="45" t="s">
        <v>149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149</v>
      </c>
      <c r="P586" s="45">
        <f>HEX2DEC(RIGHT(Table132321[[#This Row],[h1]],8))</f>
        <v>0</v>
      </c>
      <c r="Q586" s="45" t="s">
        <v>149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149</v>
      </c>
      <c r="P587" s="45">
        <f>HEX2DEC(RIGHT(Table132321[[#This Row],[h1]],8))</f>
        <v>0</v>
      </c>
      <c r="Q587" s="45" t="s">
        <v>149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149</v>
      </c>
      <c r="P588" s="45">
        <f>HEX2DEC(RIGHT(Table132321[[#This Row],[h1]],8))</f>
        <v>0</v>
      </c>
      <c r="Q588" s="45" t="s">
        <v>149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149</v>
      </c>
      <c r="P589" s="45">
        <f>HEX2DEC(RIGHT(Table132321[[#This Row],[h1]],8))</f>
        <v>0</v>
      </c>
      <c r="Q589" s="45" t="s">
        <v>149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149</v>
      </c>
      <c r="P590" s="45">
        <f>HEX2DEC(RIGHT(Table132321[[#This Row],[h1]],8))</f>
        <v>0</v>
      </c>
      <c r="Q590" s="45" t="s">
        <v>149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149</v>
      </c>
      <c r="P591" s="45">
        <f>HEX2DEC(RIGHT(Table132321[[#This Row],[h1]],8))</f>
        <v>0</v>
      </c>
      <c r="Q591" s="45" t="s">
        <v>149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149</v>
      </c>
      <c r="P592" s="45">
        <f>HEX2DEC(RIGHT(Table132321[[#This Row],[h1]],8))</f>
        <v>0</v>
      </c>
      <c r="Q592" s="45" t="s">
        <v>149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149</v>
      </c>
      <c r="P593" s="45">
        <f>HEX2DEC(RIGHT(Table132321[[#This Row],[h1]],8))</f>
        <v>0</v>
      </c>
      <c r="Q593" s="45" t="s">
        <v>149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149</v>
      </c>
      <c r="P594" s="45">
        <f>HEX2DEC(RIGHT(Table132321[[#This Row],[h1]],8))</f>
        <v>0</v>
      </c>
      <c r="Q594" s="45" t="s">
        <v>149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149</v>
      </c>
      <c r="P595" s="45">
        <f>HEX2DEC(RIGHT(Table132321[[#This Row],[h1]],8))</f>
        <v>0</v>
      </c>
      <c r="Q595" s="45" t="s">
        <v>149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149</v>
      </c>
      <c r="P596" s="45">
        <f>HEX2DEC(RIGHT(Table132321[[#This Row],[h1]],8))</f>
        <v>0</v>
      </c>
      <c r="Q596" s="45" t="s">
        <v>149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149</v>
      </c>
      <c r="P597" s="45">
        <f>HEX2DEC(RIGHT(Table132321[[#This Row],[h1]],8))</f>
        <v>0</v>
      </c>
      <c r="Q597" s="45" t="s">
        <v>149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149</v>
      </c>
      <c r="P598" s="45">
        <f>HEX2DEC(RIGHT(Table132321[[#This Row],[h1]],8))</f>
        <v>0</v>
      </c>
      <c r="Q598" s="45" t="s">
        <v>149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149</v>
      </c>
      <c r="P599" s="45">
        <f>HEX2DEC(RIGHT(Table132321[[#This Row],[h1]],8))</f>
        <v>0</v>
      </c>
      <c r="Q599" s="45" t="s">
        <v>149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149</v>
      </c>
      <c r="P600" s="45">
        <f>HEX2DEC(RIGHT(Table132321[[#This Row],[h1]],8))</f>
        <v>0</v>
      </c>
      <c r="Q600" s="45" t="s">
        <v>149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149</v>
      </c>
      <c r="P601" s="45">
        <f>HEX2DEC(RIGHT(Table132321[[#This Row],[h1]],8))</f>
        <v>0</v>
      </c>
      <c r="Q601" s="45" t="s">
        <v>149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149</v>
      </c>
      <c r="P602" s="45">
        <f>HEX2DEC(RIGHT(Table132321[[#This Row],[h1]],8))</f>
        <v>0</v>
      </c>
      <c r="Q602" s="45" t="s">
        <v>149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149</v>
      </c>
      <c r="P603" s="45">
        <f>HEX2DEC(RIGHT(Table132321[[#This Row],[h1]],8))</f>
        <v>0</v>
      </c>
      <c r="Q603" s="45" t="s">
        <v>149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149</v>
      </c>
      <c r="P604" s="45">
        <f>HEX2DEC(RIGHT(Table132321[[#This Row],[h1]],8))</f>
        <v>0</v>
      </c>
      <c r="Q604" s="45" t="s">
        <v>149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149</v>
      </c>
      <c r="P605" s="45">
        <f>HEX2DEC(RIGHT(Table132321[[#This Row],[h1]],8))</f>
        <v>0</v>
      </c>
      <c r="Q605" s="45" t="s">
        <v>149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149</v>
      </c>
      <c r="P606" s="45">
        <f>HEX2DEC(RIGHT(Table132321[[#This Row],[h1]],8))</f>
        <v>0</v>
      </c>
      <c r="Q606" s="45" t="s">
        <v>149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149</v>
      </c>
      <c r="P607" s="45">
        <f>HEX2DEC(RIGHT(Table132321[[#This Row],[h1]],8))</f>
        <v>0</v>
      </c>
      <c r="Q607" s="45" t="s">
        <v>149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149</v>
      </c>
      <c r="P608" s="45">
        <f>HEX2DEC(RIGHT(Table132321[[#This Row],[h1]],8))</f>
        <v>0</v>
      </c>
      <c r="Q608" s="45" t="s">
        <v>149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149</v>
      </c>
      <c r="P609" s="45">
        <f>HEX2DEC(RIGHT(Table132321[[#This Row],[h1]],8))</f>
        <v>0</v>
      </c>
      <c r="Q609" s="45" t="s">
        <v>149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149</v>
      </c>
      <c r="P610" s="45">
        <f>HEX2DEC(RIGHT(Table132321[[#This Row],[h1]],8))</f>
        <v>0</v>
      </c>
      <c r="Q610" s="45" t="s">
        <v>149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149</v>
      </c>
      <c r="P611" s="45">
        <f>HEX2DEC(RIGHT(Table132321[[#This Row],[h1]],8))</f>
        <v>0</v>
      </c>
      <c r="Q611" s="45" t="s">
        <v>149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149</v>
      </c>
      <c r="P612" s="45">
        <f>HEX2DEC(RIGHT(Table132321[[#This Row],[h1]],8))</f>
        <v>0</v>
      </c>
      <c r="Q612" s="45" t="s">
        <v>149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149</v>
      </c>
      <c r="P613" s="45">
        <f>HEX2DEC(RIGHT(Table132321[[#This Row],[h1]],8))</f>
        <v>0</v>
      </c>
      <c r="Q613" s="45" t="s">
        <v>149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149</v>
      </c>
      <c r="P614" s="45">
        <f>HEX2DEC(RIGHT(Table132321[[#This Row],[h1]],8))</f>
        <v>0</v>
      </c>
      <c r="Q614" s="45" t="s">
        <v>149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149</v>
      </c>
      <c r="P615" s="45">
        <f>HEX2DEC(RIGHT(Table132321[[#This Row],[h1]],8))</f>
        <v>0</v>
      </c>
      <c r="Q615" s="45" t="s">
        <v>149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149</v>
      </c>
      <c r="P616" s="45">
        <f>HEX2DEC(RIGHT(Table132321[[#This Row],[h1]],8))</f>
        <v>0</v>
      </c>
      <c r="Q616" s="45" t="s">
        <v>149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149</v>
      </c>
      <c r="P617" s="45">
        <f>HEX2DEC(RIGHT(Table132321[[#This Row],[h1]],8))</f>
        <v>0</v>
      </c>
      <c r="Q617" s="45" t="s">
        <v>149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149</v>
      </c>
      <c r="P618" s="45">
        <f>HEX2DEC(RIGHT(Table132321[[#This Row],[h1]],8))</f>
        <v>0</v>
      </c>
      <c r="Q618" s="45" t="s">
        <v>149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149</v>
      </c>
      <c r="P619" s="45">
        <f>HEX2DEC(RIGHT(Table132321[[#This Row],[h1]],8))</f>
        <v>0</v>
      </c>
      <c r="Q619" s="45" t="s">
        <v>149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149</v>
      </c>
      <c r="P620" s="45">
        <f>HEX2DEC(RIGHT(Table132321[[#This Row],[h1]],8))</f>
        <v>0</v>
      </c>
      <c r="Q620" s="45" t="s">
        <v>149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149</v>
      </c>
      <c r="P621" s="45">
        <f>HEX2DEC(RIGHT(Table132321[[#This Row],[h1]],8))</f>
        <v>0</v>
      </c>
      <c r="Q621" s="45" t="s">
        <v>149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149</v>
      </c>
      <c r="P622" s="45">
        <f>HEX2DEC(RIGHT(Table132321[[#This Row],[h1]],8))</f>
        <v>0</v>
      </c>
      <c r="Q622" s="45" t="s">
        <v>149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149</v>
      </c>
      <c r="P623" s="45">
        <f>HEX2DEC(RIGHT(Table132321[[#This Row],[h1]],8))</f>
        <v>0</v>
      </c>
      <c r="Q623" s="45" t="s">
        <v>149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149</v>
      </c>
      <c r="P624" s="45">
        <f>HEX2DEC(RIGHT(Table132321[[#This Row],[h1]],8))</f>
        <v>0</v>
      </c>
      <c r="Q624" s="45" t="s">
        <v>149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149</v>
      </c>
      <c r="P625" s="45">
        <f>HEX2DEC(RIGHT(Table132321[[#This Row],[h1]],8))</f>
        <v>0</v>
      </c>
      <c r="Q625" s="45" t="s">
        <v>149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149</v>
      </c>
      <c r="P626" s="45">
        <f>HEX2DEC(RIGHT(Table132321[[#This Row],[h1]],8))</f>
        <v>0</v>
      </c>
      <c r="Q626" s="45" t="s">
        <v>149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149</v>
      </c>
      <c r="P627" s="45">
        <f>HEX2DEC(RIGHT(Table132321[[#This Row],[h1]],8))</f>
        <v>0</v>
      </c>
      <c r="Q627" s="45" t="s">
        <v>149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149</v>
      </c>
      <c r="P628" s="45">
        <f>HEX2DEC(RIGHT(Table132321[[#This Row],[h1]],8))</f>
        <v>0</v>
      </c>
      <c r="Q628" s="45" t="s">
        <v>149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149</v>
      </c>
      <c r="P629" s="45">
        <f>HEX2DEC(RIGHT(Table132321[[#This Row],[h1]],8))</f>
        <v>0</v>
      </c>
      <c r="Q629" s="45" t="s">
        <v>149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149</v>
      </c>
      <c r="P630" s="45">
        <f>HEX2DEC(RIGHT(Table132321[[#This Row],[h1]],8))</f>
        <v>0</v>
      </c>
      <c r="Q630" s="45" t="s">
        <v>149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149</v>
      </c>
      <c r="P631" s="45">
        <f>HEX2DEC(RIGHT(Table132321[[#This Row],[h1]],8))</f>
        <v>0</v>
      </c>
      <c r="Q631" s="45" t="s">
        <v>149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149</v>
      </c>
      <c r="P632" s="45">
        <f>HEX2DEC(RIGHT(Table132321[[#This Row],[h1]],8))</f>
        <v>0</v>
      </c>
      <c r="Q632" s="45" t="s">
        <v>149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149</v>
      </c>
      <c r="P633" s="45">
        <f>HEX2DEC(RIGHT(Table132321[[#This Row],[h1]],8))</f>
        <v>0</v>
      </c>
      <c r="Q633" s="45" t="s">
        <v>149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149</v>
      </c>
      <c r="P634" s="45">
        <f>HEX2DEC(RIGHT(Table132321[[#This Row],[h1]],8))</f>
        <v>0</v>
      </c>
      <c r="Q634" s="45" t="s">
        <v>149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149</v>
      </c>
      <c r="P635" s="45">
        <f>HEX2DEC(RIGHT(Table132321[[#This Row],[h1]],8))</f>
        <v>0</v>
      </c>
      <c r="Q635" s="45" t="s">
        <v>149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149</v>
      </c>
      <c r="P636" s="45">
        <f>HEX2DEC(RIGHT(Table132321[[#This Row],[h1]],8))</f>
        <v>0</v>
      </c>
      <c r="Q636" s="45" t="s">
        <v>149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149</v>
      </c>
      <c r="P637" s="45">
        <f>HEX2DEC(RIGHT(Table132321[[#This Row],[h1]],8))</f>
        <v>0</v>
      </c>
      <c r="Q637" s="45" t="s">
        <v>149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149</v>
      </c>
      <c r="P638" s="45">
        <f>HEX2DEC(RIGHT(Table132321[[#This Row],[h1]],8))</f>
        <v>0</v>
      </c>
      <c r="Q638" s="45" t="s">
        <v>149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149</v>
      </c>
      <c r="P639" s="45">
        <f>HEX2DEC(RIGHT(Table132321[[#This Row],[h1]],8))</f>
        <v>0</v>
      </c>
      <c r="Q639" s="45" t="s">
        <v>149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149</v>
      </c>
      <c r="P640" s="45">
        <f>HEX2DEC(RIGHT(Table132321[[#This Row],[h1]],8))</f>
        <v>0</v>
      </c>
      <c r="Q640" s="45" t="s">
        <v>149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149</v>
      </c>
      <c r="P641" s="45">
        <f>HEX2DEC(RIGHT(Table132321[[#This Row],[h1]],8))</f>
        <v>0</v>
      </c>
      <c r="Q641" s="45" t="s">
        <v>149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149</v>
      </c>
      <c r="P642" s="45">
        <f>HEX2DEC(RIGHT(Table132321[[#This Row],[h1]],8))</f>
        <v>0</v>
      </c>
      <c r="Q642" s="45" t="s">
        <v>149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149</v>
      </c>
      <c r="P643" s="45">
        <f>HEX2DEC(RIGHT(Table132321[[#This Row],[h1]],8))</f>
        <v>0</v>
      </c>
      <c r="Q643" s="45" t="s">
        <v>149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149</v>
      </c>
      <c r="P644" s="45">
        <f>HEX2DEC(RIGHT(Table132321[[#This Row],[h1]],8))</f>
        <v>0</v>
      </c>
      <c r="Q644" s="45" t="s">
        <v>149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149</v>
      </c>
      <c r="P645" s="45">
        <f>HEX2DEC(RIGHT(Table132321[[#This Row],[h1]],8))</f>
        <v>0</v>
      </c>
      <c r="Q645" s="45" t="s">
        <v>149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149</v>
      </c>
      <c r="P646" s="45">
        <f>HEX2DEC(RIGHT(Table132321[[#This Row],[h1]],8))</f>
        <v>0</v>
      </c>
      <c r="Q646" s="45" t="s">
        <v>149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149</v>
      </c>
      <c r="P647" s="45">
        <f>HEX2DEC(RIGHT(Table132321[[#This Row],[h1]],8))</f>
        <v>0</v>
      </c>
      <c r="Q647" s="45" t="s">
        <v>149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149</v>
      </c>
      <c r="P648" s="45">
        <f>HEX2DEC(RIGHT(Table132321[[#This Row],[h1]],8))</f>
        <v>0</v>
      </c>
      <c r="Q648" s="45" t="s">
        <v>149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149</v>
      </c>
      <c r="P649" s="45">
        <f>HEX2DEC(RIGHT(Table132321[[#This Row],[h1]],8))</f>
        <v>0</v>
      </c>
      <c r="Q649" s="45" t="s">
        <v>149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149</v>
      </c>
      <c r="P650" s="45">
        <f>HEX2DEC(RIGHT(Table132321[[#This Row],[h1]],8))</f>
        <v>0</v>
      </c>
      <c r="Q650" s="45" t="s">
        <v>149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149</v>
      </c>
      <c r="P651" s="45">
        <f>HEX2DEC(RIGHT(Table132321[[#This Row],[h1]],8))</f>
        <v>0</v>
      </c>
      <c r="Q651" s="45" t="s">
        <v>149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149</v>
      </c>
      <c r="P652" s="45">
        <f>HEX2DEC(RIGHT(Table132321[[#This Row],[h1]],8))</f>
        <v>0</v>
      </c>
      <c r="Q652" s="45" t="s">
        <v>149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149</v>
      </c>
      <c r="P653" s="45">
        <f>HEX2DEC(RIGHT(Table132321[[#This Row],[h1]],8))</f>
        <v>0</v>
      </c>
      <c r="Q653" s="45" t="s">
        <v>149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149</v>
      </c>
      <c r="P654" s="45">
        <f>HEX2DEC(RIGHT(Table132321[[#This Row],[h1]],8))</f>
        <v>0</v>
      </c>
      <c r="Q654" s="45" t="s">
        <v>149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149</v>
      </c>
      <c r="P655" s="45">
        <f>HEX2DEC(RIGHT(Table132321[[#This Row],[h1]],8))</f>
        <v>0</v>
      </c>
      <c r="Q655" s="45" t="s">
        <v>149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149</v>
      </c>
      <c r="P656" s="45">
        <f>HEX2DEC(RIGHT(Table132321[[#This Row],[h1]],8))</f>
        <v>0</v>
      </c>
      <c r="Q656" s="45" t="s">
        <v>149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149</v>
      </c>
      <c r="P657" s="45">
        <f>HEX2DEC(RIGHT(Table132321[[#This Row],[h1]],8))</f>
        <v>0</v>
      </c>
      <c r="Q657" s="45" t="s">
        <v>149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149</v>
      </c>
      <c r="P658" s="45">
        <f>HEX2DEC(RIGHT(Table132321[[#This Row],[h1]],8))</f>
        <v>0</v>
      </c>
      <c r="Q658" s="45" t="s">
        <v>149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149</v>
      </c>
      <c r="P659" s="45">
        <f>HEX2DEC(RIGHT(Table132321[[#This Row],[h1]],8))</f>
        <v>0</v>
      </c>
      <c r="Q659" s="45" t="s">
        <v>149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149</v>
      </c>
      <c r="P660" s="45">
        <f>HEX2DEC(RIGHT(Table132321[[#This Row],[h1]],8))</f>
        <v>0</v>
      </c>
      <c r="Q660" s="45" t="s">
        <v>149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149</v>
      </c>
      <c r="P661" s="45">
        <f>HEX2DEC(RIGHT(Table132321[[#This Row],[h1]],8))</f>
        <v>0</v>
      </c>
      <c r="Q661" s="45" t="s">
        <v>149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149</v>
      </c>
      <c r="P662" s="45">
        <f>HEX2DEC(RIGHT(Table132321[[#This Row],[h1]],8))</f>
        <v>0</v>
      </c>
      <c r="Q662" s="45" t="s">
        <v>149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149</v>
      </c>
      <c r="P663" s="45">
        <f>HEX2DEC(RIGHT(Table132321[[#This Row],[h1]],8))</f>
        <v>0</v>
      </c>
      <c r="Q663" s="45" t="s">
        <v>149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149</v>
      </c>
      <c r="P664" s="45">
        <f>HEX2DEC(RIGHT(Table132321[[#This Row],[h1]],8))</f>
        <v>0</v>
      </c>
      <c r="Q664" s="45" t="s">
        <v>149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149</v>
      </c>
      <c r="P665" s="45">
        <f>HEX2DEC(RIGHT(Table132321[[#This Row],[h1]],8))</f>
        <v>0</v>
      </c>
      <c r="Q665" s="45" t="s">
        <v>149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149</v>
      </c>
      <c r="P666" s="45">
        <f>HEX2DEC(RIGHT(Table132321[[#This Row],[h1]],8))</f>
        <v>0</v>
      </c>
      <c r="Q666" s="45" t="s">
        <v>149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149</v>
      </c>
      <c r="P667" s="45">
        <f>HEX2DEC(RIGHT(Table132321[[#This Row],[h1]],8))</f>
        <v>0</v>
      </c>
      <c r="Q667" s="45" t="s">
        <v>149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149</v>
      </c>
      <c r="P668" s="45">
        <f>HEX2DEC(RIGHT(Table132321[[#This Row],[h1]],8))</f>
        <v>0</v>
      </c>
      <c r="Q668" s="45" t="s">
        <v>149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149</v>
      </c>
      <c r="P669" s="45">
        <f>HEX2DEC(RIGHT(Table132321[[#This Row],[h1]],8))</f>
        <v>0</v>
      </c>
      <c r="Q669" s="45" t="s">
        <v>149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149</v>
      </c>
      <c r="P670" s="45">
        <f>HEX2DEC(RIGHT(Table132321[[#This Row],[h1]],8))</f>
        <v>0</v>
      </c>
      <c r="Q670" s="45" t="s">
        <v>149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149</v>
      </c>
      <c r="P671" s="45">
        <f>HEX2DEC(RIGHT(Table132321[[#This Row],[h1]],8))</f>
        <v>0</v>
      </c>
      <c r="Q671" s="45" t="s">
        <v>149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149</v>
      </c>
      <c r="P672" s="45">
        <f>HEX2DEC(RIGHT(Table132321[[#This Row],[h1]],8))</f>
        <v>0</v>
      </c>
      <c r="Q672" s="45" t="s">
        <v>149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149</v>
      </c>
      <c r="P673" s="45">
        <f>HEX2DEC(RIGHT(Table132321[[#This Row],[h1]],8))</f>
        <v>0</v>
      </c>
      <c r="Q673" s="45" t="s">
        <v>149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149</v>
      </c>
      <c r="P674" s="45">
        <f>HEX2DEC(RIGHT(Table132321[[#This Row],[h1]],8))</f>
        <v>0</v>
      </c>
      <c r="Q674" s="45" t="s">
        <v>149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149</v>
      </c>
      <c r="P675" s="45">
        <f>HEX2DEC(RIGHT(Table132321[[#This Row],[h1]],8))</f>
        <v>0</v>
      </c>
      <c r="Q675" s="45" t="s">
        <v>149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149</v>
      </c>
      <c r="P676" s="45">
        <f>HEX2DEC(RIGHT(Table132321[[#This Row],[h1]],8))</f>
        <v>0</v>
      </c>
      <c r="Q676" s="45" t="s">
        <v>149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149</v>
      </c>
      <c r="P677" s="45">
        <f>HEX2DEC(RIGHT(Table132321[[#This Row],[h1]],8))</f>
        <v>0</v>
      </c>
      <c r="Q677" s="45" t="s">
        <v>149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149</v>
      </c>
      <c r="P678" s="45">
        <f>HEX2DEC(RIGHT(Table132321[[#This Row],[h1]],8))</f>
        <v>0</v>
      </c>
      <c r="Q678" s="45" t="s">
        <v>149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149</v>
      </c>
      <c r="P679" s="45">
        <f>HEX2DEC(RIGHT(Table132321[[#This Row],[h1]],8))</f>
        <v>0</v>
      </c>
      <c r="Q679" s="45" t="s">
        <v>149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149</v>
      </c>
      <c r="P680" s="45">
        <f>HEX2DEC(RIGHT(Table132321[[#This Row],[h1]],8))</f>
        <v>0</v>
      </c>
      <c r="Q680" s="45" t="s">
        <v>149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149</v>
      </c>
      <c r="P681" s="45">
        <f>HEX2DEC(RIGHT(Table132321[[#This Row],[h1]],8))</f>
        <v>0</v>
      </c>
      <c r="Q681" s="45" t="s">
        <v>149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149</v>
      </c>
      <c r="P682" s="45">
        <f>HEX2DEC(RIGHT(Table132321[[#This Row],[h1]],8))</f>
        <v>0</v>
      </c>
      <c r="Q682" s="45" t="s">
        <v>149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149</v>
      </c>
      <c r="P683" s="45">
        <f>HEX2DEC(RIGHT(Table132321[[#This Row],[h1]],8))</f>
        <v>0</v>
      </c>
      <c r="Q683" s="45" t="s">
        <v>149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149</v>
      </c>
      <c r="P684" s="45">
        <f>HEX2DEC(RIGHT(Table132321[[#This Row],[h1]],8))</f>
        <v>0</v>
      </c>
      <c r="Q684" s="45" t="s">
        <v>149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149</v>
      </c>
      <c r="P685" s="45">
        <f>HEX2DEC(RIGHT(Table132321[[#This Row],[h1]],8))</f>
        <v>0</v>
      </c>
      <c r="Q685" s="45" t="s">
        <v>149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149</v>
      </c>
      <c r="P686" s="45">
        <f>HEX2DEC(RIGHT(Table132321[[#This Row],[h1]],8))</f>
        <v>0</v>
      </c>
      <c r="Q686" s="45" t="s">
        <v>149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149</v>
      </c>
      <c r="P687" s="45">
        <f>HEX2DEC(RIGHT(Table132321[[#This Row],[h1]],8))</f>
        <v>0</v>
      </c>
      <c r="Q687" s="45" t="s">
        <v>149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149</v>
      </c>
      <c r="P688" s="45">
        <f>HEX2DEC(RIGHT(Table132321[[#This Row],[h1]],8))</f>
        <v>0</v>
      </c>
      <c r="Q688" s="45" t="s">
        <v>149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149</v>
      </c>
      <c r="P689" s="45">
        <f>HEX2DEC(RIGHT(Table132321[[#This Row],[h1]],8))</f>
        <v>0</v>
      </c>
      <c r="Q689" s="45" t="s">
        <v>149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149</v>
      </c>
      <c r="P690" s="45">
        <f>HEX2DEC(RIGHT(Table132321[[#This Row],[h1]],8))</f>
        <v>0</v>
      </c>
      <c r="Q690" s="45" t="s">
        <v>149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149</v>
      </c>
      <c r="P691" s="45">
        <f>HEX2DEC(RIGHT(Table132321[[#This Row],[h1]],8))</f>
        <v>0</v>
      </c>
      <c r="Q691" s="45" t="s">
        <v>149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149</v>
      </c>
      <c r="P692" s="45">
        <f>HEX2DEC(RIGHT(Table132321[[#This Row],[h1]],8))</f>
        <v>0</v>
      </c>
      <c r="Q692" s="45" t="s">
        <v>149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149</v>
      </c>
      <c r="P693" s="45">
        <f>HEX2DEC(RIGHT(Table132321[[#This Row],[h1]],8))</f>
        <v>0</v>
      </c>
      <c r="Q693" s="45" t="s">
        <v>149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149</v>
      </c>
      <c r="P694" s="45">
        <f>HEX2DEC(RIGHT(Table132321[[#This Row],[h1]],8))</f>
        <v>0</v>
      </c>
      <c r="Q694" s="45" t="s">
        <v>149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149</v>
      </c>
      <c r="P695" s="45">
        <f>HEX2DEC(RIGHT(Table132321[[#This Row],[h1]],8))</f>
        <v>0</v>
      </c>
      <c r="Q695" s="45" t="s">
        <v>149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149</v>
      </c>
      <c r="P696" s="45">
        <f>HEX2DEC(RIGHT(Table132321[[#This Row],[h1]],8))</f>
        <v>0</v>
      </c>
      <c r="Q696" s="45" t="s">
        <v>149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149</v>
      </c>
      <c r="P697" s="45">
        <f>HEX2DEC(RIGHT(Table132321[[#This Row],[h1]],8))</f>
        <v>0</v>
      </c>
      <c r="Q697" s="45" t="s">
        <v>149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149</v>
      </c>
      <c r="P698" s="45">
        <f>HEX2DEC(RIGHT(Table132321[[#This Row],[h1]],8))</f>
        <v>0</v>
      </c>
      <c r="Q698" s="45" t="s">
        <v>149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149</v>
      </c>
      <c r="P699" s="45">
        <f>HEX2DEC(RIGHT(Table132321[[#This Row],[h1]],8))</f>
        <v>0</v>
      </c>
      <c r="Q699" s="45" t="s">
        <v>149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149</v>
      </c>
      <c r="P700" s="45">
        <f>HEX2DEC(RIGHT(Table132321[[#This Row],[h1]],8))</f>
        <v>0</v>
      </c>
      <c r="Q700" s="45" t="s">
        <v>149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149</v>
      </c>
      <c r="P701" s="45">
        <f>HEX2DEC(RIGHT(Table132321[[#This Row],[h1]],8))</f>
        <v>0</v>
      </c>
      <c r="Q701" s="45" t="s">
        <v>149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149</v>
      </c>
      <c r="P702" s="45">
        <f>HEX2DEC(RIGHT(Table132321[[#This Row],[h1]],8))</f>
        <v>0</v>
      </c>
      <c r="Q702" s="45" t="s">
        <v>149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149</v>
      </c>
      <c r="P703" s="45">
        <f>HEX2DEC(RIGHT(Table132321[[#This Row],[h1]],8))</f>
        <v>0</v>
      </c>
      <c r="Q703" s="45" t="s">
        <v>149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149</v>
      </c>
      <c r="P704" s="45">
        <f>HEX2DEC(RIGHT(Table132321[[#This Row],[h1]],8))</f>
        <v>0</v>
      </c>
      <c r="Q704" s="45" t="s">
        <v>149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149</v>
      </c>
      <c r="P705" s="45">
        <f>HEX2DEC(RIGHT(Table132321[[#This Row],[h1]],8))</f>
        <v>0</v>
      </c>
      <c r="Q705" s="45" t="s">
        <v>149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149</v>
      </c>
      <c r="P706" s="45">
        <f>HEX2DEC(RIGHT(Table132321[[#This Row],[h1]],8))</f>
        <v>0</v>
      </c>
      <c r="Q706" s="45" t="s">
        <v>149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149</v>
      </c>
      <c r="P707" s="45">
        <f>HEX2DEC(RIGHT(Table132321[[#This Row],[h1]],8))</f>
        <v>0</v>
      </c>
      <c r="Q707" s="45" t="s">
        <v>149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149</v>
      </c>
      <c r="P708" s="45">
        <f>HEX2DEC(RIGHT(Table132321[[#This Row],[h1]],8))</f>
        <v>0</v>
      </c>
      <c r="Q708" s="45" t="s">
        <v>149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149</v>
      </c>
      <c r="P709" s="45">
        <f>HEX2DEC(RIGHT(Table132321[[#This Row],[h1]],8))</f>
        <v>0</v>
      </c>
      <c r="Q709" s="45" t="s">
        <v>149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149</v>
      </c>
      <c r="P710" s="45">
        <f>HEX2DEC(RIGHT(Table132321[[#This Row],[h1]],8))</f>
        <v>0</v>
      </c>
      <c r="Q710" s="45" t="s">
        <v>149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149</v>
      </c>
      <c r="P711" s="45">
        <f>HEX2DEC(RIGHT(Table132321[[#This Row],[h1]],8))</f>
        <v>0</v>
      </c>
      <c r="Q711" s="45" t="s">
        <v>149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149</v>
      </c>
      <c r="P712" s="45">
        <f>HEX2DEC(RIGHT(Table132321[[#This Row],[h1]],8))</f>
        <v>0</v>
      </c>
      <c r="Q712" s="45" t="s">
        <v>149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149</v>
      </c>
      <c r="P713" s="45">
        <f>HEX2DEC(RIGHT(Table132321[[#This Row],[h1]],8))</f>
        <v>0</v>
      </c>
      <c r="Q713" s="45" t="s">
        <v>149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149</v>
      </c>
      <c r="P714" s="45">
        <f>HEX2DEC(RIGHT(Table132321[[#This Row],[h1]],8))</f>
        <v>0</v>
      </c>
      <c r="Q714" s="45" t="s">
        <v>149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149</v>
      </c>
      <c r="P715" s="45">
        <f>HEX2DEC(RIGHT(Table132321[[#This Row],[h1]],8))</f>
        <v>0</v>
      </c>
      <c r="Q715" s="45" t="s">
        <v>149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149</v>
      </c>
      <c r="P716" s="45">
        <f>HEX2DEC(RIGHT(Table132321[[#This Row],[h1]],8))</f>
        <v>0</v>
      </c>
      <c r="Q716" s="45" t="s">
        <v>149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149</v>
      </c>
      <c r="P717" s="45">
        <f>HEX2DEC(RIGHT(Table132321[[#This Row],[h1]],8))</f>
        <v>0</v>
      </c>
      <c r="Q717" s="45" t="s">
        <v>149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149</v>
      </c>
      <c r="P718" s="45">
        <f>HEX2DEC(RIGHT(Table132321[[#This Row],[h1]],8))</f>
        <v>0</v>
      </c>
      <c r="Q718" s="45" t="s">
        <v>149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149</v>
      </c>
      <c r="P719" s="45">
        <f>HEX2DEC(RIGHT(Table132321[[#This Row],[h1]],8))</f>
        <v>0</v>
      </c>
      <c r="Q719" s="45" t="s">
        <v>149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149</v>
      </c>
      <c r="P720" s="45">
        <f>HEX2DEC(RIGHT(Table132321[[#This Row],[h1]],8))</f>
        <v>0</v>
      </c>
      <c r="Q720" s="45" t="s">
        <v>149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149</v>
      </c>
      <c r="P721" s="45">
        <f>HEX2DEC(RIGHT(Table132321[[#This Row],[h1]],8))</f>
        <v>0</v>
      </c>
      <c r="Q721" s="45" t="s">
        <v>149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149</v>
      </c>
      <c r="P722" s="45">
        <f>HEX2DEC(RIGHT(Table132321[[#This Row],[h1]],8))</f>
        <v>0</v>
      </c>
      <c r="Q722" s="45" t="s">
        <v>149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149</v>
      </c>
      <c r="P723" s="45">
        <f>HEX2DEC(RIGHT(Table132321[[#This Row],[h1]],8))</f>
        <v>0</v>
      </c>
      <c r="Q723" s="45" t="s">
        <v>149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149</v>
      </c>
      <c r="P724" s="45">
        <f>HEX2DEC(RIGHT(Table132321[[#This Row],[h1]],8))</f>
        <v>0</v>
      </c>
      <c r="Q724" s="45" t="s">
        <v>149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149</v>
      </c>
      <c r="P725" s="45">
        <f>HEX2DEC(RIGHT(Table132321[[#This Row],[h1]],8))</f>
        <v>0</v>
      </c>
      <c r="Q725" s="45" t="s">
        <v>149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149</v>
      </c>
      <c r="P726" s="45">
        <f>HEX2DEC(RIGHT(Table132321[[#This Row],[h1]],8))</f>
        <v>0</v>
      </c>
      <c r="Q726" s="45" t="s">
        <v>149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149</v>
      </c>
      <c r="P727" s="45">
        <f>HEX2DEC(RIGHT(Table132321[[#This Row],[h1]],8))</f>
        <v>0</v>
      </c>
      <c r="Q727" s="45" t="s">
        <v>149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149</v>
      </c>
      <c r="P728" s="45">
        <f>HEX2DEC(RIGHT(Table132321[[#This Row],[h1]],8))</f>
        <v>0</v>
      </c>
      <c r="Q728" s="45" t="s">
        <v>149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149</v>
      </c>
      <c r="P729" s="45">
        <f>HEX2DEC(RIGHT(Table132321[[#This Row],[h1]],8))</f>
        <v>0</v>
      </c>
      <c r="Q729" s="45" t="s">
        <v>149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149</v>
      </c>
      <c r="P730" s="45">
        <f>HEX2DEC(RIGHT(Table132321[[#This Row],[h1]],8))</f>
        <v>0</v>
      </c>
      <c r="Q730" s="45" t="s">
        <v>149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149</v>
      </c>
      <c r="P731" s="45">
        <f>HEX2DEC(RIGHT(Table132321[[#This Row],[h1]],8))</f>
        <v>0</v>
      </c>
      <c r="Q731" s="45" t="s">
        <v>149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149</v>
      </c>
      <c r="P732" s="45">
        <f>HEX2DEC(RIGHT(Table132321[[#This Row],[h1]],8))</f>
        <v>0</v>
      </c>
      <c r="Q732" s="45" t="s">
        <v>149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149</v>
      </c>
      <c r="P733" s="45">
        <f>HEX2DEC(RIGHT(Table132321[[#This Row],[h1]],8))</f>
        <v>0</v>
      </c>
      <c r="Q733" s="45" t="s">
        <v>149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149</v>
      </c>
      <c r="P734" s="45">
        <f>HEX2DEC(RIGHT(Table132321[[#This Row],[h1]],8))</f>
        <v>0</v>
      </c>
      <c r="Q734" s="45" t="s">
        <v>149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149</v>
      </c>
      <c r="P735" s="45">
        <f>HEX2DEC(RIGHT(Table132321[[#This Row],[h1]],8))</f>
        <v>0</v>
      </c>
      <c r="Q735" s="45" t="s">
        <v>149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149</v>
      </c>
      <c r="P736" s="45">
        <f>HEX2DEC(RIGHT(Table132321[[#This Row],[h1]],8))</f>
        <v>0</v>
      </c>
      <c r="Q736" s="45" t="s">
        <v>149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149</v>
      </c>
      <c r="P737" s="45">
        <f>HEX2DEC(RIGHT(Table132321[[#This Row],[h1]],8))</f>
        <v>0</v>
      </c>
      <c r="Q737" s="45" t="s">
        <v>149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149</v>
      </c>
      <c r="P738" s="45">
        <f>HEX2DEC(RIGHT(Table132321[[#This Row],[h1]],8))</f>
        <v>0</v>
      </c>
      <c r="Q738" s="45" t="s">
        <v>149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149</v>
      </c>
      <c r="P739" s="45">
        <f>HEX2DEC(RIGHT(Table132321[[#This Row],[h1]],8))</f>
        <v>0</v>
      </c>
      <c r="Q739" s="45" t="s">
        <v>149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149</v>
      </c>
      <c r="P740" s="45">
        <f>HEX2DEC(RIGHT(Table132321[[#This Row],[h1]],8))</f>
        <v>0</v>
      </c>
      <c r="Q740" s="45" t="s">
        <v>149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149</v>
      </c>
      <c r="P741" s="45">
        <f>HEX2DEC(RIGHT(Table132321[[#This Row],[h1]],8))</f>
        <v>0</v>
      </c>
      <c r="Q741" s="45" t="s">
        <v>149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149</v>
      </c>
      <c r="P742" s="45">
        <f>HEX2DEC(RIGHT(Table132321[[#This Row],[h1]],8))</f>
        <v>0</v>
      </c>
      <c r="Q742" s="45" t="s">
        <v>149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149</v>
      </c>
      <c r="P743" s="45">
        <f>HEX2DEC(RIGHT(Table132321[[#This Row],[h1]],8))</f>
        <v>0</v>
      </c>
      <c r="Q743" s="45" t="s">
        <v>149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149</v>
      </c>
      <c r="P744" s="45">
        <f>HEX2DEC(RIGHT(Table132321[[#This Row],[h1]],8))</f>
        <v>0</v>
      </c>
      <c r="Q744" s="45" t="s">
        <v>149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149</v>
      </c>
      <c r="P745" s="45">
        <f>HEX2DEC(RIGHT(Table132321[[#This Row],[h1]],8))</f>
        <v>0</v>
      </c>
      <c r="Q745" s="45" t="s">
        <v>149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149</v>
      </c>
      <c r="P746" s="45">
        <f>HEX2DEC(RIGHT(Table132321[[#This Row],[h1]],8))</f>
        <v>0</v>
      </c>
      <c r="Q746" s="45" t="s">
        <v>149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149</v>
      </c>
      <c r="P747" s="45">
        <f>HEX2DEC(RIGHT(Table132321[[#This Row],[h1]],8))</f>
        <v>0</v>
      </c>
      <c r="Q747" s="45" t="s">
        <v>149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149</v>
      </c>
      <c r="P748" s="45">
        <f>HEX2DEC(RIGHT(Table132321[[#This Row],[h1]],8))</f>
        <v>0</v>
      </c>
      <c r="Q748" s="45" t="s">
        <v>149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149</v>
      </c>
      <c r="P749" s="45">
        <f>HEX2DEC(RIGHT(Table132321[[#This Row],[h1]],8))</f>
        <v>0</v>
      </c>
      <c r="Q749" s="45" t="s">
        <v>149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149</v>
      </c>
      <c r="P750" s="45">
        <f>HEX2DEC(RIGHT(Table132321[[#This Row],[h1]],8))</f>
        <v>0</v>
      </c>
      <c r="Q750" s="45" t="s">
        <v>149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149</v>
      </c>
      <c r="P751" s="45">
        <f>HEX2DEC(RIGHT(Table132321[[#This Row],[h1]],8))</f>
        <v>0</v>
      </c>
      <c r="Q751" s="45" t="s">
        <v>149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149</v>
      </c>
      <c r="P752" s="45">
        <f>HEX2DEC(RIGHT(Table132321[[#This Row],[h1]],8))</f>
        <v>0</v>
      </c>
      <c r="Q752" s="45" t="s">
        <v>149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149</v>
      </c>
      <c r="P753" s="45">
        <f>HEX2DEC(RIGHT(Table132321[[#This Row],[h1]],8))</f>
        <v>0</v>
      </c>
      <c r="Q753" s="45" t="s">
        <v>149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149</v>
      </c>
      <c r="P754" s="45">
        <f>HEX2DEC(RIGHT(Table132321[[#This Row],[h1]],8))</f>
        <v>0</v>
      </c>
      <c r="Q754" s="45" t="s">
        <v>149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149</v>
      </c>
      <c r="P755" s="45">
        <f>HEX2DEC(RIGHT(Table132321[[#This Row],[h1]],8))</f>
        <v>0</v>
      </c>
      <c r="Q755" s="45" t="s">
        <v>149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149</v>
      </c>
      <c r="P756" s="45">
        <f>HEX2DEC(RIGHT(Table132321[[#This Row],[h1]],8))</f>
        <v>0</v>
      </c>
      <c r="Q756" s="45" t="s">
        <v>149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149</v>
      </c>
      <c r="P757" s="45">
        <f>HEX2DEC(RIGHT(Table132321[[#This Row],[h1]],8))</f>
        <v>0</v>
      </c>
      <c r="Q757" s="45" t="s">
        <v>149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149</v>
      </c>
      <c r="P758" s="45">
        <f>HEX2DEC(RIGHT(Table132321[[#This Row],[h1]],8))</f>
        <v>0</v>
      </c>
      <c r="Q758" s="45" t="s">
        <v>149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149</v>
      </c>
      <c r="P759" s="45">
        <f>HEX2DEC(RIGHT(Table132321[[#This Row],[h1]],8))</f>
        <v>0</v>
      </c>
      <c r="Q759" s="45" t="s">
        <v>149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149</v>
      </c>
      <c r="P760" s="45">
        <f>HEX2DEC(RIGHT(Table132321[[#This Row],[h1]],8))</f>
        <v>0</v>
      </c>
      <c r="Q760" s="45" t="s">
        <v>149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149</v>
      </c>
      <c r="P761" s="45">
        <f>HEX2DEC(RIGHT(Table132321[[#This Row],[h1]],8))</f>
        <v>0</v>
      </c>
      <c r="Q761" s="45" t="s">
        <v>149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149</v>
      </c>
      <c r="P762" s="45">
        <f>HEX2DEC(RIGHT(Table132321[[#This Row],[h1]],8))</f>
        <v>0</v>
      </c>
      <c r="Q762" s="45" t="s">
        <v>149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149</v>
      </c>
      <c r="P763" s="45">
        <f>HEX2DEC(RIGHT(Table132321[[#This Row],[h1]],8))</f>
        <v>0</v>
      </c>
      <c r="Q763" s="45" t="s">
        <v>149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149</v>
      </c>
      <c r="P764" s="45">
        <f>HEX2DEC(RIGHT(Table132321[[#This Row],[h1]],8))</f>
        <v>0</v>
      </c>
      <c r="Q764" s="45" t="s">
        <v>149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149</v>
      </c>
      <c r="P765" s="45">
        <f>HEX2DEC(RIGHT(Table132321[[#This Row],[h1]],8))</f>
        <v>0</v>
      </c>
      <c r="Q765" s="45" t="s">
        <v>149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149</v>
      </c>
      <c r="P766" s="45">
        <f>HEX2DEC(RIGHT(Table132321[[#This Row],[h1]],8))</f>
        <v>0</v>
      </c>
      <c r="Q766" s="45" t="s">
        <v>149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149</v>
      </c>
      <c r="P767" s="45">
        <f>HEX2DEC(RIGHT(Table132321[[#This Row],[h1]],8))</f>
        <v>0</v>
      </c>
      <c r="Q767" s="45" t="s">
        <v>149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149</v>
      </c>
      <c r="P768" s="45">
        <f>HEX2DEC(RIGHT(Table132321[[#This Row],[h1]],8))</f>
        <v>0</v>
      </c>
      <c r="Q768" s="45" t="s">
        <v>149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149</v>
      </c>
      <c r="P769" s="45">
        <f>HEX2DEC(RIGHT(Table132321[[#This Row],[h1]],8))</f>
        <v>0</v>
      </c>
      <c r="Q769" s="45" t="s">
        <v>149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149</v>
      </c>
      <c r="P770" s="45">
        <f>HEX2DEC(RIGHT(Table132321[[#This Row],[h1]],8))</f>
        <v>0</v>
      </c>
      <c r="Q770" s="45" t="s">
        <v>149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149</v>
      </c>
      <c r="P771" s="45">
        <f>HEX2DEC(RIGHT(Table132321[[#This Row],[h1]],8))</f>
        <v>0</v>
      </c>
      <c r="Q771" s="45" t="s">
        <v>149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149</v>
      </c>
      <c r="P772" s="45">
        <f>HEX2DEC(RIGHT(Table132321[[#This Row],[h1]],8))</f>
        <v>0</v>
      </c>
      <c r="Q772" s="45" t="s">
        <v>149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149</v>
      </c>
      <c r="P773" s="45">
        <f>HEX2DEC(RIGHT(Table132321[[#This Row],[h1]],8))</f>
        <v>0</v>
      </c>
      <c r="Q773" s="45" t="s">
        <v>149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149</v>
      </c>
      <c r="P774" s="45">
        <f>HEX2DEC(RIGHT(Table132321[[#This Row],[h1]],8))</f>
        <v>0</v>
      </c>
      <c r="Q774" s="45" t="s">
        <v>149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149</v>
      </c>
      <c r="P775" s="45">
        <f>HEX2DEC(RIGHT(Table132321[[#This Row],[h1]],8))</f>
        <v>0</v>
      </c>
      <c r="Q775" s="45" t="s">
        <v>149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149</v>
      </c>
      <c r="P776" s="45">
        <f>HEX2DEC(RIGHT(Table132321[[#This Row],[h1]],8))</f>
        <v>0</v>
      </c>
      <c r="Q776" s="45" t="s">
        <v>149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149</v>
      </c>
      <c r="P777" s="45">
        <f>HEX2DEC(RIGHT(Table132321[[#This Row],[h1]],8))</f>
        <v>0</v>
      </c>
      <c r="Q777" s="45" t="s">
        <v>149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149</v>
      </c>
      <c r="P778" s="45">
        <f>HEX2DEC(RIGHT(Table132321[[#This Row],[h1]],8))</f>
        <v>0</v>
      </c>
      <c r="Q778" s="45" t="s">
        <v>149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149</v>
      </c>
      <c r="P779" s="45">
        <f>HEX2DEC(RIGHT(Table132321[[#This Row],[h1]],8))</f>
        <v>0</v>
      </c>
      <c r="Q779" s="45" t="s">
        <v>149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149</v>
      </c>
      <c r="P780" s="45">
        <f>HEX2DEC(RIGHT(Table132321[[#This Row],[h1]],8))</f>
        <v>0</v>
      </c>
      <c r="Q780" s="45" t="s">
        <v>149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149</v>
      </c>
      <c r="P781" s="45">
        <f>HEX2DEC(RIGHT(Table132321[[#This Row],[h1]],8))</f>
        <v>0</v>
      </c>
      <c r="Q781" s="45" t="s">
        <v>149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149</v>
      </c>
      <c r="P782" s="45">
        <f>HEX2DEC(RIGHT(Table132321[[#This Row],[h1]],8))</f>
        <v>0</v>
      </c>
      <c r="Q782" s="45" t="s">
        <v>149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149</v>
      </c>
      <c r="P783" s="45">
        <f>HEX2DEC(RIGHT(Table132321[[#This Row],[h1]],8))</f>
        <v>0</v>
      </c>
      <c r="Q783" s="45" t="s">
        <v>149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149</v>
      </c>
      <c r="P784" s="45">
        <f>HEX2DEC(RIGHT(Table132321[[#This Row],[h1]],8))</f>
        <v>0</v>
      </c>
      <c r="Q784" s="45" t="s">
        <v>149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149</v>
      </c>
      <c r="P785" s="45">
        <f>HEX2DEC(RIGHT(Table132321[[#This Row],[h1]],8))</f>
        <v>0</v>
      </c>
      <c r="Q785" s="45" t="s">
        <v>149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149</v>
      </c>
      <c r="P786" s="45">
        <f>HEX2DEC(RIGHT(Table132321[[#This Row],[h1]],8))</f>
        <v>0</v>
      </c>
      <c r="Q786" s="45" t="s">
        <v>149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149</v>
      </c>
      <c r="P787" s="45">
        <f>HEX2DEC(RIGHT(Table132321[[#This Row],[h1]],8))</f>
        <v>0</v>
      </c>
      <c r="Q787" s="45" t="s">
        <v>149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149</v>
      </c>
      <c r="P788" s="45">
        <f>HEX2DEC(RIGHT(Table132321[[#This Row],[h1]],8))</f>
        <v>0</v>
      </c>
      <c r="Q788" s="45" t="s">
        <v>149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149</v>
      </c>
      <c r="P789" s="45">
        <f>HEX2DEC(RIGHT(Table132321[[#This Row],[h1]],8))</f>
        <v>0</v>
      </c>
      <c r="Q789" s="45" t="s">
        <v>149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149</v>
      </c>
      <c r="P790" s="45">
        <f>HEX2DEC(RIGHT(Table132321[[#This Row],[h1]],8))</f>
        <v>0</v>
      </c>
      <c r="Q790" s="45" t="s">
        <v>149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149</v>
      </c>
      <c r="P791" s="45">
        <f>HEX2DEC(RIGHT(Table132321[[#This Row],[h1]],8))</f>
        <v>0</v>
      </c>
      <c r="Q791" s="45" t="s">
        <v>149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149</v>
      </c>
      <c r="P792" s="45">
        <f>HEX2DEC(RIGHT(Table132321[[#This Row],[h1]],8))</f>
        <v>0</v>
      </c>
      <c r="Q792" s="45" t="s">
        <v>149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149</v>
      </c>
      <c r="P793" s="45">
        <f>HEX2DEC(RIGHT(Table132321[[#This Row],[h1]],8))</f>
        <v>0</v>
      </c>
      <c r="Q793" s="45" t="s">
        <v>149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149</v>
      </c>
      <c r="P794" s="45">
        <f>HEX2DEC(RIGHT(Table132321[[#This Row],[h1]],8))</f>
        <v>0</v>
      </c>
      <c r="Q794" s="45" t="s">
        <v>149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149</v>
      </c>
      <c r="P795" s="45">
        <f>HEX2DEC(RIGHT(Table132321[[#This Row],[h1]],8))</f>
        <v>0</v>
      </c>
      <c r="Q795" s="45" t="s">
        <v>149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149</v>
      </c>
      <c r="P796" s="45">
        <f>HEX2DEC(RIGHT(Table132321[[#This Row],[h1]],8))</f>
        <v>0</v>
      </c>
      <c r="Q796" s="45" t="s">
        <v>149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149</v>
      </c>
      <c r="P797" s="45">
        <f>HEX2DEC(RIGHT(Table132321[[#This Row],[h1]],8))</f>
        <v>0</v>
      </c>
      <c r="Q797" s="45" t="s">
        <v>149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149</v>
      </c>
      <c r="P798" s="45">
        <f>HEX2DEC(RIGHT(Table132321[[#This Row],[h1]],8))</f>
        <v>0</v>
      </c>
      <c r="Q798" s="45" t="s">
        <v>149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149</v>
      </c>
      <c r="P799" s="45">
        <f>HEX2DEC(RIGHT(Table132321[[#This Row],[h1]],8))</f>
        <v>0</v>
      </c>
      <c r="Q799" s="45" t="s">
        <v>149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149</v>
      </c>
      <c r="P800" s="45">
        <f>HEX2DEC(RIGHT(Table132321[[#This Row],[h1]],8))</f>
        <v>0</v>
      </c>
      <c r="Q800" s="45" t="s">
        <v>149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149</v>
      </c>
      <c r="P801" s="45">
        <f>HEX2DEC(RIGHT(Table132321[[#This Row],[h1]],8))</f>
        <v>0</v>
      </c>
      <c r="Q801" s="45" t="s">
        <v>149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149</v>
      </c>
      <c r="P802" s="45">
        <f>HEX2DEC(RIGHT(Table132321[[#This Row],[h1]],8))</f>
        <v>0</v>
      </c>
      <c r="Q802" s="45" t="s">
        <v>149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149</v>
      </c>
      <c r="P803" s="45">
        <f>HEX2DEC(RIGHT(Table132321[[#This Row],[h1]],8))</f>
        <v>0</v>
      </c>
      <c r="Q803" s="45" t="s">
        <v>149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149</v>
      </c>
      <c r="P804" s="45">
        <f>HEX2DEC(RIGHT(Table132321[[#This Row],[h1]],8))</f>
        <v>0</v>
      </c>
      <c r="Q804" s="45" t="s">
        <v>149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149</v>
      </c>
      <c r="P805" s="45">
        <f>HEX2DEC(RIGHT(Table132321[[#This Row],[h1]],8))</f>
        <v>0</v>
      </c>
      <c r="Q805" s="45" t="s">
        <v>149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149</v>
      </c>
      <c r="P806" s="45">
        <f>HEX2DEC(RIGHT(Table132321[[#This Row],[h1]],8))</f>
        <v>0</v>
      </c>
      <c r="Q806" s="45" t="s">
        <v>149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149</v>
      </c>
      <c r="P807" s="45">
        <f>HEX2DEC(RIGHT(Table132321[[#This Row],[h1]],8))</f>
        <v>0</v>
      </c>
      <c r="Q807" s="45" t="s">
        <v>149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149</v>
      </c>
      <c r="P808" s="45">
        <f>HEX2DEC(RIGHT(Table132321[[#This Row],[h1]],8))</f>
        <v>0</v>
      </c>
      <c r="Q808" s="45" t="s">
        <v>149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149</v>
      </c>
      <c r="P809" s="45">
        <f>HEX2DEC(RIGHT(Table132321[[#This Row],[h1]],8))</f>
        <v>0</v>
      </c>
      <c r="Q809" s="45" t="s">
        <v>149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149</v>
      </c>
      <c r="P810" s="45">
        <f>HEX2DEC(RIGHT(Table132321[[#This Row],[h1]],8))</f>
        <v>0</v>
      </c>
      <c r="Q810" s="45" t="s">
        <v>149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149</v>
      </c>
      <c r="P811" s="45">
        <f>HEX2DEC(RIGHT(Table132321[[#This Row],[h1]],8))</f>
        <v>0</v>
      </c>
      <c r="Q811" s="45" t="s">
        <v>149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149</v>
      </c>
      <c r="P812" s="45">
        <f>HEX2DEC(RIGHT(Table132321[[#This Row],[h1]],8))</f>
        <v>0</v>
      </c>
      <c r="Q812" s="45" t="s">
        <v>149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149</v>
      </c>
      <c r="P813" s="45">
        <f>HEX2DEC(RIGHT(Table132321[[#This Row],[h1]],8))</f>
        <v>0</v>
      </c>
      <c r="Q813" s="45" t="s">
        <v>149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149</v>
      </c>
      <c r="P814" s="45">
        <f>HEX2DEC(RIGHT(Table132321[[#This Row],[h1]],8))</f>
        <v>0</v>
      </c>
      <c r="Q814" s="45" t="s">
        <v>149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149</v>
      </c>
      <c r="P815" s="45">
        <f>HEX2DEC(RIGHT(Table132321[[#This Row],[h1]],8))</f>
        <v>0</v>
      </c>
      <c r="Q815" s="45" t="s">
        <v>149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149</v>
      </c>
      <c r="P816" s="45">
        <f>HEX2DEC(RIGHT(Table132321[[#This Row],[h1]],8))</f>
        <v>0</v>
      </c>
      <c r="Q816" s="45" t="s">
        <v>149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149</v>
      </c>
      <c r="P817" s="45">
        <f>HEX2DEC(RIGHT(Table132321[[#This Row],[h1]],8))</f>
        <v>0</v>
      </c>
      <c r="Q817" s="45" t="s">
        <v>149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149</v>
      </c>
      <c r="P818" s="45">
        <f>HEX2DEC(RIGHT(Table132321[[#This Row],[h1]],8))</f>
        <v>0</v>
      </c>
      <c r="Q818" s="45" t="s">
        <v>149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149</v>
      </c>
      <c r="P819" s="45">
        <f>HEX2DEC(RIGHT(Table132321[[#This Row],[h1]],8))</f>
        <v>0</v>
      </c>
      <c r="Q819" s="45" t="s">
        <v>149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149</v>
      </c>
      <c r="P820" s="45">
        <f>HEX2DEC(RIGHT(Table132321[[#This Row],[h1]],8))</f>
        <v>0</v>
      </c>
      <c r="Q820" s="45" t="s">
        <v>149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149</v>
      </c>
      <c r="P821" s="45">
        <f>HEX2DEC(RIGHT(Table132321[[#This Row],[h1]],8))</f>
        <v>0</v>
      </c>
      <c r="Q821" s="45" t="s">
        <v>149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149</v>
      </c>
      <c r="P822" s="45">
        <f>HEX2DEC(RIGHT(Table132321[[#This Row],[h1]],8))</f>
        <v>0</v>
      </c>
      <c r="Q822" s="45" t="s">
        <v>149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149</v>
      </c>
      <c r="P823" s="45">
        <f>HEX2DEC(RIGHT(Table132321[[#This Row],[h1]],8))</f>
        <v>0</v>
      </c>
      <c r="Q823" s="45" t="s">
        <v>149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149</v>
      </c>
      <c r="P824" s="45">
        <f>HEX2DEC(RIGHT(Table132321[[#This Row],[h1]],8))</f>
        <v>0</v>
      </c>
      <c r="Q824" s="45" t="s">
        <v>149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149</v>
      </c>
      <c r="P825" s="45">
        <f>HEX2DEC(RIGHT(Table132321[[#This Row],[h1]],8))</f>
        <v>0</v>
      </c>
      <c r="Q825" s="45" t="s">
        <v>149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149</v>
      </c>
      <c r="P826" s="45">
        <f>HEX2DEC(RIGHT(Table132321[[#This Row],[h1]],8))</f>
        <v>0</v>
      </c>
      <c r="Q826" s="45" t="s">
        <v>149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149</v>
      </c>
      <c r="P827" s="45">
        <f>HEX2DEC(RIGHT(Table132321[[#This Row],[h1]],8))</f>
        <v>0</v>
      </c>
      <c r="Q827" s="45" t="s">
        <v>149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149</v>
      </c>
      <c r="P828" s="45">
        <f>HEX2DEC(RIGHT(Table132321[[#This Row],[h1]],8))</f>
        <v>0</v>
      </c>
      <c r="Q828" s="45" t="s">
        <v>149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149</v>
      </c>
      <c r="P829" s="45">
        <f>HEX2DEC(RIGHT(Table132321[[#This Row],[h1]],8))</f>
        <v>0</v>
      </c>
      <c r="Q829" s="45" t="s">
        <v>149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149</v>
      </c>
      <c r="P830" s="45">
        <f>HEX2DEC(RIGHT(Table132321[[#This Row],[h1]],8))</f>
        <v>0</v>
      </c>
      <c r="Q830" s="45" t="s">
        <v>149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149</v>
      </c>
      <c r="P831" s="45">
        <f>HEX2DEC(RIGHT(Table132321[[#This Row],[h1]],8))</f>
        <v>0</v>
      </c>
      <c r="Q831" s="45" t="s">
        <v>149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149</v>
      </c>
      <c r="P832" s="45">
        <f>HEX2DEC(RIGHT(Table132321[[#This Row],[h1]],8))</f>
        <v>0</v>
      </c>
      <c r="Q832" s="45" t="s">
        <v>149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149</v>
      </c>
      <c r="P833" s="45">
        <f>HEX2DEC(RIGHT(Table132321[[#This Row],[h1]],8))</f>
        <v>0</v>
      </c>
      <c r="Q833" s="45" t="s">
        <v>149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149</v>
      </c>
      <c r="P834" s="45">
        <f>HEX2DEC(RIGHT(Table132321[[#This Row],[h1]],8))</f>
        <v>0</v>
      </c>
      <c r="Q834" s="45" t="s">
        <v>149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149</v>
      </c>
      <c r="P835" s="45">
        <f>HEX2DEC(RIGHT(Table132321[[#This Row],[h1]],8))</f>
        <v>0</v>
      </c>
      <c r="Q835" s="45" t="s">
        <v>149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149</v>
      </c>
      <c r="P836" s="45">
        <f>HEX2DEC(RIGHT(Table132321[[#This Row],[h1]],8))</f>
        <v>0</v>
      </c>
      <c r="Q836" s="45" t="s">
        <v>149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149</v>
      </c>
      <c r="P837" s="45">
        <f>HEX2DEC(RIGHT(Table132321[[#This Row],[h1]],8))</f>
        <v>0</v>
      </c>
      <c r="Q837" s="45" t="s">
        <v>149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149</v>
      </c>
      <c r="P838" s="45">
        <f>HEX2DEC(RIGHT(Table132321[[#This Row],[h1]],8))</f>
        <v>0</v>
      </c>
      <c r="Q838" s="45" t="s">
        <v>149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149</v>
      </c>
      <c r="P839" s="45">
        <f>HEX2DEC(RIGHT(Table132321[[#This Row],[h1]],8))</f>
        <v>0</v>
      </c>
      <c r="Q839" s="45" t="s">
        <v>149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149</v>
      </c>
      <c r="P840" s="45">
        <f>HEX2DEC(RIGHT(Table132321[[#This Row],[h1]],8))</f>
        <v>0</v>
      </c>
      <c r="Q840" s="45" t="s">
        <v>149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149</v>
      </c>
      <c r="P841" s="45">
        <f>HEX2DEC(RIGHT(Table132321[[#This Row],[h1]],8))</f>
        <v>0</v>
      </c>
      <c r="Q841" s="45" t="s">
        <v>149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149</v>
      </c>
      <c r="P842" s="45">
        <f>HEX2DEC(RIGHT(Table132321[[#This Row],[h1]],8))</f>
        <v>0</v>
      </c>
      <c r="Q842" s="45" t="s">
        <v>149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149</v>
      </c>
      <c r="P843" s="45">
        <f>HEX2DEC(RIGHT(Table132321[[#This Row],[h1]],8))</f>
        <v>0</v>
      </c>
      <c r="Q843" s="45" t="s">
        <v>149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149</v>
      </c>
      <c r="P844" s="45">
        <f>HEX2DEC(RIGHT(Table132321[[#This Row],[h1]],8))</f>
        <v>0</v>
      </c>
      <c r="Q844" s="45" t="s">
        <v>149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149</v>
      </c>
      <c r="P845" s="45">
        <f>HEX2DEC(RIGHT(Table132321[[#This Row],[h1]],8))</f>
        <v>0</v>
      </c>
      <c r="Q845" s="45" t="s">
        <v>149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149</v>
      </c>
      <c r="P846" s="45">
        <f>HEX2DEC(RIGHT(Table132321[[#This Row],[h1]],8))</f>
        <v>0</v>
      </c>
      <c r="Q846" s="45" t="s">
        <v>149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149</v>
      </c>
      <c r="P847" s="45">
        <f>HEX2DEC(RIGHT(Table132321[[#This Row],[h1]],8))</f>
        <v>0</v>
      </c>
      <c r="Q847" s="45" t="s">
        <v>149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149</v>
      </c>
      <c r="P848" s="45">
        <f>HEX2DEC(RIGHT(Table132321[[#This Row],[h1]],8))</f>
        <v>0</v>
      </c>
      <c r="Q848" s="45" t="s">
        <v>149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149</v>
      </c>
      <c r="P849" s="45">
        <f>HEX2DEC(RIGHT(Table132321[[#This Row],[h1]],8))</f>
        <v>0</v>
      </c>
      <c r="Q849" s="45" t="s">
        <v>149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149</v>
      </c>
      <c r="P850" s="45">
        <f>HEX2DEC(RIGHT(Table132321[[#This Row],[h1]],8))</f>
        <v>0</v>
      </c>
      <c r="Q850" s="45" t="s">
        <v>149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149</v>
      </c>
      <c r="P851" s="45">
        <f>HEX2DEC(RIGHT(Table132321[[#This Row],[h1]],8))</f>
        <v>0</v>
      </c>
      <c r="Q851" s="45" t="s">
        <v>149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149</v>
      </c>
      <c r="P852" s="45">
        <f>HEX2DEC(RIGHT(Table132321[[#This Row],[h1]],8))</f>
        <v>0</v>
      </c>
      <c r="Q852" s="45" t="s">
        <v>149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149</v>
      </c>
      <c r="P853" s="45">
        <f>HEX2DEC(RIGHT(Table132321[[#This Row],[h1]],8))</f>
        <v>0</v>
      </c>
      <c r="Q853" s="45" t="s">
        <v>149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149</v>
      </c>
      <c r="P854" s="45">
        <f>HEX2DEC(RIGHT(Table132321[[#This Row],[h1]],8))</f>
        <v>0</v>
      </c>
      <c r="Q854" s="45" t="s">
        <v>149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149</v>
      </c>
      <c r="P855" s="45">
        <f>HEX2DEC(RIGHT(Table132321[[#This Row],[h1]],8))</f>
        <v>0</v>
      </c>
      <c r="Q855" s="45" t="s">
        <v>149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149</v>
      </c>
      <c r="P856" s="45">
        <f>HEX2DEC(RIGHT(Table132321[[#This Row],[h1]],8))</f>
        <v>0</v>
      </c>
      <c r="Q856" s="45" t="s">
        <v>149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149</v>
      </c>
      <c r="P857" s="45">
        <f>HEX2DEC(RIGHT(Table132321[[#This Row],[h1]],8))</f>
        <v>0</v>
      </c>
      <c r="Q857" s="45" t="s">
        <v>149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149</v>
      </c>
      <c r="P858" s="45">
        <f>HEX2DEC(RIGHT(Table132321[[#This Row],[h1]],8))</f>
        <v>0</v>
      </c>
      <c r="Q858" s="45" t="s">
        <v>149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149</v>
      </c>
      <c r="P859" s="45">
        <f>HEX2DEC(RIGHT(Table132321[[#This Row],[h1]],8))</f>
        <v>0</v>
      </c>
      <c r="Q859" s="45" t="s">
        <v>149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149</v>
      </c>
      <c r="P860" s="45">
        <f>HEX2DEC(RIGHT(Table132321[[#This Row],[h1]],8))</f>
        <v>0</v>
      </c>
      <c r="Q860" s="45" t="s">
        <v>149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149</v>
      </c>
      <c r="P861" s="45">
        <f>HEX2DEC(RIGHT(Table132321[[#This Row],[h1]],8))</f>
        <v>0</v>
      </c>
      <c r="Q861" s="45" t="s">
        <v>149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149</v>
      </c>
      <c r="P862" s="45">
        <f>HEX2DEC(RIGHT(Table132321[[#This Row],[h1]],8))</f>
        <v>0</v>
      </c>
      <c r="Q862" s="45" t="s">
        <v>149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149</v>
      </c>
      <c r="P863" s="45">
        <f>HEX2DEC(RIGHT(Table132321[[#This Row],[h1]],8))</f>
        <v>0</v>
      </c>
      <c r="Q863" s="45" t="s">
        <v>149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149</v>
      </c>
      <c r="P864" s="45">
        <f>HEX2DEC(RIGHT(Table132321[[#This Row],[h1]],8))</f>
        <v>0</v>
      </c>
      <c r="Q864" s="45" t="s">
        <v>149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149</v>
      </c>
      <c r="P865" s="45">
        <f>HEX2DEC(RIGHT(Table132321[[#This Row],[h1]],8))</f>
        <v>0</v>
      </c>
      <c r="Q865" s="45" t="s">
        <v>149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149</v>
      </c>
      <c r="P866" s="45">
        <f>HEX2DEC(RIGHT(Table132321[[#This Row],[h1]],8))</f>
        <v>0</v>
      </c>
      <c r="Q866" s="45" t="s">
        <v>149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149</v>
      </c>
      <c r="P867" s="45">
        <f>HEX2DEC(RIGHT(Table132321[[#This Row],[h1]],8))</f>
        <v>0</v>
      </c>
      <c r="Q867" s="45" t="s">
        <v>149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149</v>
      </c>
      <c r="P868" s="45">
        <f>HEX2DEC(RIGHT(Table132321[[#This Row],[h1]],8))</f>
        <v>0</v>
      </c>
      <c r="Q868" s="45" t="s">
        <v>149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149</v>
      </c>
      <c r="P869" s="45">
        <f>HEX2DEC(RIGHT(Table132321[[#This Row],[h1]],8))</f>
        <v>0</v>
      </c>
      <c r="Q869" s="45" t="s">
        <v>149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149</v>
      </c>
      <c r="P870" s="45">
        <f>HEX2DEC(RIGHT(Table132321[[#This Row],[h1]],8))</f>
        <v>0</v>
      </c>
      <c r="Q870" s="45" t="s">
        <v>149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149</v>
      </c>
      <c r="P871" s="45">
        <f>HEX2DEC(RIGHT(Table132321[[#This Row],[h1]],8))</f>
        <v>0</v>
      </c>
      <c r="Q871" s="45" t="s">
        <v>149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149</v>
      </c>
      <c r="P872" s="45">
        <f>HEX2DEC(RIGHT(Table132321[[#This Row],[h1]],8))</f>
        <v>0</v>
      </c>
      <c r="Q872" s="45" t="s">
        <v>149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149</v>
      </c>
      <c r="P873" s="45">
        <f>HEX2DEC(RIGHT(Table132321[[#This Row],[h1]],8))</f>
        <v>0</v>
      </c>
      <c r="Q873" s="45" t="s">
        <v>149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149</v>
      </c>
      <c r="P874" s="45">
        <f>HEX2DEC(RIGHT(Table132321[[#This Row],[h1]],8))</f>
        <v>0</v>
      </c>
      <c r="Q874" s="45" t="s">
        <v>149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149</v>
      </c>
      <c r="P875" s="45">
        <f>HEX2DEC(RIGHT(Table132321[[#This Row],[h1]],8))</f>
        <v>0</v>
      </c>
      <c r="Q875" s="45" t="s">
        <v>149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149</v>
      </c>
      <c r="P876" s="45">
        <f>HEX2DEC(RIGHT(Table132321[[#This Row],[h1]],8))</f>
        <v>0</v>
      </c>
      <c r="Q876" s="45" t="s">
        <v>149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149</v>
      </c>
      <c r="P877" s="45">
        <f>HEX2DEC(RIGHT(Table132321[[#This Row],[h1]],8))</f>
        <v>0</v>
      </c>
      <c r="Q877" s="45" t="s">
        <v>149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149</v>
      </c>
      <c r="P878" s="45">
        <f>HEX2DEC(RIGHT(Table132321[[#This Row],[h1]],8))</f>
        <v>0</v>
      </c>
      <c r="Q878" s="45" t="s">
        <v>149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149</v>
      </c>
      <c r="P879" s="45">
        <f>HEX2DEC(RIGHT(Table132321[[#This Row],[h1]],8))</f>
        <v>0</v>
      </c>
      <c r="Q879" s="45" t="s">
        <v>149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149</v>
      </c>
      <c r="P880" s="45">
        <f>HEX2DEC(RIGHT(Table132321[[#This Row],[h1]],8))</f>
        <v>0</v>
      </c>
      <c r="Q880" s="45" t="s">
        <v>149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149</v>
      </c>
      <c r="P881" s="45">
        <f>HEX2DEC(RIGHT(Table132321[[#This Row],[h1]],8))</f>
        <v>0</v>
      </c>
      <c r="Q881" s="45" t="s">
        <v>149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149</v>
      </c>
      <c r="P882" s="45">
        <f>HEX2DEC(RIGHT(Table132321[[#This Row],[h1]],8))</f>
        <v>0</v>
      </c>
      <c r="Q882" s="45" t="s">
        <v>149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149</v>
      </c>
      <c r="P883" s="45">
        <f>HEX2DEC(RIGHT(Table132321[[#This Row],[h1]],8))</f>
        <v>0</v>
      </c>
      <c r="Q883" s="45" t="s">
        <v>149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149</v>
      </c>
      <c r="P884" s="45">
        <f>HEX2DEC(RIGHT(Table132321[[#This Row],[h1]],8))</f>
        <v>0</v>
      </c>
      <c r="Q884" s="45" t="s">
        <v>149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149</v>
      </c>
      <c r="P885" s="45">
        <f>HEX2DEC(RIGHT(Table132321[[#This Row],[h1]],8))</f>
        <v>0</v>
      </c>
      <c r="Q885" s="45" t="s">
        <v>149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149</v>
      </c>
      <c r="P886" s="45">
        <f>HEX2DEC(RIGHT(Table132321[[#This Row],[h1]],8))</f>
        <v>0</v>
      </c>
      <c r="Q886" s="45" t="s">
        <v>149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149</v>
      </c>
      <c r="P887" s="45">
        <f>HEX2DEC(RIGHT(Table132321[[#This Row],[h1]],8))</f>
        <v>0</v>
      </c>
      <c r="Q887" s="45" t="s">
        <v>149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149</v>
      </c>
      <c r="P888" s="45">
        <f>HEX2DEC(RIGHT(Table132321[[#This Row],[h1]],8))</f>
        <v>0</v>
      </c>
      <c r="Q888" s="45" t="s">
        <v>149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149</v>
      </c>
      <c r="P889" s="45">
        <f>HEX2DEC(RIGHT(Table132321[[#This Row],[h1]],8))</f>
        <v>0</v>
      </c>
      <c r="Q889" s="45" t="s">
        <v>149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149</v>
      </c>
      <c r="P890" s="45">
        <f>HEX2DEC(RIGHT(Table132321[[#This Row],[h1]],8))</f>
        <v>0</v>
      </c>
      <c r="Q890" s="45" t="s">
        <v>149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149</v>
      </c>
      <c r="P891" s="45">
        <f>HEX2DEC(RIGHT(Table132321[[#This Row],[h1]],8))</f>
        <v>0</v>
      </c>
      <c r="Q891" s="45" t="s">
        <v>149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149</v>
      </c>
      <c r="P892" s="45">
        <f>HEX2DEC(RIGHT(Table132321[[#This Row],[h1]],8))</f>
        <v>0</v>
      </c>
      <c r="Q892" s="45" t="s">
        <v>149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149</v>
      </c>
      <c r="P893" s="45">
        <f>HEX2DEC(RIGHT(Table132321[[#This Row],[h1]],8))</f>
        <v>0</v>
      </c>
      <c r="Q893" s="45" t="s">
        <v>149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149</v>
      </c>
      <c r="P894" s="45">
        <f>HEX2DEC(RIGHT(Table132321[[#This Row],[h1]],8))</f>
        <v>0</v>
      </c>
      <c r="Q894" s="45" t="s">
        <v>149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149</v>
      </c>
      <c r="P895" s="45">
        <f>HEX2DEC(RIGHT(Table132321[[#This Row],[h1]],8))</f>
        <v>0</v>
      </c>
      <c r="Q895" s="45" t="s">
        <v>149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149</v>
      </c>
      <c r="P896" s="45">
        <f>HEX2DEC(RIGHT(Table132321[[#This Row],[h1]],8))</f>
        <v>0</v>
      </c>
      <c r="Q896" s="45" t="s">
        <v>149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149</v>
      </c>
      <c r="P897" s="45">
        <f>HEX2DEC(RIGHT(Table132321[[#This Row],[h1]],8))</f>
        <v>0</v>
      </c>
      <c r="Q897" s="45" t="s">
        <v>149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149</v>
      </c>
      <c r="P898" s="45">
        <f>HEX2DEC(RIGHT(Table132321[[#This Row],[h1]],8))</f>
        <v>0</v>
      </c>
      <c r="Q898" s="45" t="s">
        <v>149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149</v>
      </c>
      <c r="P899" s="45">
        <f>HEX2DEC(RIGHT(Table132321[[#This Row],[h1]],8))</f>
        <v>0</v>
      </c>
      <c r="Q899" s="45" t="s">
        <v>149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149</v>
      </c>
      <c r="P900" s="45">
        <f>HEX2DEC(RIGHT(Table132321[[#This Row],[h1]],8))</f>
        <v>0</v>
      </c>
      <c r="Q900" s="45" t="s">
        <v>149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149</v>
      </c>
      <c r="P901" s="45">
        <f>HEX2DEC(RIGHT(Table132321[[#This Row],[h1]],8))</f>
        <v>0</v>
      </c>
      <c r="Q901" s="45" t="s">
        <v>149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149</v>
      </c>
      <c r="P902" s="45">
        <f>HEX2DEC(RIGHT(Table132321[[#This Row],[h1]],8))</f>
        <v>0</v>
      </c>
      <c r="Q902" s="45" t="s">
        <v>149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149</v>
      </c>
      <c r="P903" s="45">
        <f>HEX2DEC(RIGHT(Table132321[[#This Row],[h1]],8))</f>
        <v>0</v>
      </c>
      <c r="Q903" s="45" t="s">
        <v>149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149</v>
      </c>
      <c r="P904" s="45">
        <f>HEX2DEC(RIGHT(Table132321[[#This Row],[h1]],8))</f>
        <v>0</v>
      </c>
      <c r="Q904" s="45" t="s">
        <v>149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149</v>
      </c>
      <c r="P905" s="45">
        <f>HEX2DEC(RIGHT(Table132321[[#This Row],[h1]],8))</f>
        <v>0</v>
      </c>
      <c r="Q905" s="45" t="s">
        <v>149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149</v>
      </c>
      <c r="P906" s="45">
        <f>HEX2DEC(RIGHT(Table132321[[#This Row],[h1]],8))</f>
        <v>0</v>
      </c>
      <c r="Q906" s="45" t="s">
        <v>149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149</v>
      </c>
      <c r="P907" s="45">
        <f>HEX2DEC(RIGHT(Table132321[[#This Row],[h1]],8))</f>
        <v>0</v>
      </c>
      <c r="Q907" s="45" t="s">
        <v>149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149</v>
      </c>
      <c r="P908" s="45">
        <f>HEX2DEC(RIGHT(Table132321[[#This Row],[h1]],8))</f>
        <v>0</v>
      </c>
      <c r="Q908" s="45" t="s">
        <v>149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149</v>
      </c>
      <c r="P909" s="45">
        <f>HEX2DEC(RIGHT(Table132321[[#This Row],[h1]],8))</f>
        <v>0</v>
      </c>
      <c r="Q909" s="45" t="s">
        <v>149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149</v>
      </c>
      <c r="P910" s="45">
        <f>HEX2DEC(RIGHT(Table132321[[#This Row],[h1]],8))</f>
        <v>0</v>
      </c>
      <c r="Q910" s="45" t="s">
        <v>149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149</v>
      </c>
      <c r="P911" s="45">
        <f>HEX2DEC(RIGHT(Table132321[[#This Row],[h1]],8))</f>
        <v>0</v>
      </c>
      <c r="Q911" s="45" t="s">
        <v>149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149</v>
      </c>
      <c r="P912" s="45">
        <f>HEX2DEC(RIGHT(Table132321[[#This Row],[h1]],8))</f>
        <v>0</v>
      </c>
      <c r="Q912" s="45" t="s">
        <v>149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149</v>
      </c>
      <c r="P913" s="45">
        <f>HEX2DEC(RIGHT(Table132321[[#This Row],[h1]],8))</f>
        <v>0</v>
      </c>
      <c r="Q913" s="45" t="s">
        <v>149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149</v>
      </c>
      <c r="P914" s="45">
        <f>HEX2DEC(RIGHT(Table132321[[#This Row],[h1]],8))</f>
        <v>0</v>
      </c>
      <c r="Q914" s="45" t="s">
        <v>149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149</v>
      </c>
      <c r="P915" s="45">
        <f>HEX2DEC(RIGHT(Table132321[[#This Row],[h1]],8))</f>
        <v>0</v>
      </c>
      <c r="Q915" s="45" t="s">
        <v>149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149</v>
      </c>
      <c r="P916" s="45">
        <f>HEX2DEC(RIGHT(Table132321[[#This Row],[h1]],8))</f>
        <v>0</v>
      </c>
      <c r="Q916" s="45" t="s">
        <v>149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149</v>
      </c>
      <c r="P917" s="45">
        <f>HEX2DEC(RIGHT(Table132321[[#This Row],[h1]],8))</f>
        <v>0</v>
      </c>
      <c r="Q917" s="45" t="s">
        <v>149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149</v>
      </c>
      <c r="P918" s="45">
        <f>HEX2DEC(RIGHT(Table132321[[#This Row],[h1]],8))</f>
        <v>0</v>
      </c>
      <c r="Q918" s="45" t="s">
        <v>149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149</v>
      </c>
      <c r="P919" s="45">
        <f>HEX2DEC(RIGHT(Table132321[[#This Row],[h1]],8))</f>
        <v>0</v>
      </c>
      <c r="Q919" s="45" t="s">
        <v>149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149</v>
      </c>
      <c r="P920" s="45">
        <f>HEX2DEC(RIGHT(Table132321[[#This Row],[h1]],8))</f>
        <v>0</v>
      </c>
      <c r="Q920" s="45" t="s">
        <v>149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149</v>
      </c>
      <c r="P921" s="45">
        <f>HEX2DEC(RIGHT(Table132321[[#This Row],[h1]],8))</f>
        <v>0</v>
      </c>
      <c r="Q921" s="45" t="s">
        <v>149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149</v>
      </c>
      <c r="P922" s="45">
        <f>HEX2DEC(RIGHT(Table132321[[#This Row],[h1]],8))</f>
        <v>0</v>
      </c>
      <c r="Q922" s="45" t="s">
        <v>149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149</v>
      </c>
      <c r="P923" s="45">
        <f>HEX2DEC(RIGHT(Table132321[[#This Row],[h1]],8))</f>
        <v>0</v>
      </c>
      <c r="Q923" s="45" t="s">
        <v>149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149</v>
      </c>
      <c r="P924" s="45">
        <f>HEX2DEC(RIGHT(Table132321[[#This Row],[h1]],8))</f>
        <v>0</v>
      </c>
      <c r="Q924" s="45" t="s">
        <v>149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149</v>
      </c>
      <c r="P925" s="45">
        <f>HEX2DEC(RIGHT(Table132321[[#This Row],[h1]],8))</f>
        <v>0</v>
      </c>
      <c r="Q925" s="45" t="s">
        <v>149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149</v>
      </c>
      <c r="P926" s="45">
        <f>HEX2DEC(RIGHT(Table132321[[#This Row],[h1]],8))</f>
        <v>0</v>
      </c>
      <c r="Q926" s="45" t="s">
        <v>149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149</v>
      </c>
      <c r="P927" s="45">
        <f>HEX2DEC(RIGHT(Table132321[[#This Row],[h1]],8))</f>
        <v>0</v>
      </c>
      <c r="Q927" s="45" t="s">
        <v>149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149</v>
      </c>
      <c r="P928" s="45">
        <f>HEX2DEC(RIGHT(Table132321[[#This Row],[h1]],8))</f>
        <v>0</v>
      </c>
      <c r="Q928" s="45" t="s">
        <v>149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149</v>
      </c>
      <c r="P929" s="45">
        <f>HEX2DEC(RIGHT(Table132321[[#This Row],[h1]],8))</f>
        <v>0</v>
      </c>
      <c r="Q929" s="45" t="s">
        <v>149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149</v>
      </c>
      <c r="P930" s="45">
        <f>HEX2DEC(RIGHT(Table132321[[#This Row],[h1]],8))</f>
        <v>0</v>
      </c>
      <c r="Q930" s="45" t="s">
        <v>149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149</v>
      </c>
      <c r="P931" s="45">
        <f>HEX2DEC(RIGHT(Table132321[[#This Row],[h1]],8))</f>
        <v>0</v>
      </c>
      <c r="Q931" s="45" t="s">
        <v>149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149</v>
      </c>
      <c r="P932" s="45">
        <f>HEX2DEC(RIGHT(Table132321[[#This Row],[h1]],8))</f>
        <v>0</v>
      </c>
      <c r="Q932" s="45" t="s">
        <v>149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149</v>
      </c>
      <c r="P933" s="45">
        <f>HEX2DEC(RIGHT(Table132321[[#This Row],[h1]],8))</f>
        <v>0</v>
      </c>
      <c r="Q933" s="45" t="s">
        <v>149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149</v>
      </c>
      <c r="P934" s="45">
        <f>HEX2DEC(RIGHT(Table132321[[#This Row],[h1]],8))</f>
        <v>0</v>
      </c>
      <c r="Q934" s="45" t="s">
        <v>149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149</v>
      </c>
      <c r="P935" s="45">
        <f>HEX2DEC(RIGHT(Table132321[[#This Row],[h1]],8))</f>
        <v>0</v>
      </c>
      <c r="Q935" s="45" t="s">
        <v>149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149</v>
      </c>
      <c r="P936" s="45">
        <f>HEX2DEC(RIGHT(Table132321[[#This Row],[h1]],8))</f>
        <v>0</v>
      </c>
      <c r="Q936" s="45" t="s">
        <v>149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149</v>
      </c>
      <c r="P937" s="45">
        <f>HEX2DEC(RIGHT(Table132321[[#This Row],[h1]],8))</f>
        <v>0</v>
      </c>
      <c r="Q937" s="45" t="s">
        <v>149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149</v>
      </c>
      <c r="P938" s="45">
        <f>HEX2DEC(RIGHT(Table132321[[#This Row],[h1]],8))</f>
        <v>0</v>
      </c>
      <c r="Q938" s="45" t="s">
        <v>149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149</v>
      </c>
      <c r="P939" s="45">
        <f>HEX2DEC(RIGHT(Table132321[[#This Row],[h1]],8))</f>
        <v>0</v>
      </c>
      <c r="Q939" s="45" t="s">
        <v>149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149</v>
      </c>
      <c r="P940" s="45">
        <f>HEX2DEC(RIGHT(Table132321[[#This Row],[h1]],8))</f>
        <v>0</v>
      </c>
      <c r="Q940" s="45" t="s">
        <v>149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149</v>
      </c>
      <c r="P941" s="45">
        <f>HEX2DEC(RIGHT(Table132321[[#This Row],[h1]],8))</f>
        <v>0</v>
      </c>
      <c r="Q941" s="45" t="s">
        <v>149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149</v>
      </c>
      <c r="P942" s="45">
        <f>HEX2DEC(RIGHT(Table132321[[#This Row],[h1]],8))</f>
        <v>0</v>
      </c>
      <c r="Q942" s="45" t="s">
        <v>149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149</v>
      </c>
      <c r="P943" s="45">
        <f>HEX2DEC(RIGHT(Table132321[[#This Row],[h1]],8))</f>
        <v>0</v>
      </c>
      <c r="Q943" s="45" t="s">
        <v>149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149</v>
      </c>
      <c r="P944" s="45">
        <f>HEX2DEC(RIGHT(Table132321[[#This Row],[h1]],8))</f>
        <v>0</v>
      </c>
      <c r="Q944" s="45" t="s">
        <v>149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149</v>
      </c>
      <c r="P945" s="45">
        <f>HEX2DEC(RIGHT(Table132321[[#This Row],[h1]],8))</f>
        <v>0</v>
      </c>
      <c r="Q945" s="45" t="s">
        <v>149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149</v>
      </c>
      <c r="P946" s="45">
        <f>HEX2DEC(RIGHT(Table132321[[#This Row],[h1]],8))</f>
        <v>0</v>
      </c>
      <c r="Q946" s="45" t="s">
        <v>149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149</v>
      </c>
      <c r="P947" s="45">
        <f>HEX2DEC(RIGHT(Table132321[[#This Row],[h1]],8))</f>
        <v>0</v>
      </c>
      <c r="Q947" s="45" t="s">
        <v>149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149</v>
      </c>
      <c r="P948" s="45">
        <f>HEX2DEC(RIGHT(Table132321[[#This Row],[h1]],8))</f>
        <v>0</v>
      </c>
      <c r="Q948" s="45" t="s">
        <v>149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149</v>
      </c>
      <c r="P949" s="45">
        <f>HEX2DEC(RIGHT(Table132321[[#This Row],[h1]],8))</f>
        <v>0</v>
      </c>
      <c r="Q949" s="45" t="s">
        <v>149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149</v>
      </c>
      <c r="P950" s="45">
        <f>HEX2DEC(RIGHT(Table132321[[#This Row],[h1]],8))</f>
        <v>0</v>
      </c>
      <c r="Q950" s="45" t="s">
        <v>149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149</v>
      </c>
      <c r="P951" s="45">
        <f>HEX2DEC(RIGHT(Table132321[[#This Row],[h1]],8))</f>
        <v>0</v>
      </c>
      <c r="Q951" s="45" t="s">
        <v>149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149</v>
      </c>
      <c r="P952" s="45">
        <f>HEX2DEC(RIGHT(Table132321[[#This Row],[h1]],8))</f>
        <v>0</v>
      </c>
      <c r="Q952" s="45" t="s">
        <v>149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149</v>
      </c>
      <c r="P953" s="45">
        <f>HEX2DEC(RIGHT(Table132321[[#This Row],[h1]],8))</f>
        <v>0</v>
      </c>
      <c r="Q953" s="45" t="s">
        <v>149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149</v>
      </c>
      <c r="P954" s="45">
        <f>HEX2DEC(RIGHT(Table132321[[#This Row],[h1]],8))</f>
        <v>0</v>
      </c>
      <c r="Q954" s="45" t="s">
        <v>149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149</v>
      </c>
      <c r="P955" s="45">
        <f>HEX2DEC(RIGHT(Table132321[[#This Row],[h1]],8))</f>
        <v>0</v>
      </c>
      <c r="Q955" s="45" t="s">
        <v>149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149</v>
      </c>
      <c r="P956" s="45">
        <f>HEX2DEC(RIGHT(Table132321[[#This Row],[h1]],8))</f>
        <v>0</v>
      </c>
      <c r="Q956" s="45" t="s">
        <v>149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149</v>
      </c>
      <c r="P957" s="45">
        <f>HEX2DEC(RIGHT(Table132321[[#This Row],[h1]],8))</f>
        <v>0</v>
      </c>
      <c r="Q957" s="45" t="s">
        <v>149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149</v>
      </c>
      <c r="P958" s="45">
        <f>HEX2DEC(RIGHT(Table132321[[#This Row],[h1]],8))</f>
        <v>0</v>
      </c>
      <c r="Q958" s="45" t="s">
        <v>149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149</v>
      </c>
      <c r="P959" s="45">
        <f>HEX2DEC(RIGHT(Table132321[[#This Row],[h1]],8))</f>
        <v>0</v>
      </c>
      <c r="Q959" s="45" t="s">
        <v>149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149</v>
      </c>
      <c r="P960" s="45">
        <f>HEX2DEC(RIGHT(Table132321[[#This Row],[h1]],8))</f>
        <v>0</v>
      </c>
      <c r="Q960" s="45" t="s">
        <v>149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149</v>
      </c>
      <c r="P961" s="45">
        <f>HEX2DEC(RIGHT(Table132321[[#This Row],[h1]],8))</f>
        <v>0</v>
      </c>
      <c r="Q961" s="45" t="s">
        <v>149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149</v>
      </c>
      <c r="P962" s="45">
        <f>HEX2DEC(RIGHT(Table132321[[#This Row],[h1]],8))</f>
        <v>0</v>
      </c>
      <c r="Q962" s="45" t="s">
        <v>149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149</v>
      </c>
      <c r="P963" s="45">
        <f>HEX2DEC(RIGHT(Table132321[[#This Row],[h1]],8))</f>
        <v>0</v>
      </c>
      <c r="Q963" s="45" t="s">
        <v>149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149</v>
      </c>
      <c r="P964" s="45">
        <f>HEX2DEC(RIGHT(Table132321[[#This Row],[h1]],8))</f>
        <v>0</v>
      </c>
      <c r="Q964" s="45" t="s">
        <v>149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149</v>
      </c>
      <c r="P965" s="45">
        <f>HEX2DEC(RIGHT(Table132321[[#This Row],[h1]],8))</f>
        <v>0</v>
      </c>
      <c r="Q965" s="45" t="s">
        <v>149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149</v>
      </c>
      <c r="P966" s="45">
        <f>HEX2DEC(RIGHT(Table132321[[#This Row],[h1]],8))</f>
        <v>0</v>
      </c>
      <c r="Q966" s="45" t="s">
        <v>149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149</v>
      </c>
      <c r="P967" s="45">
        <f>HEX2DEC(RIGHT(Table132321[[#This Row],[h1]],8))</f>
        <v>0</v>
      </c>
      <c r="Q967" s="45" t="s">
        <v>149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149</v>
      </c>
      <c r="P968" s="45">
        <f>HEX2DEC(RIGHT(Table132321[[#This Row],[h1]],8))</f>
        <v>0</v>
      </c>
      <c r="Q968" s="45" t="s">
        <v>149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149</v>
      </c>
      <c r="P969" s="45">
        <f>HEX2DEC(RIGHT(Table132321[[#This Row],[h1]],8))</f>
        <v>0</v>
      </c>
      <c r="Q969" s="45" t="s">
        <v>149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149</v>
      </c>
      <c r="P970" s="45">
        <f>HEX2DEC(RIGHT(Table132321[[#This Row],[h1]],8))</f>
        <v>0</v>
      </c>
      <c r="Q970" s="45" t="s">
        <v>149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149</v>
      </c>
      <c r="P971" s="45">
        <f>HEX2DEC(RIGHT(Table132321[[#This Row],[h1]],8))</f>
        <v>0</v>
      </c>
      <c r="Q971" s="45" t="s">
        <v>149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149</v>
      </c>
      <c r="P972" s="45">
        <f>HEX2DEC(RIGHT(Table132321[[#This Row],[h1]],8))</f>
        <v>0</v>
      </c>
      <c r="Q972" s="45" t="s">
        <v>149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149</v>
      </c>
      <c r="P973" s="45">
        <f>HEX2DEC(RIGHT(Table132321[[#This Row],[h1]],8))</f>
        <v>0</v>
      </c>
      <c r="Q973" s="45" t="s">
        <v>149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149</v>
      </c>
      <c r="P974" s="45">
        <f>HEX2DEC(RIGHT(Table132321[[#This Row],[h1]],8))</f>
        <v>0</v>
      </c>
      <c r="Q974" s="45" t="s">
        <v>149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149</v>
      </c>
      <c r="P975" s="45">
        <f>HEX2DEC(RIGHT(Table132321[[#This Row],[h1]],8))</f>
        <v>0</v>
      </c>
      <c r="Q975" s="45" t="s">
        <v>149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149</v>
      </c>
      <c r="P976" s="45">
        <f>HEX2DEC(RIGHT(Table132321[[#This Row],[h1]],8))</f>
        <v>0</v>
      </c>
      <c r="Q976" s="45" t="s">
        <v>149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149</v>
      </c>
      <c r="P977" s="45">
        <f>HEX2DEC(RIGHT(Table132321[[#This Row],[h1]],8))</f>
        <v>0</v>
      </c>
      <c r="Q977" s="45" t="s">
        <v>149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149</v>
      </c>
      <c r="P978" s="45">
        <f>HEX2DEC(RIGHT(Table132321[[#This Row],[h1]],8))</f>
        <v>0</v>
      </c>
      <c r="Q978" s="45" t="s">
        <v>149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149</v>
      </c>
      <c r="P979" s="45">
        <f>HEX2DEC(RIGHT(Table132321[[#This Row],[h1]],8))</f>
        <v>0</v>
      </c>
      <c r="Q979" s="45" t="s">
        <v>149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149</v>
      </c>
      <c r="P980" s="45">
        <f>HEX2DEC(RIGHT(Table132321[[#This Row],[h1]],8))</f>
        <v>0</v>
      </c>
      <c r="Q980" s="45" t="s">
        <v>149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149</v>
      </c>
      <c r="P981" s="45">
        <f>HEX2DEC(RIGHT(Table132321[[#This Row],[h1]],8))</f>
        <v>0</v>
      </c>
      <c r="Q981" s="45" t="s">
        <v>149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149</v>
      </c>
      <c r="P982" s="45">
        <f>HEX2DEC(RIGHT(Table132321[[#This Row],[h1]],8))</f>
        <v>0</v>
      </c>
      <c r="Q982" s="45" t="s">
        <v>149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149</v>
      </c>
      <c r="P983" s="45">
        <f>HEX2DEC(RIGHT(Table132321[[#This Row],[h1]],8))</f>
        <v>0</v>
      </c>
      <c r="Q983" s="45" t="s">
        <v>149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149</v>
      </c>
      <c r="P984" s="45">
        <f>HEX2DEC(RIGHT(Table132321[[#This Row],[h1]],8))</f>
        <v>0</v>
      </c>
      <c r="Q984" s="45" t="s">
        <v>149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149</v>
      </c>
      <c r="P985" s="45">
        <f>HEX2DEC(RIGHT(Table132321[[#This Row],[h1]],8))</f>
        <v>0</v>
      </c>
      <c r="Q985" s="45" t="s">
        <v>149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149</v>
      </c>
      <c r="P986" s="45">
        <f>HEX2DEC(RIGHT(Table132321[[#This Row],[h1]],8))</f>
        <v>0</v>
      </c>
      <c r="Q986" s="45" t="s">
        <v>149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149</v>
      </c>
      <c r="P987" s="45">
        <f>HEX2DEC(RIGHT(Table132321[[#This Row],[h1]],8))</f>
        <v>0</v>
      </c>
      <c r="Q987" s="45" t="s">
        <v>149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149</v>
      </c>
      <c r="P988" s="45">
        <f>HEX2DEC(RIGHT(Table132321[[#This Row],[h1]],8))</f>
        <v>0</v>
      </c>
      <c r="Q988" s="45" t="s">
        <v>149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149</v>
      </c>
      <c r="P989" s="45">
        <f>HEX2DEC(RIGHT(Table132321[[#This Row],[h1]],8))</f>
        <v>0</v>
      </c>
      <c r="Q989" s="45" t="s">
        <v>149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149</v>
      </c>
      <c r="P990" s="45">
        <f>HEX2DEC(RIGHT(Table132321[[#This Row],[h1]],8))</f>
        <v>0</v>
      </c>
      <c r="Q990" s="45" t="s">
        <v>149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149</v>
      </c>
      <c r="P991" s="45">
        <f>HEX2DEC(RIGHT(Table132321[[#This Row],[h1]],8))</f>
        <v>0</v>
      </c>
      <c r="Q991" s="45" t="s">
        <v>149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149</v>
      </c>
      <c r="P992" s="45">
        <f>HEX2DEC(RIGHT(Table132321[[#This Row],[h1]],8))</f>
        <v>0</v>
      </c>
      <c r="Q992" s="45" t="s">
        <v>149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149</v>
      </c>
      <c r="P993" s="45">
        <f>HEX2DEC(RIGHT(Table132321[[#This Row],[h1]],8))</f>
        <v>0</v>
      </c>
      <c r="Q993" s="45" t="s">
        <v>149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149</v>
      </c>
      <c r="P994" s="45">
        <f>HEX2DEC(RIGHT(Table132321[[#This Row],[h1]],8))</f>
        <v>0</v>
      </c>
      <c r="Q994" s="45" t="s">
        <v>149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149</v>
      </c>
      <c r="P995" s="45">
        <f>HEX2DEC(RIGHT(Table132321[[#This Row],[h1]],8))</f>
        <v>0</v>
      </c>
      <c r="Q995" s="45" t="s">
        <v>149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149</v>
      </c>
      <c r="P996" s="45">
        <f>HEX2DEC(RIGHT(Table132321[[#This Row],[h1]],8))</f>
        <v>0</v>
      </c>
      <c r="Q996" s="45" t="s">
        <v>149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149</v>
      </c>
      <c r="P997" s="45">
        <f>HEX2DEC(RIGHT(Table132321[[#This Row],[h1]],8))</f>
        <v>0</v>
      </c>
      <c r="Q997" s="45" t="s">
        <v>149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149</v>
      </c>
      <c r="P998" s="45">
        <f>HEX2DEC(RIGHT(Table132321[[#This Row],[h1]],8))</f>
        <v>0</v>
      </c>
      <c r="Q998" s="45" t="s">
        <v>149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149</v>
      </c>
      <c r="P999" s="45">
        <f>HEX2DEC(RIGHT(Table132321[[#This Row],[h1]],8))</f>
        <v>0</v>
      </c>
      <c r="Q999" s="45" t="s">
        <v>149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149</v>
      </c>
      <c r="P1000" s="45">
        <f>HEX2DEC(RIGHT(Table132321[[#This Row],[h1]],8))</f>
        <v>0</v>
      </c>
      <c r="Q1000" s="45" t="s">
        <v>149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149</v>
      </c>
      <c r="P1001" s="45">
        <f>HEX2DEC(RIGHT(Table132321[[#This Row],[h1]],8))</f>
        <v>0</v>
      </c>
      <c r="Q1001" s="45" t="s">
        <v>149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149</v>
      </c>
      <c r="P1002" s="45">
        <f>HEX2DEC(RIGHT(Table132321[[#This Row],[h1]],8))</f>
        <v>0</v>
      </c>
      <c r="Q1002" s="45" t="s">
        <v>149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149</v>
      </c>
      <c r="P1003" s="45">
        <f>HEX2DEC(RIGHT(Table132321[[#This Row],[h1]],8))</f>
        <v>0</v>
      </c>
      <c r="Q1003" s="45" t="s">
        <v>149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149</v>
      </c>
      <c r="P1004" s="45">
        <f>HEX2DEC(RIGHT(Table132321[[#This Row],[h1]],8))</f>
        <v>0</v>
      </c>
      <c r="Q1004" s="45" t="s">
        <v>149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149</v>
      </c>
      <c r="P1005" s="45">
        <f>HEX2DEC(RIGHT(Table132321[[#This Row],[h1]],8))</f>
        <v>0</v>
      </c>
      <c r="Q1005" s="45" t="s">
        <v>149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149</v>
      </c>
      <c r="P1006" s="45">
        <f>HEX2DEC(RIGHT(Table132321[[#This Row],[h1]],8))</f>
        <v>0</v>
      </c>
      <c r="Q1006" s="45" t="s">
        <v>149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149</v>
      </c>
      <c r="P1007" s="45">
        <f>HEX2DEC(RIGHT(Table132321[[#This Row],[h1]],8))</f>
        <v>0</v>
      </c>
      <c r="Q1007" s="45" t="s">
        <v>149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149</v>
      </c>
      <c r="P1008" s="45">
        <f>HEX2DEC(RIGHT(Table132321[[#This Row],[h1]],8))</f>
        <v>0</v>
      </c>
      <c r="Q1008" s="45" t="s">
        <v>149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149</v>
      </c>
      <c r="P1009" s="45">
        <f>HEX2DEC(RIGHT(Table132321[[#This Row],[h1]],8))</f>
        <v>0</v>
      </c>
      <c r="Q1009" s="45" t="s">
        <v>149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149</v>
      </c>
      <c r="P1010" s="45">
        <f>HEX2DEC(RIGHT(Table132321[[#This Row],[h1]],8))</f>
        <v>0</v>
      </c>
      <c r="Q1010" s="45" t="s">
        <v>149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149</v>
      </c>
      <c r="P1011" s="45">
        <f>HEX2DEC(RIGHT(Table132321[[#This Row],[h1]],8))</f>
        <v>0</v>
      </c>
      <c r="Q1011" s="45" t="s">
        <v>149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149</v>
      </c>
      <c r="P1012" s="45">
        <f>HEX2DEC(RIGHT(Table132321[[#This Row],[h1]],8))</f>
        <v>0</v>
      </c>
      <c r="Q1012" s="45" t="s">
        <v>149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149</v>
      </c>
      <c r="P1013" s="45">
        <f>HEX2DEC(RIGHT(Table132321[[#This Row],[h1]],8))</f>
        <v>0</v>
      </c>
      <c r="Q1013" s="45" t="s">
        <v>149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149</v>
      </c>
      <c r="P1014" s="45">
        <f>HEX2DEC(RIGHT(Table132321[[#This Row],[h1]],8))</f>
        <v>0</v>
      </c>
      <c r="Q1014" s="45" t="s">
        <v>149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149</v>
      </c>
      <c r="P1015" s="45">
        <f>HEX2DEC(RIGHT(Table132321[[#This Row],[h1]],8))</f>
        <v>0</v>
      </c>
      <c r="Q1015" s="45" t="s">
        <v>149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149</v>
      </c>
      <c r="P1016" s="45">
        <f>HEX2DEC(RIGHT(Table132321[[#This Row],[h1]],8))</f>
        <v>0</v>
      </c>
      <c r="Q1016" s="45" t="s">
        <v>149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149</v>
      </c>
      <c r="P1017" s="45">
        <f>HEX2DEC(RIGHT(Table132321[[#This Row],[h1]],8))</f>
        <v>0</v>
      </c>
      <c r="Q1017" s="45" t="s">
        <v>149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149</v>
      </c>
      <c r="P1018" s="45">
        <f>HEX2DEC(RIGHT(Table132321[[#This Row],[h1]],8))</f>
        <v>0</v>
      </c>
      <c r="Q1018" s="45" t="s">
        <v>149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149</v>
      </c>
      <c r="P1019" s="45">
        <f>HEX2DEC(RIGHT(Table132321[[#This Row],[h1]],8))</f>
        <v>0</v>
      </c>
      <c r="Q1019" s="45" t="s">
        <v>149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149</v>
      </c>
      <c r="P1020" s="45">
        <f>HEX2DEC(RIGHT(Table132321[[#This Row],[h1]],8))</f>
        <v>0</v>
      </c>
      <c r="Q1020" s="45" t="s">
        <v>149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149</v>
      </c>
      <c r="P1021" s="45">
        <f>HEX2DEC(RIGHT(Table132321[[#This Row],[h1]],8))</f>
        <v>0</v>
      </c>
      <c r="Q1021" s="45" t="s">
        <v>149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149</v>
      </c>
      <c r="P1022" s="45">
        <f>HEX2DEC(RIGHT(Table132321[[#This Row],[h1]],8))</f>
        <v>0</v>
      </c>
      <c r="Q1022" s="45" t="s">
        <v>149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149</v>
      </c>
      <c r="P1023" s="45">
        <f>HEX2DEC(RIGHT(Table132321[[#This Row],[h1]],8))</f>
        <v>0</v>
      </c>
      <c r="Q1023" s="45" t="s">
        <v>149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149</v>
      </c>
      <c r="P1024" s="45">
        <f>HEX2DEC(RIGHT(Table132321[[#This Row],[h1]],8))</f>
        <v>0</v>
      </c>
      <c r="Q1024" s="45" t="s">
        <v>149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149</v>
      </c>
      <c r="P1025" s="45">
        <f>HEX2DEC(RIGHT(Table132321[[#This Row],[h1]],8))</f>
        <v>0</v>
      </c>
      <c r="Q1025" s="45" t="s">
        <v>149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149</v>
      </c>
      <c r="P1026" s="45">
        <f>HEX2DEC(RIGHT(Table132321[[#This Row],[h1]],8))</f>
        <v>0</v>
      </c>
      <c r="Q1026" s="45" t="s">
        <v>149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149</v>
      </c>
      <c r="P1027" s="45">
        <f>HEX2DEC(RIGHT(Table132321[[#This Row],[h1]],8))</f>
        <v>0</v>
      </c>
      <c r="Q1027" s="45" t="s">
        <v>149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149</v>
      </c>
      <c r="P1028" s="45">
        <f>HEX2DEC(RIGHT(Table132321[[#This Row],[h1]],8))</f>
        <v>0</v>
      </c>
      <c r="Q1028" s="45" t="s">
        <v>149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149</v>
      </c>
      <c r="P1029" s="45">
        <f>HEX2DEC(RIGHT(Table132321[[#This Row],[h1]],8))</f>
        <v>0</v>
      </c>
      <c r="Q1029" s="45" t="s">
        <v>149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149</v>
      </c>
      <c r="P1030" s="45">
        <f>HEX2DEC(RIGHT(Table132321[[#This Row],[h1]],8))</f>
        <v>0</v>
      </c>
      <c r="Q1030" s="45" t="s">
        <v>149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149</v>
      </c>
      <c r="P1031" s="45">
        <f>HEX2DEC(RIGHT(Table132321[[#This Row],[h1]],8))</f>
        <v>0</v>
      </c>
      <c r="Q1031" s="45" t="s">
        <v>149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149</v>
      </c>
      <c r="P1032" s="45">
        <f>HEX2DEC(RIGHT(Table132321[[#This Row],[h1]],8))</f>
        <v>0</v>
      </c>
      <c r="Q1032" s="45" t="s">
        <v>149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149</v>
      </c>
      <c r="P1033" s="45">
        <f>HEX2DEC(RIGHT(Table132321[[#This Row],[h1]],8))</f>
        <v>0</v>
      </c>
      <c r="Q1033" s="45" t="s">
        <v>149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149</v>
      </c>
      <c r="P1034" s="45">
        <f>HEX2DEC(RIGHT(Table132321[[#This Row],[h1]],8))</f>
        <v>0</v>
      </c>
      <c r="Q1034" s="45" t="s">
        <v>149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149</v>
      </c>
      <c r="P1035" s="45">
        <f>HEX2DEC(RIGHT(Table132321[[#This Row],[h1]],8))</f>
        <v>0</v>
      </c>
      <c r="Q1035" s="45" t="s">
        <v>149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149</v>
      </c>
      <c r="P1036" s="45">
        <f>HEX2DEC(RIGHT(Table132321[[#This Row],[h1]],8))</f>
        <v>0</v>
      </c>
      <c r="Q1036" s="45" t="s">
        <v>149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149</v>
      </c>
      <c r="P1037" s="45">
        <f>HEX2DEC(RIGHT(Table132321[[#This Row],[h1]],8))</f>
        <v>0</v>
      </c>
      <c r="Q1037" s="45" t="s">
        <v>149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149</v>
      </c>
      <c r="P1038" s="45">
        <f>HEX2DEC(RIGHT(Table132321[[#This Row],[h1]],8))</f>
        <v>0</v>
      </c>
      <c r="Q1038" s="45" t="s">
        <v>149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149</v>
      </c>
      <c r="P1039" s="45">
        <f>HEX2DEC(RIGHT(Table132321[[#This Row],[h1]],8))</f>
        <v>0</v>
      </c>
      <c r="Q1039" s="45" t="s">
        <v>149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149</v>
      </c>
      <c r="P1040" s="45">
        <f>HEX2DEC(RIGHT(Table132321[[#This Row],[h1]],8))</f>
        <v>0</v>
      </c>
      <c r="Q1040" s="45" t="s">
        <v>149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149</v>
      </c>
      <c r="P1041" s="45">
        <f>HEX2DEC(RIGHT(Table132321[[#This Row],[h1]],8))</f>
        <v>0</v>
      </c>
      <c r="Q1041" s="45" t="s">
        <v>149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149</v>
      </c>
      <c r="P1042" s="45">
        <f>HEX2DEC(RIGHT(Table132321[[#This Row],[h1]],8))</f>
        <v>0</v>
      </c>
      <c r="Q1042" s="45" t="s">
        <v>149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149</v>
      </c>
      <c r="P1043" s="45">
        <f>HEX2DEC(RIGHT(Table132321[[#This Row],[h1]],8))</f>
        <v>0</v>
      </c>
      <c r="Q1043" s="45" t="s">
        <v>149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149</v>
      </c>
      <c r="P1044" s="45">
        <f>HEX2DEC(RIGHT(Table132321[[#This Row],[h1]],8))</f>
        <v>0</v>
      </c>
      <c r="Q1044" s="45" t="s">
        <v>149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149</v>
      </c>
      <c r="P1045" s="45">
        <f>HEX2DEC(RIGHT(Table132321[[#This Row],[h1]],8))</f>
        <v>0</v>
      </c>
      <c r="Q1045" s="45" t="s">
        <v>149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149</v>
      </c>
      <c r="P1046" s="45">
        <f>HEX2DEC(RIGHT(Table132321[[#This Row],[h1]],8))</f>
        <v>0</v>
      </c>
      <c r="Q1046" s="45" t="s">
        <v>149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149</v>
      </c>
      <c r="P1047" s="45">
        <f>HEX2DEC(RIGHT(Table132321[[#This Row],[h1]],8))</f>
        <v>0</v>
      </c>
      <c r="Q1047" s="45" t="s">
        <v>149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149</v>
      </c>
      <c r="P1048" s="45">
        <f>HEX2DEC(RIGHT(Table132321[[#This Row],[h1]],8))</f>
        <v>0</v>
      </c>
      <c r="Q1048" s="45" t="s">
        <v>149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149</v>
      </c>
      <c r="P1049" s="45">
        <f>HEX2DEC(RIGHT(Table132321[[#This Row],[h1]],8))</f>
        <v>0</v>
      </c>
      <c r="Q1049" s="45" t="s">
        <v>149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149</v>
      </c>
      <c r="P1050" s="45">
        <f>HEX2DEC(RIGHT(Table132321[[#This Row],[h1]],8))</f>
        <v>0</v>
      </c>
      <c r="Q1050" s="45" t="s">
        <v>149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149</v>
      </c>
      <c r="P1051" s="45">
        <f>HEX2DEC(RIGHT(Table132321[[#This Row],[h1]],8))</f>
        <v>0</v>
      </c>
      <c r="Q1051" s="45" t="s">
        <v>149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149</v>
      </c>
      <c r="P1052" s="45">
        <f>HEX2DEC(RIGHT(Table132321[[#This Row],[h1]],8))</f>
        <v>0</v>
      </c>
      <c r="Q1052" s="45" t="s">
        <v>149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149</v>
      </c>
      <c r="P1053" s="45">
        <f>HEX2DEC(RIGHT(Table132321[[#This Row],[h1]],8))</f>
        <v>0</v>
      </c>
      <c r="Q1053" s="45" t="s">
        <v>149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149</v>
      </c>
      <c r="P1054" s="45">
        <f>HEX2DEC(RIGHT(Table132321[[#This Row],[h1]],8))</f>
        <v>0</v>
      </c>
      <c r="Q1054" s="45" t="s">
        <v>149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149</v>
      </c>
      <c r="P1055" s="45">
        <f>HEX2DEC(RIGHT(Table132321[[#This Row],[h1]],8))</f>
        <v>0</v>
      </c>
      <c r="Q1055" s="45" t="s">
        <v>149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149</v>
      </c>
      <c r="P1056" s="45">
        <f>HEX2DEC(RIGHT(Table132321[[#This Row],[h1]],8))</f>
        <v>0</v>
      </c>
      <c r="Q1056" s="45" t="s">
        <v>149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149</v>
      </c>
      <c r="P1057" s="45">
        <f>HEX2DEC(RIGHT(Table132321[[#This Row],[h1]],8))</f>
        <v>0</v>
      </c>
      <c r="Q1057" s="45" t="s">
        <v>149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149</v>
      </c>
      <c r="P1058" s="45">
        <f>HEX2DEC(RIGHT(Table132321[[#This Row],[h1]],8))</f>
        <v>0</v>
      </c>
      <c r="Q1058" s="45" t="s">
        <v>149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149</v>
      </c>
      <c r="P1059" s="45">
        <f>HEX2DEC(RIGHT(Table132321[[#This Row],[h1]],8))</f>
        <v>0</v>
      </c>
      <c r="Q1059" s="45" t="s">
        <v>149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149</v>
      </c>
      <c r="P1060" s="45">
        <f>HEX2DEC(RIGHT(Table132321[[#This Row],[h1]],8))</f>
        <v>0</v>
      </c>
      <c r="Q1060" s="45" t="s">
        <v>149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149</v>
      </c>
      <c r="P1061" s="45">
        <f>HEX2DEC(RIGHT(Table132321[[#This Row],[h1]],8))</f>
        <v>0</v>
      </c>
      <c r="Q1061" s="45" t="s">
        <v>149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149</v>
      </c>
      <c r="P1062" s="45">
        <f>HEX2DEC(RIGHT(Table132321[[#This Row],[h1]],8))</f>
        <v>0</v>
      </c>
      <c r="Q1062" s="45" t="s">
        <v>149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149</v>
      </c>
      <c r="P1063" s="45">
        <f>HEX2DEC(RIGHT(Table132321[[#This Row],[h1]],8))</f>
        <v>0</v>
      </c>
      <c r="Q1063" s="45" t="s">
        <v>149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149</v>
      </c>
      <c r="P1064" s="45">
        <f>HEX2DEC(RIGHT(Table132321[[#This Row],[h1]],8))</f>
        <v>0</v>
      </c>
      <c r="Q1064" s="45" t="s">
        <v>149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149</v>
      </c>
      <c r="P1065" s="45">
        <f>HEX2DEC(RIGHT(Table132321[[#This Row],[h1]],8))</f>
        <v>0</v>
      </c>
      <c r="Q1065" s="45" t="s">
        <v>149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149</v>
      </c>
      <c r="P1066" s="45">
        <f>HEX2DEC(RIGHT(Table132321[[#This Row],[h1]],8))</f>
        <v>0</v>
      </c>
      <c r="Q1066" s="45" t="s">
        <v>149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149</v>
      </c>
      <c r="P1067" s="45">
        <f>HEX2DEC(RIGHT(Table132321[[#This Row],[h1]],8))</f>
        <v>0</v>
      </c>
      <c r="Q1067" s="45" t="s">
        <v>149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149</v>
      </c>
      <c r="P1068" s="45">
        <f>HEX2DEC(RIGHT(Table132321[[#This Row],[h1]],8))</f>
        <v>0</v>
      </c>
      <c r="Q1068" s="45" t="s">
        <v>149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149</v>
      </c>
      <c r="P1069" s="45">
        <f>HEX2DEC(RIGHT(Table132321[[#This Row],[h1]],8))</f>
        <v>0</v>
      </c>
      <c r="Q1069" s="45" t="s">
        <v>149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149</v>
      </c>
      <c r="P1070" s="45">
        <f>HEX2DEC(RIGHT(Table132321[[#This Row],[h1]],8))</f>
        <v>0</v>
      </c>
      <c r="Q1070" s="45" t="s">
        <v>149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149</v>
      </c>
      <c r="P1071" s="45">
        <f>HEX2DEC(RIGHT(Table132321[[#This Row],[h1]],8))</f>
        <v>0</v>
      </c>
      <c r="Q1071" s="45" t="s">
        <v>149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149</v>
      </c>
      <c r="P1072" s="45">
        <f>HEX2DEC(RIGHT(Table132321[[#This Row],[h1]],8))</f>
        <v>0</v>
      </c>
      <c r="Q1072" s="45" t="s">
        <v>149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149</v>
      </c>
      <c r="P1073" s="45">
        <f>HEX2DEC(RIGHT(Table132321[[#This Row],[h1]],8))</f>
        <v>0</v>
      </c>
      <c r="Q1073" s="45" t="s">
        <v>149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149</v>
      </c>
      <c r="P1074" s="45">
        <f>HEX2DEC(RIGHT(Table132321[[#This Row],[h1]],8))</f>
        <v>0</v>
      </c>
      <c r="Q1074" s="45" t="s">
        <v>149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149</v>
      </c>
      <c r="P1075" s="45">
        <f>HEX2DEC(RIGHT(Table132321[[#This Row],[h1]],8))</f>
        <v>0</v>
      </c>
      <c r="Q1075" s="45" t="s">
        <v>149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149</v>
      </c>
      <c r="P1076" s="45">
        <f>HEX2DEC(RIGHT(Table132321[[#This Row],[h1]],8))</f>
        <v>0</v>
      </c>
      <c r="Q1076" s="45" t="s">
        <v>149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149</v>
      </c>
      <c r="P1077" s="45">
        <f>HEX2DEC(RIGHT(Table132321[[#This Row],[h1]],8))</f>
        <v>0</v>
      </c>
      <c r="Q1077" s="45" t="s">
        <v>149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149</v>
      </c>
      <c r="P1078" s="45">
        <f>HEX2DEC(RIGHT(Table132321[[#This Row],[h1]],8))</f>
        <v>0</v>
      </c>
      <c r="Q1078" s="45" t="s">
        <v>149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149</v>
      </c>
      <c r="P1079" s="45">
        <f>HEX2DEC(RIGHT(Table132321[[#This Row],[h1]],8))</f>
        <v>0</v>
      </c>
      <c r="Q1079" s="45" t="s">
        <v>149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149</v>
      </c>
      <c r="P1080" s="45">
        <f>HEX2DEC(RIGHT(Table132321[[#This Row],[h1]],8))</f>
        <v>0</v>
      </c>
      <c r="Q1080" s="45" t="s">
        <v>149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149</v>
      </c>
      <c r="P1081" s="45">
        <f>HEX2DEC(RIGHT(Table132321[[#This Row],[h1]],8))</f>
        <v>0</v>
      </c>
      <c r="Q1081" s="45" t="s">
        <v>149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149</v>
      </c>
      <c r="P1082" s="45">
        <f>HEX2DEC(RIGHT(Table132321[[#This Row],[h1]],8))</f>
        <v>0</v>
      </c>
      <c r="Q1082" s="45" t="s">
        <v>149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149</v>
      </c>
      <c r="P1083" s="45">
        <f>HEX2DEC(RIGHT(Table132321[[#This Row],[h1]],8))</f>
        <v>0</v>
      </c>
      <c r="Q1083" s="45" t="s">
        <v>149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149</v>
      </c>
      <c r="P1084" s="45">
        <f>HEX2DEC(RIGHT(Table132321[[#This Row],[h1]],8))</f>
        <v>0</v>
      </c>
      <c r="Q1084" s="45" t="s">
        <v>149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149</v>
      </c>
      <c r="P1085" s="45">
        <f>HEX2DEC(RIGHT(Table132321[[#This Row],[h1]],8))</f>
        <v>0</v>
      </c>
      <c r="Q1085" s="45" t="s">
        <v>149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149</v>
      </c>
      <c r="P1086" s="45">
        <f>HEX2DEC(RIGHT(Table132321[[#This Row],[h1]],8))</f>
        <v>0</v>
      </c>
      <c r="Q1086" s="45" t="s">
        <v>149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149</v>
      </c>
      <c r="P1087" s="45">
        <f>HEX2DEC(RIGHT(Table132321[[#This Row],[h1]],8))</f>
        <v>0</v>
      </c>
      <c r="Q1087" s="45" t="s">
        <v>149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149</v>
      </c>
      <c r="P1088" s="45">
        <f>HEX2DEC(RIGHT(Table132321[[#This Row],[h1]],8))</f>
        <v>0</v>
      </c>
      <c r="Q1088" s="45" t="s">
        <v>149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149</v>
      </c>
      <c r="P1089" s="45">
        <f>HEX2DEC(RIGHT(Table132321[[#This Row],[h1]],8))</f>
        <v>0</v>
      </c>
      <c r="Q1089" s="45" t="s">
        <v>149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149</v>
      </c>
      <c r="P1090" s="45">
        <f>HEX2DEC(RIGHT(Table132321[[#This Row],[h1]],8))</f>
        <v>0</v>
      </c>
      <c r="Q1090" s="45" t="s">
        <v>149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149</v>
      </c>
      <c r="P1091" s="45">
        <f>HEX2DEC(RIGHT(Table132321[[#This Row],[h1]],8))</f>
        <v>0</v>
      </c>
      <c r="Q1091" s="45" t="s">
        <v>149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149</v>
      </c>
      <c r="P1092" s="45">
        <f>HEX2DEC(RIGHT(Table132321[[#This Row],[h1]],8))</f>
        <v>0</v>
      </c>
      <c r="Q1092" s="45" t="s">
        <v>149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149</v>
      </c>
      <c r="P1093" s="45">
        <f>HEX2DEC(RIGHT(Table132321[[#This Row],[h1]],8))</f>
        <v>0</v>
      </c>
      <c r="Q1093" s="45" t="s">
        <v>149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149</v>
      </c>
      <c r="P1094" s="45">
        <f>HEX2DEC(RIGHT(Table132321[[#This Row],[h1]],8))</f>
        <v>0</v>
      </c>
      <c r="Q1094" s="45" t="s">
        <v>149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149</v>
      </c>
      <c r="P1095" s="45">
        <f>HEX2DEC(RIGHT(Table132321[[#This Row],[h1]],8))</f>
        <v>0</v>
      </c>
      <c r="Q1095" s="45" t="s">
        <v>149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149</v>
      </c>
      <c r="P1096" s="45">
        <f>HEX2DEC(RIGHT(Table132321[[#This Row],[h1]],8))</f>
        <v>0</v>
      </c>
      <c r="Q1096" s="45" t="s">
        <v>149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149</v>
      </c>
      <c r="P1097" s="45">
        <f>HEX2DEC(RIGHT(Table132321[[#This Row],[h1]],8))</f>
        <v>0</v>
      </c>
      <c r="Q1097" s="45" t="s">
        <v>149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149</v>
      </c>
      <c r="P1098" s="45">
        <f>HEX2DEC(RIGHT(Table132321[[#This Row],[h1]],8))</f>
        <v>0</v>
      </c>
      <c r="Q1098" s="45" t="s">
        <v>149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149</v>
      </c>
      <c r="P1099" s="45">
        <f>HEX2DEC(RIGHT(Table132321[[#This Row],[h1]],8))</f>
        <v>0</v>
      </c>
      <c r="Q1099" s="45" t="s">
        <v>149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149</v>
      </c>
      <c r="P1100" s="45">
        <f>HEX2DEC(RIGHT(Table132321[[#This Row],[h1]],8))</f>
        <v>0</v>
      </c>
      <c r="Q1100" s="45" t="s">
        <v>149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149</v>
      </c>
      <c r="P1101" s="45">
        <f>HEX2DEC(RIGHT(Table132321[[#This Row],[h1]],8))</f>
        <v>0</v>
      </c>
      <c r="Q1101" s="45" t="s">
        <v>149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149</v>
      </c>
      <c r="P1102" s="45">
        <f>HEX2DEC(RIGHT(Table132321[[#This Row],[h1]],8))</f>
        <v>0</v>
      </c>
      <c r="Q1102" s="45" t="s">
        <v>149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149</v>
      </c>
      <c r="P1103" s="45">
        <f>HEX2DEC(RIGHT(Table132321[[#This Row],[h1]],8))</f>
        <v>0</v>
      </c>
      <c r="Q1103" s="45" t="s">
        <v>149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149</v>
      </c>
      <c r="P1104" s="45">
        <f>HEX2DEC(RIGHT(Table132321[[#This Row],[h1]],8))</f>
        <v>0</v>
      </c>
      <c r="Q1104" s="45" t="s">
        <v>149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149</v>
      </c>
      <c r="P1105" s="45">
        <f>HEX2DEC(RIGHT(Table132321[[#This Row],[h1]],8))</f>
        <v>0</v>
      </c>
      <c r="Q1105" s="45" t="s">
        <v>149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149</v>
      </c>
      <c r="P1106" s="45">
        <f>HEX2DEC(RIGHT(Table132321[[#This Row],[h1]],8))</f>
        <v>0</v>
      </c>
      <c r="Q1106" s="45" t="s">
        <v>149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149</v>
      </c>
      <c r="P1107" s="45">
        <f>HEX2DEC(RIGHT(Table132321[[#This Row],[h1]],8))</f>
        <v>0</v>
      </c>
      <c r="Q1107" s="45" t="s">
        <v>149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149</v>
      </c>
      <c r="P1108" s="45">
        <f>HEX2DEC(RIGHT(Table132321[[#This Row],[h1]],8))</f>
        <v>0</v>
      </c>
      <c r="Q1108" s="45" t="s">
        <v>149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149</v>
      </c>
      <c r="P1109" s="45">
        <f>HEX2DEC(RIGHT(Table132321[[#This Row],[h1]],8))</f>
        <v>0</v>
      </c>
      <c r="Q1109" s="45" t="s">
        <v>149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149</v>
      </c>
      <c r="P1110" s="45">
        <f>HEX2DEC(RIGHT(Table132321[[#This Row],[h1]],8))</f>
        <v>0</v>
      </c>
      <c r="Q1110" s="45" t="s">
        <v>149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149</v>
      </c>
      <c r="P1111" s="45">
        <f>HEX2DEC(RIGHT(Table132321[[#This Row],[h1]],8))</f>
        <v>0</v>
      </c>
      <c r="Q1111" s="45" t="s">
        <v>149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149</v>
      </c>
      <c r="P1112" s="45">
        <f>HEX2DEC(RIGHT(Table132321[[#This Row],[h1]],8))</f>
        <v>0</v>
      </c>
      <c r="Q1112" s="45" t="s">
        <v>149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149</v>
      </c>
      <c r="P1113" s="45">
        <f>HEX2DEC(RIGHT(Table132321[[#This Row],[h1]],8))</f>
        <v>0</v>
      </c>
      <c r="Q1113" s="45" t="s">
        <v>149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149</v>
      </c>
      <c r="P1114" s="45">
        <f>HEX2DEC(RIGHT(Table132321[[#This Row],[h1]],8))</f>
        <v>0</v>
      </c>
      <c r="Q1114" s="45" t="s">
        <v>149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149</v>
      </c>
      <c r="P1115" s="45">
        <f>HEX2DEC(RIGHT(Table132321[[#This Row],[h1]],8))</f>
        <v>0</v>
      </c>
      <c r="Q1115" s="45" t="s">
        <v>149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149</v>
      </c>
      <c r="P1116" s="45">
        <f>HEX2DEC(RIGHT(Table132321[[#This Row],[h1]],8))</f>
        <v>0</v>
      </c>
      <c r="Q1116" s="45" t="s">
        <v>149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149</v>
      </c>
      <c r="P1117" s="45">
        <f>HEX2DEC(RIGHT(Table132321[[#This Row],[h1]],8))</f>
        <v>0</v>
      </c>
      <c r="Q1117" s="45" t="s">
        <v>149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149</v>
      </c>
      <c r="P1118" s="45">
        <f>HEX2DEC(RIGHT(Table132321[[#This Row],[h1]],8))</f>
        <v>0</v>
      </c>
      <c r="Q1118" s="45" t="s">
        <v>149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149</v>
      </c>
      <c r="P1119" s="45">
        <f>HEX2DEC(RIGHT(Table132321[[#This Row],[h1]],8))</f>
        <v>0</v>
      </c>
      <c r="Q1119" s="45" t="s">
        <v>149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149</v>
      </c>
      <c r="P1120" s="45">
        <f>HEX2DEC(RIGHT(Table132321[[#This Row],[h1]],8))</f>
        <v>0</v>
      </c>
      <c r="Q1120" s="45" t="s">
        <v>149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149</v>
      </c>
      <c r="P1121" s="45">
        <f>HEX2DEC(RIGHT(Table132321[[#This Row],[h1]],8))</f>
        <v>0</v>
      </c>
      <c r="Q1121" s="45" t="s">
        <v>149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149</v>
      </c>
      <c r="P1122" s="45">
        <f>HEX2DEC(RIGHT(Table132321[[#This Row],[h1]],8))</f>
        <v>0</v>
      </c>
      <c r="Q1122" s="45" t="s">
        <v>149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149</v>
      </c>
      <c r="P1123" s="45">
        <f>HEX2DEC(RIGHT(Table132321[[#This Row],[h1]],8))</f>
        <v>0</v>
      </c>
      <c r="Q1123" s="45" t="s">
        <v>149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149</v>
      </c>
      <c r="P1124" s="45">
        <f>HEX2DEC(RIGHT(Table132321[[#This Row],[h1]],8))</f>
        <v>0</v>
      </c>
      <c r="Q1124" s="45" t="s">
        <v>149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149</v>
      </c>
      <c r="P1125" s="45">
        <f>HEX2DEC(RIGHT(Table132321[[#This Row],[h1]],8))</f>
        <v>0</v>
      </c>
      <c r="Q1125" s="45" t="s">
        <v>149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149</v>
      </c>
      <c r="P1126" s="45">
        <f>HEX2DEC(RIGHT(Table132321[[#This Row],[h1]],8))</f>
        <v>0</v>
      </c>
      <c r="Q1126" s="45" t="s">
        <v>149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149</v>
      </c>
      <c r="P1127" s="45">
        <f>HEX2DEC(RIGHT(Table132321[[#This Row],[h1]],8))</f>
        <v>0</v>
      </c>
      <c r="Q1127" s="45" t="s">
        <v>149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149</v>
      </c>
      <c r="P1128" s="45">
        <f>HEX2DEC(RIGHT(Table132321[[#This Row],[h1]],8))</f>
        <v>0</v>
      </c>
      <c r="Q1128" s="45" t="s">
        <v>149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149</v>
      </c>
      <c r="P1129" s="45">
        <f>HEX2DEC(RIGHT(Table132321[[#This Row],[h1]],8))</f>
        <v>0</v>
      </c>
      <c r="Q1129" s="45" t="s">
        <v>149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149</v>
      </c>
      <c r="P1130" s="45">
        <f>HEX2DEC(RIGHT(Table132321[[#This Row],[h1]],8))</f>
        <v>0</v>
      </c>
      <c r="Q1130" s="45" t="s">
        <v>149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149</v>
      </c>
      <c r="P1131" s="45">
        <f>HEX2DEC(RIGHT(Table132321[[#This Row],[h1]],8))</f>
        <v>0</v>
      </c>
      <c r="Q1131" s="45" t="s">
        <v>149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149</v>
      </c>
      <c r="P1132" s="45">
        <f>HEX2DEC(RIGHT(Table132321[[#This Row],[h1]],8))</f>
        <v>0</v>
      </c>
      <c r="Q1132" s="45" t="s">
        <v>149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149</v>
      </c>
      <c r="P1133" s="45">
        <f>HEX2DEC(RIGHT(Table132321[[#This Row],[h1]],8))</f>
        <v>0</v>
      </c>
      <c r="Q1133" s="45" t="s">
        <v>149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149</v>
      </c>
      <c r="P1134" s="45">
        <f>HEX2DEC(RIGHT(Table132321[[#This Row],[h1]],8))</f>
        <v>0</v>
      </c>
      <c r="Q1134" s="45" t="s">
        <v>149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149</v>
      </c>
      <c r="P1135" s="45">
        <f>HEX2DEC(RIGHT(Table132321[[#This Row],[h1]],8))</f>
        <v>0</v>
      </c>
      <c r="Q1135" s="45" t="s">
        <v>149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149</v>
      </c>
      <c r="P1136" s="45">
        <f>HEX2DEC(RIGHT(Table132321[[#This Row],[h1]],8))</f>
        <v>0</v>
      </c>
      <c r="Q1136" s="45" t="s">
        <v>149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149</v>
      </c>
      <c r="P1137" s="45">
        <f>HEX2DEC(RIGHT(Table132321[[#This Row],[h1]],8))</f>
        <v>0</v>
      </c>
      <c r="Q1137" s="45" t="s">
        <v>149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149</v>
      </c>
      <c r="P1138" s="45">
        <f>HEX2DEC(RIGHT(Table132321[[#This Row],[h1]],8))</f>
        <v>0</v>
      </c>
      <c r="Q1138" s="45" t="s">
        <v>149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149</v>
      </c>
      <c r="P1139" s="45">
        <f>HEX2DEC(RIGHT(Table132321[[#This Row],[h1]],8))</f>
        <v>0</v>
      </c>
      <c r="Q1139" s="45" t="s">
        <v>149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149</v>
      </c>
      <c r="P1140" s="45">
        <f>HEX2DEC(RIGHT(Table132321[[#This Row],[h1]],8))</f>
        <v>0</v>
      </c>
      <c r="Q1140" s="45" t="s">
        <v>149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149</v>
      </c>
      <c r="P1141" s="45">
        <f>HEX2DEC(RIGHT(Table132321[[#This Row],[h1]],8))</f>
        <v>0</v>
      </c>
      <c r="Q1141" s="45" t="s">
        <v>149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149</v>
      </c>
      <c r="P1142" s="45">
        <f>HEX2DEC(RIGHT(Table132321[[#This Row],[h1]],8))</f>
        <v>0</v>
      </c>
      <c r="Q1142" s="45" t="s">
        <v>149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149</v>
      </c>
      <c r="P1143" s="45">
        <f>HEX2DEC(RIGHT(Table132321[[#This Row],[h1]],8))</f>
        <v>0</v>
      </c>
      <c r="Q1143" s="45" t="s">
        <v>149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149</v>
      </c>
      <c r="P1144" s="45">
        <f>HEX2DEC(RIGHT(Table132321[[#This Row],[h1]],8))</f>
        <v>0</v>
      </c>
      <c r="Q1144" s="45" t="s">
        <v>149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149</v>
      </c>
      <c r="P1145" s="45">
        <f>HEX2DEC(RIGHT(Table132321[[#This Row],[h1]],8))</f>
        <v>0</v>
      </c>
      <c r="Q1145" s="45" t="s">
        <v>149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149</v>
      </c>
      <c r="P1146" s="45">
        <f>HEX2DEC(RIGHT(Table132321[[#This Row],[h1]],8))</f>
        <v>0</v>
      </c>
      <c r="Q1146" s="45" t="s">
        <v>149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149</v>
      </c>
      <c r="P1147" s="45">
        <f>HEX2DEC(RIGHT(Table132321[[#This Row],[h1]],8))</f>
        <v>0</v>
      </c>
      <c r="Q1147" s="45" t="s">
        <v>149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149</v>
      </c>
      <c r="P1148" s="45">
        <f>HEX2DEC(RIGHT(Table132321[[#This Row],[h1]],8))</f>
        <v>0</v>
      </c>
      <c r="Q1148" s="45" t="s">
        <v>149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149</v>
      </c>
      <c r="P1149" s="45">
        <f>HEX2DEC(RIGHT(Table132321[[#This Row],[h1]],8))</f>
        <v>0</v>
      </c>
      <c r="Q1149" s="45" t="s">
        <v>149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149</v>
      </c>
      <c r="P1150" s="45">
        <f>HEX2DEC(RIGHT(Table132321[[#This Row],[h1]],8))</f>
        <v>0</v>
      </c>
      <c r="Q1150" s="45" t="s">
        <v>149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149</v>
      </c>
      <c r="P1151" s="45">
        <f>HEX2DEC(RIGHT(Table132321[[#This Row],[h1]],8))</f>
        <v>0</v>
      </c>
      <c r="Q1151" s="45" t="s">
        <v>149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149</v>
      </c>
      <c r="P1152" s="45">
        <f>HEX2DEC(RIGHT(Table132321[[#This Row],[h1]],8))</f>
        <v>0</v>
      </c>
      <c r="Q1152" s="45" t="s">
        <v>149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149</v>
      </c>
      <c r="P1153" s="45">
        <f>HEX2DEC(RIGHT(Table132321[[#This Row],[h1]],8))</f>
        <v>0</v>
      </c>
      <c r="Q1153" s="45" t="s">
        <v>149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149</v>
      </c>
      <c r="P1154" s="45">
        <f>HEX2DEC(RIGHT(Table132321[[#This Row],[h1]],8))</f>
        <v>0</v>
      </c>
      <c r="Q1154" s="45" t="s">
        <v>149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149</v>
      </c>
      <c r="P1155" s="45">
        <f>HEX2DEC(RIGHT(Table132321[[#This Row],[h1]],8))</f>
        <v>0</v>
      </c>
      <c r="Q1155" s="45" t="s">
        <v>149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149</v>
      </c>
      <c r="P1156" s="45">
        <f>HEX2DEC(RIGHT(Table132321[[#This Row],[h1]],8))</f>
        <v>0</v>
      </c>
      <c r="Q1156" s="45" t="s">
        <v>149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149</v>
      </c>
      <c r="P1157" s="45">
        <f>HEX2DEC(RIGHT(Table132321[[#This Row],[h1]],8))</f>
        <v>0</v>
      </c>
      <c r="Q1157" s="45" t="s">
        <v>149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149</v>
      </c>
      <c r="P1158" s="45">
        <f>HEX2DEC(RIGHT(Table132321[[#This Row],[h1]],8))</f>
        <v>0</v>
      </c>
      <c r="Q1158" s="45" t="s">
        <v>149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149</v>
      </c>
      <c r="P1159" s="45">
        <f>HEX2DEC(RIGHT(Table132321[[#This Row],[h1]],8))</f>
        <v>0</v>
      </c>
      <c r="Q1159" s="45" t="s">
        <v>149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149</v>
      </c>
      <c r="P1160" s="45">
        <f>HEX2DEC(RIGHT(Table132321[[#This Row],[h1]],8))</f>
        <v>0</v>
      </c>
      <c r="Q1160" s="45" t="s">
        <v>149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149</v>
      </c>
      <c r="P1161" s="45">
        <f>HEX2DEC(RIGHT(Table132321[[#This Row],[h1]],8))</f>
        <v>0</v>
      </c>
      <c r="Q1161" s="45" t="s">
        <v>149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149</v>
      </c>
      <c r="P1162" s="45">
        <f>HEX2DEC(RIGHT(Table132321[[#This Row],[h1]],8))</f>
        <v>0</v>
      </c>
      <c r="Q1162" s="45" t="s">
        <v>149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149</v>
      </c>
      <c r="P1163" s="45">
        <f>HEX2DEC(RIGHT(Table132321[[#This Row],[h1]],8))</f>
        <v>0</v>
      </c>
      <c r="Q1163" s="45" t="s">
        <v>149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149</v>
      </c>
      <c r="P1164" s="45">
        <f>HEX2DEC(RIGHT(Table132321[[#This Row],[h1]],8))</f>
        <v>0</v>
      </c>
      <c r="Q1164" s="45" t="s">
        <v>149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149</v>
      </c>
      <c r="P1165" s="45">
        <f>HEX2DEC(RIGHT(Table132321[[#This Row],[h1]],8))</f>
        <v>0</v>
      </c>
      <c r="Q1165" s="45" t="s">
        <v>149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149</v>
      </c>
      <c r="P1166" s="45">
        <f>HEX2DEC(RIGHT(Table132321[[#This Row],[h1]],8))</f>
        <v>0</v>
      </c>
      <c r="Q1166" s="45" t="s">
        <v>149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149</v>
      </c>
      <c r="P1167" s="45">
        <f>HEX2DEC(RIGHT(Table132321[[#This Row],[h1]],8))</f>
        <v>0</v>
      </c>
      <c r="Q1167" s="45" t="s">
        <v>149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149</v>
      </c>
      <c r="P1168" s="45">
        <f>HEX2DEC(RIGHT(Table132321[[#This Row],[h1]],8))</f>
        <v>0</v>
      </c>
      <c r="Q1168" s="45" t="s">
        <v>149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149</v>
      </c>
      <c r="P1169" s="45">
        <f>HEX2DEC(RIGHT(Table132321[[#This Row],[h1]],8))</f>
        <v>0</v>
      </c>
      <c r="Q1169" s="45" t="s">
        <v>149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149</v>
      </c>
      <c r="P1170" s="45">
        <f>HEX2DEC(RIGHT(Table132321[[#This Row],[h1]],8))</f>
        <v>0</v>
      </c>
      <c r="Q1170" s="45" t="s">
        <v>149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149</v>
      </c>
      <c r="P1171" s="45">
        <f>HEX2DEC(RIGHT(Table132321[[#This Row],[h1]],8))</f>
        <v>0</v>
      </c>
      <c r="Q1171" s="45" t="s">
        <v>149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149</v>
      </c>
      <c r="P1172" s="45">
        <f>HEX2DEC(RIGHT(Table132321[[#This Row],[h1]],8))</f>
        <v>0</v>
      </c>
      <c r="Q1172" s="45" t="s">
        <v>149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149</v>
      </c>
      <c r="P1173" s="45">
        <f>HEX2DEC(RIGHT(Table132321[[#This Row],[h1]],8))</f>
        <v>0</v>
      </c>
      <c r="Q1173" s="45" t="s">
        <v>149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149</v>
      </c>
      <c r="P1174" s="45">
        <f>HEX2DEC(RIGHT(Table132321[[#This Row],[h1]],8))</f>
        <v>0</v>
      </c>
      <c r="Q1174" s="45" t="s">
        <v>149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149</v>
      </c>
      <c r="P1175" s="45">
        <f>HEX2DEC(RIGHT(Table132321[[#This Row],[h1]],8))</f>
        <v>0</v>
      </c>
      <c r="Q1175" s="45" t="s">
        <v>149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149</v>
      </c>
      <c r="P1176" s="45">
        <f>HEX2DEC(RIGHT(Table132321[[#This Row],[h1]],8))</f>
        <v>0</v>
      </c>
      <c r="Q1176" s="45" t="s">
        <v>149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149</v>
      </c>
      <c r="P1177" s="45">
        <f>HEX2DEC(RIGHT(Table132321[[#This Row],[h1]],8))</f>
        <v>0</v>
      </c>
      <c r="Q1177" s="45" t="s">
        <v>149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149</v>
      </c>
      <c r="P1178" s="45">
        <f>HEX2DEC(RIGHT(Table132321[[#This Row],[h1]],8))</f>
        <v>0</v>
      </c>
      <c r="Q1178" s="45" t="s">
        <v>149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149</v>
      </c>
      <c r="P1179" s="45">
        <f>HEX2DEC(RIGHT(Table132321[[#This Row],[h1]],8))</f>
        <v>0</v>
      </c>
      <c r="Q1179" s="45" t="s">
        <v>149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149</v>
      </c>
      <c r="P1180" s="45">
        <f>HEX2DEC(RIGHT(Table132321[[#This Row],[h1]],8))</f>
        <v>0</v>
      </c>
      <c r="Q1180" s="45" t="s">
        <v>149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149</v>
      </c>
      <c r="P1181" s="45">
        <f>HEX2DEC(RIGHT(Table132321[[#This Row],[h1]],8))</f>
        <v>0</v>
      </c>
      <c r="Q1181" s="45" t="s">
        <v>149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149</v>
      </c>
      <c r="P1182" s="45">
        <f>HEX2DEC(RIGHT(Table132321[[#This Row],[h1]],8))</f>
        <v>0</v>
      </c>
      <c r="Q1182" s="45" t="s">
        <v>149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149</v>
      </c>
      <c r="P1183" s="45">
        <f>HEX2DEC(RIGHT(Table132321[[#This Row],[h1]],8))</f>
        <v>0</v>
      </c>
      <c r="Q1183" s="45" t="s">
        <v>149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149</v>
      </c>
      <c r="P1184" s="45">
        <f>HEX2DEC(RIGHT(Table132321[[#This Row],[h1]],8))</f>
        <v>0</v>
      </c>
      <c r="Q1184" s="45" t="s">
        <v>149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149</v>
      </c>
      <c r="P1185" s="45">
        <f>HEX2DEC(RIGHT(Table132321[[#This Row],[h1]],8))</f>
        <v>0</v>
      </c>
      <c r="Q1185" s="45" t="s">
        <v>149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149</v>
      </c>
      <c r="P1186" s="45">
        <f>HEX2DEC(RIGHT(Table132321[[#This Row],[h1]],8))</f>
        <v>0</v>
      </c>
      <c r="Q1186" s="45" t="s">
        <v>149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149</v>
      </c>
      <c r="P1187" s="45">
        <f>HEX2DEC(RIGHT(Table132321[[#This Row],[h1]],8))</f>
        <v>0</v>
      </c>
      <c r="Q1187" s="45" t="s">
        <v>149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149</v>
      </c>
      <c r="P1188" s="45">
        <f>HEX2DEC(RIGHT(Table132321[[#This Row],[h1]],8))</f>
        <v>0</v>
      </c>
      <c r="Q1188" s="45" t="s">
        <v>149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149</v>
      </c>
      <c r="P1189" s="45">
        <f>HEX2DEC(RIGHT(Table132321[[#This Row],[h1]],8))</f>
        <v>0</v>
      </c>
      <c r="Q1189" s="45" t="s">
        <v>149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149</v>
      </c>
      <c r="P1190" s="45">
        <f>HEX2DEC(RIGHT(Table132321[[#This Row],[h1]],8))</f>
        <v>0</v>
      </c>
      <c r="Q1190" s="45" t="s">
        <v>149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149</v>
      </c>
      <c r="P1191" s="45">
        <f>HEX2DEC(RIGHT(Table132321[[#This Row],[h1]],8))</f>
        <v>0</v>
      </c>
      <c r="Q1191" s="45" t="s">
        <v>149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149</v>
      </c>
      <c r="P1192" s="45">
        <f>HEX2DEC(RIGHT(Table132321[[#This Row],[h1]],8))</f>
        <v>0</v>
      </c>
      <c r="Q1192" s="45" t="s">
        <v>149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149</v>
      </c>
      <c r="P1193" s="45">
        <f>HEX2DEC(RIGHT(Table132321[[#This Row],[h1]],8))</f>
        <v>0</v>
      </c>
      <c r="Q1193" s="45" t="s">
        <v>149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149</v>
      </c>
      <c r="P1194" s="45">
        <f>HEX2DEC(RIGHT(Table132321[[#This Row],[h1]],8))</f>
        <v>0</v>
      </c>
      <c r="Q1194" s="45" t="s">
        <v>149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149</v>
      </c>
      <c r="P1195" s="45">
        <f>HEX2DEC(RIGHT(Table132321[[#This Row],[h1]],8))</f>
        <v>0</v>
      </c>
      <c r="Q1195" s="45" t="s">
        <v>149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149</v>
      </c>
      <c r="P1196" s="45">
        <f>HEX2DEC(RIGHT(Table132321[[#This Row],[h1]],8))</f>
        <v>0</v>
      </c>
      <c r="Q1196" s="45" t="s">
        <v>149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149</v>
      </c>
      <c r="P1197" s="45">
        <f>HEX2DEC(RIGHT(Table132321[[#This Row],[h1]],8))</f>
        <v>0</v>
      </c>
      <c r="Q1197" s="45" t="s">
        <v>149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149</v>
      </c>
      <c r="P1198" s="45">
        <f>HEX2DEC(RIGHT(Table132321[[#This Row],[h1]],8))</f>
        <v>0</v>
      </c>
      <c r="Q1198" s="45" t="s">
        <v>149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149</v>
      </c>
      <c r="P1199" s="45">
        <f>HEX2DEC(RIGHT(Table132321[[#This Row],[h1]],8))</f>
        <v>0</v>
      </c>
      <c r="Q1199" s="45" t="s">
        <v>149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149</v>
      </c>
      <c r="P1200" s="45">
        <f>HEX2DEC(RIGHT(Table132321[[#This Row],[h1]],8))</f>
        <v>0</v>
      </c>
      <c r="Q1200" s="45" t="s">
        <v>149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149</v>
      </c>
      <c r="P1201" s="45">
        <f>HEX2DEC(RIGHT(Table132321[[#This Row],[h1]],8))</f>
        <v>0</v>
      </c>
      <c r="Q1201" s="45" t="s">
        <v>149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149</v>
      </c>
      <c r="P1202" s="45">
        <f>HEX2DEC(RIGHT(Table132321[[#This Row],[h1]],8))</f>
        <v>0</v>
      </c>
      <c r="Q1202" s="45" t="s">
        <v>149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149</v>
      </c>
      <c r="P1203" s="45">
        <f>HEX2DEC(RIGHT(Table132321[[#This Row],[h1]],8))</f>
        <v>0</v>
      </c>
      <c r="Q1203" s="45" t="s">
        <v>149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149</v>
      </c>
      <c r="P1204" s="45">
        <f>HEX2DEC(RIGHT(Table132321[[#This Row],[h1]],8))</f>
        <v>0</v>
      </c>
      <c r="Q1204" s="45" t="s">
        <v>149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149</v>
      </c>
      <c r="P1205" s="45">
        <f>HEX2DEC(RIGHT(Table132321[[#This Row],[h1]],8))</f>
        <v>0</v>
      </c>
      <c r="Q1205" s="45" t="s">
        <v>149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149</v>
      </c>
      <c r="P1206" s="45">
        <f>HEX2DEC(RIGHT(Table132321[[#This Row],[h1]],8))</f>
        <v>0</v>
      </c>
      <c r="Q1206" s="45" t="s">
        <v>149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149</v>
      </c>
      <c r="P1207" s="45">
        <f>HEX2DEC(RIGHT(Table132321[[#This Row],[h1]],8))</f>
        <v>0</v>
      </c>
      <c r="Q1207" s="45" t="s">
        <v>149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149</v>
      </c>
      <c r="P1208" s="45">
        <f>HEX2DEC(RIGHT(Table132321[[#This Row],[h1]],8))</f>
        <v>0</v>
      </c>
      <c r="Q1208" s="45" t="s">
        <v>149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149</v>
      </c>
      <c r="P1209" s="45">
        <f>HEX2DEC(RIGHT(Table132321[[#This Row],[h1]],8))</f>
        <v>0</v>
      </c>
      <c r="Q1209" s="45" t="s">
        <v>149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149</v>
      </c>
      <c r="P1210" s="45">
        <f>HEX2DEC(RIGHT(Table132321[[#This Row],[h1]],8))</f>
        <v>0</v>
      </c>
      <c r="Q1210" s="45" t="s">
        <v>149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149</v>
      </c>
      <c r="P1211" s="45">
        <f>HEX2DEC(RIGHT(Table132321[[#This Row],[h1]],8))</f>
        <v>0</v>
      </c>
      <c r="Q1211" s="45" t="s">
        <v>149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149</v>
      </c>
      <c r="P1212" s="45">
        <f>HEX2DEC(RIGHT(Table132321[[#This Row],[h1]],8))</f>
        <v>0</v>
      </c>
      <c r="Q1212" s="45" t="s">
        <v>149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149</v>
      </c>
      <c r="P1213" s="45">
        <f>HEX2DEC(RIGHT(Table132321[[#This Row],[h1]],8))</f>
        <v>0</v>
      </c>
      <c r="Q1213" s="45" t="s">
        <v>149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149</v>
      </c>
      <c r="P1214" s="45">
        <f>HEX2DEC(RIGHT(Table132321[[#This Row],[h1]],8))</f>
        <v>0</v>
      </c>
      <c r="Q1214" s="45" t="s">
        <v>149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149</v>
      </c>
      <c r="P1215" s="45">
        <f>HEX2DEC(RIGHT(Table132321[[#This Row],[h1]],8))</f>
        <v>0</v>
      </c>
      <c r="Q1215" s="45" t="s">
        <v>149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149</v>
      </c>
      <c r="P1216" s="45">
        <f>HEX2DEC(RIGHT(Table132321[[#This Row],[h1]],8))</f>
        <v>0</v>
      </c>
      <c r="Q1216" s="45" t="s">
        <v>149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149</v>
      </c>
      <c r="P1217" s="45">
        <f>HEX2DEC(RIGHT(Table132321[[#This Row],[h1]],8))</f>
        <v>0</v>
      </c>
      <c r="Q1217" s="45" t="s">
        <v>149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149</v>
      </c>
      <c r="P1218" s="45">
        <f>HEX2DEC(RIGHT(Table132321[[#This Row],[h1]],8))</f>
        <v>0</v>
      </c>
      <c r="Q1218" s="45" t="s">
        <v>149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149</v>
      </c>
      <c r="P1219" s="45">
        <f>HEX2DEC(RIGHT(Table132321[[#This Row],[h1]],8))</f>
        <v>0</v>
      </c>
      <c r="Q1219" s="45" t="s">
        <v>149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149</v>
      </c>
      <c r="P1220" s="45">
        <f>HEX2DEC(RIGHT(Table132321[[#This Row],[h1]],8))</f>
        <v>0</v>
      </c>
      <c r="Q1220" s="45" t="s">
        <v>149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149</v>
      </c>
      <c r="P1221" s="45">
        <f>HEX2DEC(RIGHT(Table132321[[#This Row],[h1]],8))</f>
        <v>0</v>
      </c>
      <c r="Q1221" s="45" t="s">
        <v>149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149</v>
      </c>
      <c r="P1222" s="45">
        <f>HEX2DEC(RIGHT(Table132321[[#This Row],[h1]],8))</f>
        <v>0</v>
      </c>
      <c r="Q1222" s="45" t="s">
        <v>149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149</v>
      </c>
      <c r="P1223" s="45">
        <f>HEX2DEC(RIGHT(Table132321[[#This Row],[h1]],8))</f>
        <v>0</v>
      </c>
      <c r="Q1223" s="45" t="s">
        <v>149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149</v>
      </c>
      <c r="P1224" s="45">
        <f>HEX2DEC(RIGHT(Table132321[[#This Row],[h1]],8))</f>
        <v>0</v>
      </c>
      <c r="Q1224" s="45" t="s">
        <v>149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149</v>
      </c>
      <c r="P1225" s="45">
        <f>HEX2DEC(RIGHT(Table132321[[#This Row],[h1]],8))</f>
        <v>0</v>
      </c>
      <c r="Q1225" s="45" t="s">
        <v>149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149</v>
      </c>
      <c r="P1226" s="45">
        <f>HEX2DEC(RIGHT(Table132321[[#This Row],[h1]],8))</f>
        <v>0</v>
      </c>
      <c r="Q1226" s="45" t="s">
        <v>149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149</v>
      </c>
      <c r="P1227" s="45">
        <f>HEX2DEC(RIGHT(Table132321[[#This Row],[h1]],8))</f>
        <v>0</v>
      </c>
      <c r="Q1227" s="45" t="s">
        <v>149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149</v>
      </c>
      <c r="P1228" s="45">
        <f>HEX2DEC(RIGHT(Table132321[[#This Row],[h1]],8))</f>
        <v>0</v>
      </c>
      <c r="Q1228" s="45" t="s">
        <v>149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149</v>
      </c>
      <c r="P1229" s="45">
        <f>HEX2DEC(RIGHT(Table132321[[#This Row],[h1]],8))</f>
        <v>0</v>
      </c>
      <c r="Q1229" s="45" t="s">
        <v>149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149</v>
      </c>
      <c r="P1230" s="45">
        <f>HEX2DEC(RIGHT(Table132321[[#This Row],[h1]],8))</f>
        <v>0</v>
      </c>
      <c r="Q1230" s="45" t="s">
        <v>149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149</v>
      </c>
      <c r="P1231" s="45">
        <f>HEX2DEC(RIGHT(Table132321[[#This Row],[h1]],8))</f>
        <v>0</v>
      </c>
      <c r="Q1231" s="45" t="s">
        <v>149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149</v>
      </c>
      <c r="P1232" s="45">
        <f>HEX2DEC(RIGHT(Table132321[[#This Row],[h1]],8))</f>
        <v>0</v>
      </c>
      <c r="Q1232" s="45" t="s">
        <v>149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149</v>
      </c>
      <c r="P1233" s="45">
        <f>HEX2DEC(RIGHT(Table132321[[#This Row],[h1]],8))</f>
        <v>0</v>
      </c>
      <c r="Q1233" s="45" t="s">
        <v>149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149</v>
      </c>
      <c r="P1234" s="45">
        <f>HEX2DEC(RIGHT(Table132321[[#This Row],[h1]],8))</f>
        <v>0</v>
      </c>
      <c r="Q1234" s="45" t="s">
        <v>149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149</v>
      </c>
      <c r="P1235" s="45">
        <f>HEX2DEC(RIGHT(Table132321[[#This Row],[h1]],8))</f>
        <v>0</v>
      </c>
      <c r="Q1235" s="45" t="s">
        <v>149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149</v>
      </c>
      <c r="P1236" s="45">
        <f>HEX2DEC(RIGHT(Table132321[[#This Row],[h1]],8))</f>
        <v>0</v>
      </c>
      <c r="Q1236" s="45" t="s">
        <v>149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149</v>
      </c>
      <c r="P1237" s="45">
        <f>HEX2DEC(RIGHT(Table132321[[#This Row],[h1]],8))</f>
        <v>0</v>
      </c>
      <c r="Q1237" s="45" t="s">
        <v>149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149</v>
      </c>
      <c r="P1238" s="45">
        <f>HEX2DEC(RIGHT(Table132321[[#This Row],[h1]],8))</f>
        <v>0</v>
      </c>
      <c r="Q1238" s="45" t="s">
        <v>149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149</v>
      </c>
      <c r="P1239" s="45">
        <f>HEX2DEC(RIGHT(Table132321[[#This Row],[h1]],8))</f>
        <v>0</v>
      </c>
      <c r="Q1239" s="45" t="s">
        <v>149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149</v>
      </c>
      <c r="P1240" s="45">
        <f>HEX2DEC(RIGHT(Table132321[[#This Row],[h1]],8))</f>
        <v>0</v>
      </c>
      <c r="Q1240" s="45" t="s">
        <v>149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149</v>
      </c>
      <c r="P1241" s="45">
        <f>HEX2DEC(RIGHT(Table132321[[#This Row],[h1]],8))</f>
        <v>0</v>
      </c>
      <c r="Q1241" s="45" t="s">
        <v>149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149</v>
      </c>
      <c r="P1242" s="45">
        <f>HEX2DEC(RIGHT(Table132321[[#This Row],[h1]],8))</f>
        <v>0</v>
      </c>
      <c r="Q1242" s="45" t="s">
        <v>149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149</v>
      </c>
      <c r="P1243" s="45">
        <f>HEX2DEC(RIGHT(Table132321[[#This Row],[h1]],8))</f>
        <v>0</v>
      </c>
      <c r="Q1243" s="45" t="s">
        <v>149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149</v>
      </c>
      <c r="P1244" s="45">
        <f>HEX2DEC(RIGHT(Table132321[[#This Row],[h1]],8))</f>
        <v>0</v>
      </c>
      <c r="Q1244" s="45" t="s">
        <v>149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149</v>
      </c>
      <c r="P1245" s="45">
        <f>HEX2DEC(RIGHT(Table132321[[#This Row],[h1]],8))</f>
        <v>0</v>
      </c>
      <c r="Q1245" s="45" t="s">
        <v>149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149</v>
      </c>
      <c r="P1246" s="45">
        <f>HEX2DEC(RIGHT(Table132321[[#This Row],[h1]],8))</f>
        <v>0</v>
      </c>
      <c r="Q1246" s="45" t="s">
        <v>149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149</v>
      </c>
      <c r="P1247" s="45">
        <f>HEX2DEC(RIGHT(Table132321[[#This Row],[h1]],8))</f>
        <v>0</v>
      </c>
      <c r="Q1247" s="45" t="s">
        <v>149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149</v>
      </c>
      <c r="P1248" s="45">
        <f>HEX2DEC(RIGHT(Table132321[[#This Row],[h1]],8))</f>
        <v>0</v>
      </c>
      <c r="Q1248" s="45" t="s">
        <v>149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149</v>
      </c>
      <c r="P1249" s="45">
        <f>HEX2DEC(RIGHT(Table132321[[#This Row],[h1]],8))</f>
        <v>0</v>
      </c>
      <c r="Q1249" s="45" t="s">
        <v>149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149</v>
      </c>
      <c r="P1250" s="45">
        <f>HEX2DEC(RIGHT(Table132321[[#This Row],[h1]],8))</f>
        <v>0</v>
      </c>
      <c r="Q1250" s="45" t="s">
        <v>149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149</v>
      </c>
      <c r="P1251" s="45">
        <f>HEX2DEC(RIGHT(Table132321[[#This Row],[h1]],8))</f>
        <v>0</v>
      </c>
      <c r="Q1251" s="45" t="s">
        <v>149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149</v>
      </c>
      <c r="P1252" s="45">
        <f>HEX2DEC(RIGHT(Table132321[[#This Row],[h1]],8))</f>
        <v>0</v>
      </c>
      <c r="Q1252" s="45" t="s">
        <v>149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149</v>
      </c>
      <c r="P1253" s="45">
        <f>HEX2DEC(RIGHT(Table132321[[#This Row],[h1]],8))</f>
        <v>0</v>
      </c>
      <c r="Q1253" s="45" t="s">
        <v>149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149</v>
      </c>
      <c r="P1254" s="45">
        <f>HEX2DEC(RIGHT(Table132321[[#This Row],[h1]],8))</f>
        <v>0</v>
      </c>
      <c r="Q1254" s="45" t="s">
        <v>149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149</v>
      </c>
      <c r="P1255" s="45">
        <f>HEX2DEC(RIGHT(Table132321[[#This Row],[h1]],8))</f>
        <v>0</v>
      </c>
      <c r="Q1255" s="45" t="s">
        <v>149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149</v>
      </c>
      <c r="P1256" s="45">
        <f>HEX2DEC(RIGHT(Table132321[[#This Row],[h1]],8))</f>
        <v>0</v>
      </c>
      <c r="Q1256" s="45" t="s">
        <v>149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149</v>
      </c>
      <c r="P1257" s="45">
        <f>HEX2DEC(RIGHT(Table132321[[#This Row],[h1]],8))</f>
        <v>0</v>
      </c>
      <c r="Q1257" s="45" t="s">
        <v>149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149</v>
      </c>
      <c r="P1258" s="45">
        <f>HEX2DEC(RIGHT(Table132321[[#This Row],[h1]],8))</f>
        <v>0</v>
      </c>
      <c r="Q1258" s="45" t="s">
        <v>149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149</v>
      </c>
      <c r="P1259" s="45">
        <f>HEX2DEC(RIGHT(Table132321[[#This Row],[h1]],8))</f>
        <v>0</v>
      </c>
      <c r="Q1259" s="45" t="s">
        <v>149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149</v>
      </c>
      <c r="P1260" s="45">
        <f>HEX2DEC(RIGHT(Table132321[[#This Row],[h1]],8))</f>
        <v>0</v>
      </c>
      <c r="Q1260" s="45" t="s">
        <v>149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149</v>
      </c>
      <c r="P1261" s="45">
        <f>HEX2DEC(RIGHT(Table132321[[#This Row],[h1]],8))</f>
        <v>0</v>
      </c>
      <c r="Q1261" s="45" t="s">
        <v>149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149</v>
      </c>
      <c r="P1262" s="45">
        <f>HEX2DEC(RIGHT(Table132321[[#This Row],[h1]],8))</f>
        <v>0</v>
      </c>
      <c r="Q1262" s="45" t="s">
        <v>149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149</v>
      </c>
      <c r="P1263" s="45">
        <f>HEX2DEC(RIGHT(Table132321[[#This Row],[h1]],8))</f>
        <v>0</v>
      </c>
      <c r="Q1263" s="45" t="s">
        <v>149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149</v>
      </c>
      <c r="P1264" s="45">
        <f>HEX2DEC(RIGHT(Table132321[[#This Row],[h1]],8))</f>
        <v>0</v>
      </c>
      <c r="Q1264" s="45" t="s">
        <v>149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149</v>
      </c>
      <c r="P1265" s="45">
        <f>HEX2DEC(RIGHT(Table132321[[#This Row],[h1]],8))</f>
        <v>0</v>
      </c>
      <c r="Q1265" s="45" t="s">
        <v>149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149</v>
      </c>
      <c r="P1266" s="45">
        <f>HEX2DEC(RIGHT(Table132321[[#This Row],[h1]],8))</f>
        <v>0</v>
      </c>
      <c r="Q1266" s="45" t="s">
        <v>149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149</v>
      </c>
      <c r="P1267" s="45">
        <f>HEX2DEC(RIGHT(Table132321[[#This Row],[h1]],8))</f>
        <v>0</v>
      </c>
      <c r="Q1267" s="45" t="s">
        <v>149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149</v>
      </c>
      <c r="P1268" s="45">
        <f>HEX2DEC(RIGHT(Table132321[[#This Row],[h1]],8))</f>
        <v>0</v>
      </c>
      <c r="Q1268" s="45" t="s">
        <v>149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149</v>
      </c>
      <c r="P1269" s="45">
        <f>HEX2DEC(RIGHT(Table132321[[#This Row],[h1]],8))</f>
        <v>0</v>
      </c>
      <c r="Q1269" s="45" t="s">
        <v>149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149</v>
      </c>
      <c r="P1270" s="45">
        <f>HEX2DEC(RIGHT(Table132321[[#This Row],[h1]],8))</f>
        <v>0</v>
      </c>
      <c r="Q1270" s="45" t="s">
        <v>149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149</v>
      </c>
      <c r="P1271" s="45">
        <f>HEX2DEC(RIGHT(Table132321[[#This Row],[h1]],8))</f>
        <v>0</v>
      </c>
      <c r="Q1271" s="45" t="s">
        <v>149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149</v>
      </c>
      <c r="P1272" s="45">
        <f>HEX2DEC(RIGHT(Table132321[[#This Row],[h1]],8))</f>
        <v>0</v>
      </c>
      <c r="Q1272" s="45" t="s">
        <v>149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149</v>
      </c>
      <c r="P1273" s="45">
        <f>HEX2DEC(RIGHT(Table132321[[#This Row],[h1]],8))</f>
        <v>0</v>
      </c>
      <c r="Q1273" s="45" t="s">
        <v>149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149</v>
      </c>
      <c r="P1274" s="45">
        <f>HEX2DEC(RIGHT(Table132321[[#This Row],[h1]],8))</f>
        <v>0</v>
      </c>
      <c r="Q1274" s="45" t="s">
        <v>149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149</v>
      </c>
      <c r="P1275" s="45">
        <f>HEX2DEC(RIGHT(Table132321[[#This Row],[h1]],8))</f>
        <v>0</v>
      </c>
      <c r="Q1275" s="45" t="s">
        <v>149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149</v>
      </c>
      <c r="P1276" s="45">
        <f>HEX2DEC(RIGHT(Table132321[[#This Row],[h1]],8))</f>
        <v>0</v>
      </c>
      <c r="Q1276" s="45" t="s">
        <v>149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149</v>
      </c>
      <c r="P1277" s="45">
        <f>HEX2DEC(RIGHT(Table132321[[#This Row],[h1]],8))</f>
        <v>0</v>
      </c>
      <c r="Q1277" s="45" t="s">
        <v>149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149</v>
      </c>
      <c r="P1278" s="45">
        <f>HEX2DEC(RIGHT(Table132321[[#This Row],[h1]],8))</f>
        <v>0</v>
      </c>
      <c r="Q1278" s="45" t="s">
        <v>149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149</v>
      </c>
      <c r="P1279" s="45">
        <f>HEX2DEC(RIGHT(Table132321[[#This Row],[h1]],8))</f>
        <v>0</v>
      </c>
      <c r="Q1279" s="45" t="s">
        <v>149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149</v>
      </c>
      <c r="P1280" s="45">
        <f>HEX2DEC(RIGHT(Table132321[[#This Row],[h1]],8))</f>
        <v>0</v>
      </c>
      <c r="Q1280" s="45" t="s">
        <v>149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149</v>
      </c>
      <c r="P1281" s="45">
        <f>HEX2DEC(RIGHT(Table132321[[#This Row],[h1]],8))</f>
        <v>0</v>
      </c>
      <c r="Q1281" s="45" t="s">
        <v>149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149</v>
      </c>
      <c r="P1282" s="45">
        <f>HEX2DEC(RIGHT(Table132321[[#This Row],[h1]],8))</f>
        <v>0</v>
      </c>
      <c r="Q1282" s="45" t="s">
        <v>149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149</v>
      </c>
      <c r="P1283" s="45">
        <f>HEX2DEC(RIGHT(Table132321[[#This Row],[h1]],8))</f>
        <v>0</v>
      </c>
      <c r="Q1283" s="45" t="s">
        <v>149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149</v>
      </c>
      <c r="P1284" s="45">
        <f>HEX2DEC(RIGHT(Table132321[[#This Row],[h1]],8))</f>
        <v>0</v>
      </c>
      <c r="Q1284" s="45" t="s">
        <v>149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149</v>
      </c>
      <c r="P1285" s="45">
        <f>HEX2DEC(RIGHT(Table132321[[#This Row],[h1]],8))</f>
        <v>0</v>
      </c>
      <c r="Q1285" s="45" t="s">
        <v>149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149</v>
      </c>
      <c r="P1286" s="45">
        <f>HEX2DEC(RIGHT(Table132321[[#This Row],[h1]],8))</f>
        <v>0</v>
      </c>
      <c r="Q1286" s="45" t="s">
        <v>149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149</v>
      </c>
      <c r="P1287" s="45">
        <f>HEX2DEC(RIGHT(Table132321[[#This Row],[h1]],8))</f>
        <v>0</v>
      </c>
      <c r="Q1287" s="45" t="s">
        <v>149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149</v>
      </c>
      <c r="P1288" s="45">
        <f>HEX2DEC(RIGHT(Table132321[[#This Row],[h1]],8))</f>
        <v>0</v>
      </c>
      <c r="Q1288" s="45" t="s">
        <v>149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149</v>
      </c>
      <c r="P1289" s="45">
        <f>HEX2DEC(RIGHT(Table132321[[#This Row],[h1]],8))</f>
        <v>0</v>
      </c>
      <c r="Q1289" s="45" t="s">
        <v>149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149</v>
      </c>
      <c r="P1290" s="45">
        <f>HEX2DEC(RIGHT(Table132321[[#This Row],[h1]],8))</f>
        <v>0</v>
      </c>
      <c r="Q1290" s="45" t="s">
        <v>149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149</v>
      </c>
      <c r="P1291" s="45">
        <f>HEX2DEC(RIGHT(Table132321[[#This Row],[h1]],8))</f>
        <v>0</v>
      </c>
      <c r="Q1291" s="45" t="s">
        <v>149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149</v>
      </c>
      <c r="P1292" s="45">
        <f>HEX2DEC(RIGHT(Table132321[[#This Row],[h1]],8))</f>
        <v>0</v>
      </c>
      <c r="Q1292" s="45" t="s">
        <v>149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149</v>
      </c>
      <c r="P1293" s="45">
        <f>HEX2DEC(RIGHT(Table132321[[#This Row],[h1]],8))</f>
        <v>0</v>
      </c>
      <c r="Q1293" s="45" t="s">
        <v>149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149</v>
      </c>
      <c r="P1294" s="45">
        <f>HEX2DEC(RIGHT(Table132321[[#This Row],[h1]],8))</f>
        <v>0</v>
      </c>
      <c r="Q1294" s="45" t="s">
        <v>149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149</v>
      </c>
      <c r="P1295" s="45">
        <f>HEX2DEC(RIGHT(Table132321[[#This Row],[h1]],8))</f>
        <v>0</v>
      </c>
      <c r="Q1295" s="45" t="s">
        <v>149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149</v>
      </c>
      <c r="P1296" s="45">
        <f>HEX2DEC(RIGHT(Table132321[[#This Row],[h1]],8))</f>
        <v>0</v>
      </c>
      <c r="Q1296" s="45" t="s">
        <v>149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149</v>
      </c>
      <c r="P1297" s="45">
        <f>HEX2DEC(RIGHT(Table132321[[#This Row],[h1]],8))</f>
        <v>0</v>
      </c>
      <c r="Q1297" s="45" t="s">
        <v>149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149</v>
      </c>
      <c r="P1298" s="45">
        <f>HEX2DEC(RIGHT(Table132321[[#This Row],[h1]],8))</f>
        <v>0</v>
      </c>
      <c r="Q1298" s="45" t="s">
        <v>149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149</v>
      </c>
      <c r="P1299" s="45">
        <f>HEX2DEC(RIGHT(Table132321[[#This Row],[h1]],8))</f>
        <v>0</v>
      </c>
      <c r="Q1299" s="45" t="s">
        <v>149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149</v>
      </c>
      <c r="P1300" s="45">
        <f>HEX2DEC(RIGHT(Table132321[[#This Row],[h1]],8))</f>
        <v>0</v>
      </c>
      <c r="Q1300" s="45" t="s">
        <v>149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149</v>
      </c>
      <c r="P1301" s="45">
        <f>HEX2DEC(RIGHT(Table132321[[#This Row],[h1]],8))</f>
        <v>0</v>
      </c>
      <c r="Q1301" s="45" t="s">
        <v>149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149</v>
      </c>
      <c r="P1302" s="45">
        <f>HEX2DEC(RIGHT(Table132321[[#This Row],[h1]],8))</f>
        <v>0</v>
      </c>
      <c r="Q1302" s="45" t="s">
        <v>149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149</v>
      </c>
      <c r="P1303" s="45">
        <f>HEX2DEC(RIGHT(Table132321[[#This Row],[h1]],8))</f>
        <v>0</v>
      </c>
      <c r="Q1303" s="45" t="s">
        <v>149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149</v>
      </c>
      <c r="P1304" s="45">
        <f>HEX2DEC(RIGHT(Table132321[[#This Row],[h1]],8))</f>
        <v>0</v>
      </c>
      <c r="Q1304" s="45" t="s">
        <v>149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149</v>
      </c>
      <c r="P1305" s="45">
        <f>HEX2DEC(RIGHT(Table132321[[#This Row],[h1]],8))</f>
        <v>0</v>
      </c>
      <c r="Q1305" s="45" t="s">
        <v>149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149</v>
      </c>
      <c r="P1306" s="45">
        <f>HEX2DEC(RIGHT(Table132321[[#This Row],[h1]],8))</f>
        <v>0</v>
      </c>
      <c r="Q1306" s="45" t="s">
        <v>149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149</v>
      </c>
      <c r="P1307" s="45">
        <f>HEX2DEC(RIGHT(Table132321[[#This Row],[h1]],8))</f>
        <v>0</v>
      </c>
      <c r="Q1307" s="45" t="s">
        <v>149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149</v>
      </c>
      <c r="P1308" s="45">
        <f>HEX2DEC(RIGHT(Table132321[[#This Row],[h1]],8))</f>
        <v>0</v>
      </c>
      <c r="Q1308" s="45" t="s">
        <v>149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149</v>
      </c>
      <c r="P1309" s="45">
        <f>HEX2DEC(RIGHT(Table132321[[#This Row],[h1]],8))</f>
        <v>0</v>
      </c>
      <c r="Q1309" s="45" t="s">
        <v>149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149</v>
      </c>
      <c r="P1310" s="45">
        <f>HEX2DEC(RIGHT(Table132321[[#This Row],[h1]],8))</f>
        <v>0</v>
      </c>
      <c r="Q1310" s="45" t="s">
        <v>149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149</v>
      </c>
      <c r="P1311" s="45">
        <f>HEX2DEC(RIGHT(Table132321[[#This Row],[h1]],8))</f>
        <v>0</v>
      </c>
      <c r="Q1311" s="45" t="s">
        <v>149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149</v>
      </c>
      <c r="P1312" s="45">
        <f>HEX2DEC(RIGHT(Table132321[[#This Row],[h1]],8))</f>
        <v>0</v>
      </c>
      <c r="Q1312" s="45" t="s">
        <v>149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149</v>
      </c>
      <c r="P1313" s="45">
        <f>HEX2DEC(RIGHT(Table132321[[#This Row],[h1]],8))</f>
        <v>0</v>
      </c>
      <c r="Q1313" s="45" t="s">
        <v>149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149</v>
      </c>
      <c r="P1314" s="45">
        <f>HEX2DEC(RIGHT(Table132321[[#This Row],[h1]],8))</f>
        <v>0</v>
      </c>
      <c r="Q1314" s="45" t="s">
        <v>149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149</v>
      </c>
      <c r="P1315" s="45">
        <f>HEX2DEC(RIGHT(Table132321[[#This Row],[h1]],8))</f>
        <v>0</v>
      </c>
      <c r="Q1315" s="45" t="s">
        <v>149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149</v>
      </c>
      <c r="P1316" s="45">
        <f>HEX2DEC(RIGHT(Table132321[[#This Row],[h1]],8))</f>
        <v>0</v>
      </c>
      <c r="Q1316" s="45" t="s">
        <v>149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149</v>
      </c>
      <c r="P1317" s="45">
        <f>HEX2DEC(RIGHT(Table132321[[#This Row],[h1]],8))</f>
        <v>0</v>
      </c>
      <c r="Q1317" s="45" t="s">
        <v>149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149</v>
      </c>
      <c r="P1318" s="45">
        <f>HEX2DEC(RIGHT(Table132321[[#This Row],[h1]],8))</f>
        <v>0</v>
      </c>
      <c r="Q1318" s="45" t="s">
        <v>149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149</v>
      </c>
      <c r="P1319" s="45">
        <f>HEX2DEC(RIGHT(Table132321[[#This Row],[h1]],8))</f>
        <v>0</v>
      </c>
      <c r="Q1319" s="45" t="s">
        <v>149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149</v>
      </c>
      <c r="P1320" s="45">
        <f>HEX2DEC(RIGHT(Table132321[[#This Row],[h1]],8))</f>
        <v>0</v>
      </c>
      <c r="Q1320" s="45" t="s">
        <v>149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149</v>
      </c>
      <c r="P1321" s="45">
        <f>HEX2DEC(RIGHT(Table132321[[#This Row],[h1]],8))</f>
        <v>0</v>
      </c>
      <c r="Q1321" s="45" t="s">
        <v>149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149</v>
      </c>
      <c r="P1322" s="45">
        <f>HEX2DEC(RIGHT(Table132321[[#This Row],[h1]],8))</f>
        <v>0</v>
      </c>
      <c r="Q1322" s="45" t="s">
        <v>149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149</v>
      </c>
      <c r="P1323" s="45">
        <f>HEX2DEC(RIGHT(Table132321[[#This Row],[h1]],8))</f>
        <v>0</v>
      </c>
      <c r="Q1323" s="45" t="s">
        <v>149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149</v>
      </c>
      <c r="P1324" s="45">
        <f>HEX2DEC(RIGHT(Table132321[[#This Row],[h1]],8))</f>
        <v>0</v>
      </c>
      <c r="Q1324" s="45" t="s">
        <v>149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149</v>
      </c>
      <c r="P1325" s="45">
        <f>HEX2DEC(RIGHT(Table132321[[#This Row],[h1]],8))</f>
        <v>0</v>
      </c>
      <c r="Q1325" s="45" t="s">
        <v>149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149</v>
      </c>
      <c r="P1326" s="45">
        <f>HEX2DEC(RIGHT(Table132321[[#This Row],[h1]],8))</f>
        <v>0</v>
      </c>
      <c r="Q1326" s="45" t="s">
        <v>149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149</v>
      </c>
      <c r="P1327" s="45">
        <f>HEX2DEC(RIGHT(Table132321[[#This Row],[h1]],8))</f>
        <v>0</v>
      </c>
      <c r="Q1327" s="45" t="s">
        <v>149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149</v>
      </c>
      <c r="P1328" s="45">
        <f>HEX2DEC(RIGHT(Table132321[[#This Row],[h1]],8))</f>
        <v>0</v>
      </c>
      <c r="Q1328" s="45" t="s">
        <v>149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149</v>
      </c>
      <c r="P1329" s="45">
        <f>HEX2DEC(RIGHT(Table132321[[#This Row],[h1]],8))</f>
        <v>0</v>
      </c>
      <c r="Q1329" s="45" t="s">
        <v>149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149</v>
      </c>
      <c r="P1330" s="45">
        <f>HEX2DEC(RIGHT(Table132321[[#This Row],[h1]],8))</f>
        <v>0</v>
      </c>
      <c r="Q1330" s="45" t="s">
        <v>149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149</v>
      </c>
      <c r="P1331" s="45">
        <f>HEX2DEC(RIGHT(Table132321[[#This Row],[h1]],8))</f>
        <v>0</v>
      </c>
      <c r="Q1331" s="45" t="s">
        <v>149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149</v>
      </c>
      <c r="P1332" s="45">
        <f>HEX2DEC(RIGHT(Table132321[[#This Row],[h1]],8))</f>
        <v>0</v>
      </c>
      <c r="Q1332" s="45" t="s">
        <v>149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149</v>
      </c>
      <c r="P1333" s="45">
        <f>HEX2DEC(RIGHT(Table132321[[#This Row],[h1]],8))</f>
        <v>0</v>
      </c>
      <c r="Q1333" s="45" t="s">
        <v>149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149</v>
      </c>
      <c r="P1334" s="45">
        <f>HEX2DEC(RIGHT(Table132321[[#This Row],[h1]],8))</f>
        <v>0</v>
      </c>
      <c r="Q1334" s="45" t="s">
        <v>149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149</v>
      </c>
      <c r="P1335" s="45">
        <f>HEX2DEC(RIGHT(Table132321[[#This Row],[h1]],8))</f>
        <v>0</v>
      </c>
      <c r="Q1335" s="45" t="s">
        <v>149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149</v>
      </c>
      <c r="P1336" s="45">
        <f>HEX2DEC(RIGHT(Table132321[[#This Row],[h1]],8))</f>
        <v>0</v>
      </c>
      <c r="Q1336" s="45" t="s">
        <v>149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149</v>
      </c>
      <c r="P1337" s="45">
        <f>HEX2DEC(RIGHT(Table132321[[#This Row],[h1]],8))</f>
        <v>0</v>
      </c>
      <c r="Q1337" s="45" t="s">
        <v>149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149</v>
      </c>
      <c r="P1338" s="45">
        <f>HEX2DEC(RIGHT(Table132321[[#This Row],[h1]],8))</f>
        <v>0</v>
      </c>
      <c r="Q1338" s="45" t="s">
        <v>149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149</v>
      </c>
      <c r="P1339" s="45">
        <f>HEX2DEC(RIGHT(Table132321[[#This Row],[h1]],8))</f>
        <v>0</v>
      </c>
      <c r="Q1339" s="45" t="s">
        <v>149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149</v>
      </c>
      <c r="P1340" s="45">
        <f>HEX2DEC(RIGHT(Table132321[[#This Row],[h1]],8))</f>
        <v>0</v>
      </c>
      <c r="Q1340" s="45" t="s">
        <v>149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149</v>
      </c>
      <c r="P1341" s="45">
        <f>HEX2DEC(RIGHT(Table132321[[#This Row],[h1]],8))</f>
        <v>0</v>
      </c>
      <c r="Q1341" s="45" t="s">
        <v>149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149</v>
      </c>
      <c r="P1342" s="45">
        <f>HEX2DEC(RIGHT(Table132321[[#This Row],[h1]],8))</f>
        <v>0</v>
      </c>
      <c r="Q1342" s="45" t="s">
        <v>149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149</v>
      </c>
      <c r="P1343" s="45">
        <f>HEX2DEC(RIGHT(Table132321[[#This Row],[h1]],8))</f>
        <v>0</v>
      </c>
      <c r="Q1343" s="45" t="s">
        <v>149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149</v>
      </c>
      <c r="P1344" s="45">
        <f>HEX2DEC(RIGHT(Table132321[[#This Row],[h1]],8))</f>
        <v>0</v>
      </c>
      <c r="Q1344" s="45" t="s">
        <v>149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149</v>
      </c>
      <c r="P1345" s="45">
        <f>HEX2DEC(RIGHT(Table132321[[#This Row],[h1]],8))</f>
        <v>0</v>
      </c>
      <c r="Q1345" s="45" t="s">
        <v>149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149</v>
      </c>
      <c r="P1346" s="45">
        <f>HEX2DEC(RIGHT(Table132321[[#This Row],[h1]],8))</f>
        <v>0</v>
      </c>
      <c r="Q1346" s="45" t="s">
        <v>149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149</v>
      </c>
      <c r="P1347" s="45">
        <f>HEX2DEC(RIGHT(Table132321[[#This Row],[h1]],8))</f>
        <v>0</v>
      </c>
      <c r="Q1347" s="45" t="s">
        <v>149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149</v>
      </c>
      <c r="P1348" s="45">
        <f>HEX2DEC(RIGHT(Table132321[[#This Row],[h1]],8))</f>
        <v>0</v>
      </c>
      <c r="Q1348" s="45" t="s">
        <v>149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149</v>
      </c>
      <c r="P1349" s="45">
        <f>HEX2DEC(RIGHT(Table132321[[#This Row],[h1]],8))</f>
        <v>0</v>
      </c>
      <c r="Q1349" s="45" t="s">
        <v>149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149</v>
      </c>
      <c r="P1350" s="45">
        <f>HEX2DEC(RIGHT(Table132321[[#This Row],[h1]],8))</f>
        <v>0</v>
      </c>
      <c r="Q1350" s="45" t="s">
        <v>149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149</v>
      </c>
      <c r="P1351" s="45">
        <f>HEX2DEC(RIGHT(Table132321[[#This Row],[h1]],8))</f>
        <v>0</v>
      </c>
      <c r="Q1351" s="45" t="s">
        <v>149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149</v>
      </c>
      <c r="P1352" s="45">
        <f>HEX2DEC(RIGHT(Table132321[[#This Row],[h1]],8))</f>
        <v>0</v>
      </c>
      <c r="Q1352" s="45" t="s">
        <v>149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149</v>
      </c>
      <c r="P1353" s="45">
        <f>HEX2DEC(RIGHT(Table132321[[#This Row],[h1]],8))</f>
        <v>0</v>
      </c>
      <c r="Q1353" s="45" t="s">
        <v>149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149</v>
      </c>
      <c r="P1354" s="45">
        <f>HEX2DEC(RIGHT(Table132321[[#This Row],[h1]],8))</f>
        <v>0</v>
      </c>
      <c r="Q1354" s="45" t="s">
        <v>149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149</v>
      </c>
      <c r="P1355" s="45">
        <f>HEX2DEC(RIGHT(Table132321[[#This Row],[h1]],8))</f>
        <v>0</v>
      </c>
      <c r="Q1355" s="45" t="s">
        <v>149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149</v>
      </c>
      <c r="P1356" s="45">
        <f>HEX2DEC(RIGHT(Table132321[[#This Row],[h1]],8))</f>
        <v>0</v>
      </c>
      <c r="Q1356" s="45" t="s">
        <v>149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149</v>
      </c>
      <c r="P1357" s="45">
        <f>HEX2DEC(RIGHT(Table132321[[#This Row],[h1]],8))</f>
        <v>0</v>
      </c>
      <c r="Q1357" s="45" t="s">
        <v>149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149</v>
      </c>
      <c r="P1358" s="45">
        <f>HEX2DEC(RIGHT(Table132321[[#This Row],[h1]],8))</f>
        <v>0</v>
      </c>
      <c r="Q1358" s="45" t="s">
        <v>149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149</v>
      </c>
      <c r="P1359" s="45">
        <f>HEX2DEC(RIGHT(Table132321[[#This Row],[h1]],8))</f>
        <v>0</v>
      </c>
      <c r="Q1359" s="45" t="s">
        <v>149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149</v>
      </c>
      <c r="P1360" s="45">
        <f>HEX2DEC(RIGHT(Table132321[[#This Row],[h1]],8))</f>
        <v>0</v>
      </c>
      <c r="Q1360" s="45" t="s">
        <v>149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149</v>
      </c>
      <c r="P1361" s="45">
        <f>HEX2DEC(RIGHT(Table132321[[#This Row],[h1]],8))</f>
        <v>0</v>
      </c>
      <c r="Q1361" s="45" t="s">
        <v>149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149</v>
      </c>
      <c r="P1362" s="45">
        <f>HEX2DEC(RIGHT(Table132321[[#This Row],[h1]],8))</f>
        <v>0</v>
      </c>
      <c r="Q1362" s="45" t="s">
        <v>149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149</v>
      </c>
      <c r="P1363" s="45">
        <f>HEX2DEC(RIGHT(Table132321[[#This Row],[h1]],8))</f>
        <v>0</v>
      </c>
      <c r="Q1363" s="45" t="s">
        <v>149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149</v>
      </c>
      <c r="P1364" s="45">
        <f>HEX2DEC(RIGHT(Table132321[[#This Row],[h1]],8))</f>
        <v>0</v>
      </c>
      <c r="Q1364" s="45" t="s">
        <v>149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149</v>
      </c>
      <c r="P1365" s="45">
        <f>HEX2DEC(RIGHT(Table132321[[#This Row],[h1]],8))</f>
        <v>0</v>
      </c>
      <c r="Q1365" s="45" t="s">
        <v>149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149</v>
      </c>
      <c r="P1366" s="45">
        <f>HEX2DEC(RIGHT(Table132321[[#This Row],[h1]],8))</f>
        <v>0</v>
      </c>
      <c r="Q1366" s="45" t="s">
        <v>149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149</v>
      </c>
      <c r="P1367" s="45">
        <f>HEX2DEC(RIGHT(Table132321[[#This Row],[h1]],8))</f>
        <v>0</v>
      </c>
      <c r="Q1367" s="45" t="s">
        <v>149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149</v>
      </c>
      <c r="P1368" s="45">
        <f>HEX2DEC(RIGHT(Table132321[[#This Row],[h1]],8))</f>
        <v>0</v>
      </c>
      <c r="Q1368" s="45" t="s">
        <v>149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149</v>
      </c>
      <c r="P1369" s="45">
        <f>HEX2DEC(RIGHT(Table132321[[#This Row],[h1]],8))</f>
        <v>0</v>
      </c>
      <c r="Q1369" s="45" t="s">
        <v>149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149</v>
      </c>
      <c r="P1370" s="45">
        <f>HEX2DEC(RIGHT(Table132321[[#This Row],[h1]],8))</f>
        <v>0</v>
      </c>
      <c r="Q1370" s="45" t="s">
        <v>149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149</v>
      </c>
      <c r="P1371" s="45">
        <f>HEX2DEC(RIGHT(Table132321[[#This Row],[h1]],8))</f>
        <v>0</v>
      </c>
      <c r="Q1371" s="45" t="s">
        <v>149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149</v>
      </c>
      <c r="P1372" s="45">
        <f>HEX2DEC(RIGHT(Table132321[[#This Row],[h1]],8))</f>
        <v>0</v>
      </c>
      <c r="Q1372" s="45" t="s">
        <v>149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149</v>
      </c>
      <c r="P1373" s="45">
        <f>HEX2DEC(RIGHT(Table132321[[#This Row],[h1]],8))</f>
        <v>0</v>
      </c>
      <c r="Q1373" s="45" t="s">
        <v>149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149</v>
      </c>
      <c r="P1374" s="45">
        <f>HEX2DEC(RIGHT(Table132321[[#This Row],[h1]],8))</f>
        <v>0</v>
      </c>
      <c r="Q1374" s="45" t="s">
        <v>149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149</v>
      </c>
      <c r="P1375" s="45">
        <f>HEX2DEC(RIGHT(Table132321[[#This Row],[h1]],8))</f>
        <v>0</v>
      </c>
      <c r="Q1375" s="45" t="s">
        <v>149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149</v>
      </c>
      <c r="P1376" s="45">
        <f>HEX2DEC(RIGHT(Table132321[[#This Row],[h1]],8))</f>
        <v>0</v>
      </c>
      <c r="Q1376" s="45" t="s">
        <v>149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149</v>
      </c>
      <c r="P1377" s="45">
        <f>HEX2DEC(RIGHT(Table132321[[#This Row],[h1]],8))</f>
        <v>0</v>
      </c>
      <c r="Q1377" s="45" t="s">
        <v>149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149</v>
      </c>
      <c r="P1378" s="45">
        <f>HEX2DEC(RIGHT(Table132321[[#This Row],[h1]],8))</f>
        <v>0</v>
      </c>
      <c r="Q1378" s="45" t="s">
        <v>149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149</v>
      </c>
      <c r="P1379" s="45">
        <f>HEX2DEC(RIGHT(Table132321[[#This Row],[h1]],8))</f>
        <v>0</v>
      </c>
      <c r="Q1379" s="45" t="s">
        <v>149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149</v>
      </c>
      <c r="P1380" s="45">
        <f>HEX2DEC(RIGHT(Table132321[[#This Row],[h1]],8))</f>
        <v>0</v>
      </c>
      <c r="Q1380" s="45" t="s">
        <v>149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149</v>
      </c>
      <c r="P1381" s="45">
        <f>HEX2DEC(RIGHT(Table132321[[#This Row],[h1]],8))</f>
        <v>0</v>
      </c>
      <c r="Q1381" s="45" t="s">
        <v>149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149</v>
      </c>
      <c r="P1382" s="45">
        <f>HEX2DEC(RIGHT(Table132321[[#This Row],[h1]],8))</f>
        <v>0</v>
      </c>
      <c r="Q1382" s="45" t="s">
        <v>149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149</v>
      </c>
      <c r="P1383" s="45">
        <f>HEX2DEC(RIGHT(Table132321[[#This Row],[h1]],8))</f>
        <v>0</v>
      </c>
      <c r="Q1383" s="45" t="s">
        <v>149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149</v>
      </c>
      <c r="P1384" s="45">
        <f>HEX2DEC(RIGHT(Table132321[[#This Row],[h1]],8))</f>
        <v>0</v>
      </c>
      <c r="Q1384" s="45" t="s">
        <v>149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149</v>
      </c>
      <c r="P1385" s="45">
        <f>HEX2DEC(RIGHT(Table132321[[#This Row],[h1]],8))</f>
        <v>0</v>
      </c>
      <c r="Q1385" s="45" t="s">
        <v>149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149</v>
      </c>
      <c r="P1386" s="45">
        <f>HEX2DEC(RIGHT(Table132321[[#This Row],[h1]],8))</f>
        <v>0</v>
      </c>
      <c r="Q1386" s="45" t="s">
        <v>149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149</v>
      </c>
      <c r="P1387" s="45">
        <f>HEX2DEC(RIGHT(Table132321[[#This Row],[h1]],8))</f>
        <v>0</v>
      </c>
      <c r="Q1387" s="45" t="s">
        <v>149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149</v>
      </c>
      <c r="P1388" s="45">
        <f>HEX2DEC(RIGHT(Table132321[[#This Row],[h1]],8))</f>
        <v>0</v>
      </c>
      <c r="Q1388" s="45" t="s">
        <v>149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149</v>
      </c>
      <c r="P1389" s="45">
        <f>HEX2DEC(RIGHT(Table132321[[#This Row],[h1]],8))</f>
        <v>0</v>
      </c>
      <c r="Q1389" s="45" t="s">
        <v>149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149</v>
      </c>
      <c r="P1390" s="45">
        <f>HEX2DEC(RIGHT(Table132321[[#This Row],[h1]],8))</f>
        <v>0</v>
      </c>
      <c r="Q1390" s="45" t="s">
        <v>149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149</v>
      </c>
      <c r="P1391" s="45">
        <f>HEX2DEC(RIGHT(Table132321[[#This Row],[h1]],8))</f>
        <v>0</v>
      </c>
      <c r="Q1391" s="45" t="s">
        <v>149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149</v>
      </c>
      <c r="P1392" s="45">
        <f>HEX2DEC(RIGHT(Table132321[[#This Row],[h1]],8))</f>
        <v>0</v>
      </c>
      <c r="Q1392" s="45" t="s">
        <v>149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149</v>
      </c>
      <c r="P1393" s="45">
        <f>HEX2DEC(RIGHT(Table132321[[#This Row],[h1]],8))</f>
        <v>0</v>
      </c>
      <c r="Q1393" s="45" t="s">
        <v>149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149</v>
      </c>
      <c r="P1394" s="45">
        <f>HEX2DEC(RIGHT(Table132321[[#This Row],[h1]],8))</f>
        <v>0</v>
      </c>
      <c r="Q1394" s="45" t="s">
        <v>149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149</v>
      </c>
      <c r="P1395" s="45">
        <f>HEX2DEC(RIGHT(Table132321[[#This Row],[h1]],8))</f>
        <v>0</v>
      </c>
      <c r="Q1395" s="45" t="s">
        <v>149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149</v>
      </c>
      <c r="P1396" s="45">
        <f>HEX2DEC(RIGHT(Table132321[[#This Row],[h1]],8))</f>
        <v>0</v>
      </c>
      <c r="Q1396" s="45" t="s">
        <v>149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149</v>
      </c>
      <c r="P1397" s="45">
        <f>HEX2DEC(RIGHT(Table132321[[#This Row],[h1]],8))</f>
        <v>0</v>
      </c>
      <c r="Q1397" s="45" t="s">
        <v>149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149</v>
      </c>
      <c r="P1398" s="45">
        <f>HEX2DEC(RIGHT(Table132321[[#This Row],[h1]],8))</f>
        <v>0</v>
      </c>
      <c r="Q1398" s="45" t="s">
        <v>149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149</v>
      </c>
      <c r="P1399" s="45">
        <f>HEX2DEC(RIGHT(Table132321[[#This Row],[h1]],8))</f>
        <v>0</v>
      </c>
      <c r="Q1399" s="45" t="s">
        <v>149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149</v>
      </c>
      <c r="P1400" s="45">
        <f>HEX2DEC(RIGHT(Table132321[[#This Row],[h1]],8))</f>
        <v>0</v>
      </c>
      <c r="Q1400" s="45" t="s">
        <v>149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149</v>
      </c>
      <c r="P1401" s="45">
        <f>HEX2DEC(RIGHT(Table132321[[#This Row],[h1]],8))</f>
        <v>0</v>
      </c>
      <c r="Q1401" s="45" t="s">
        <v>149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149</v>
      </c>
      <c r="P1402" s="45">
        <f>HEX2DEC(RIGHT(Table132321[[#This Row],[h1]],8))</f>
        <v>0</v>
      </c>
      <c r="Q1402" s="45" t="s">
        <v>149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149</v>
      </c>
      <c r="P1403" s="45">
        <f>HEX2DEC(RIGHT(Table132321[[#This Row],[h1]],8))</f>
        <v>0</v>
      </c>
      <c r="Q1403" s="45" t="s">
        <v>149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149</v>
      </c>
      <c r="P1404" s="45">
        <f>HEX2DEC(RIGHT(Table132321[[#This Row],[h1]],8))</f>
        <v>0</v>
      </c>
      <c r="Q1404" s="45" t="s">
        <v>149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149</v>
      </c>
      <c r="P1405" s="45">
        <f>HEX2DEC(RIGHT(Table132321[[#This Row],[h1]],8))</f>
        <v>0</v>
      </c>
      <c r="Q1405" s="45" t="s">
        <v>149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149</v>
      </c>
      <c r="P1406" s="45">
        <f>HEX2DEC(RIGHT(Table132321[[#This Row],[h1]],8))</f>
        <v>0</v>
      </c>
      <c r="Q1406" s="45" t="s">
        <v>149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149</v>
      </c>
      <c r="P1407" s="45">
        <f>HEX2DEC(RIGHT(Table132321[[#This Row],[h1]],8))</f>
        <v>0</v>
      </c>
      <c r="Q1407" s="45" t="s">
        <v>149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149</v>
      </c>
      <c r="P1408" s="45">
        <f>HEX2DEC(RIGHT(Table132321[[#This Row],[h1]],8))</f>
        <v>0</v>
      </c>
      <c r="Q1408" s="45" t="s">
        <v>149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149</v>
      </c>
      <c r="P1409" s="45">
        <f>HEX2DEC(RIGHT(Table132321[[#This Row],[h1]],8))</f>
        <v>0</v>
      </c>
      <c r="Q1409" s="45" t="s">
        <v>149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149</v>
      </c>
      <c r="P1410" s="45">
        <f>HEX2DEC(RIGHT(Table132321[[#This Row],[h1]],8))</f>
        <v>0</v>
      </c>
      <c r="Q1410" s="45" t="s">
        <v>149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48</v>
      </c>
      <c r="F1411" s="22"/>
      <c r="G1411" s="22"/>
      <c r="J1411" s="24">
        <v>50000</v>
      </c>
      <c r="M1411" s="24">
        <v>50000</v>
      </c>
      <c r="O1411" s="45" t="s">
        <v>149</v>
      </c>
      <c r="P1411" s="45">
        <f>HEX2DEC(RIGHT(Table132321[[#This Row],[h1]],8))</f>
        <v>0</v>
      </c>
      <c r="Q1411" s="45" t="s">
        <v>149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149</v>
      </c>
      <c r="P1412" s="45">
        <f>HEX2DEC(RIGHT(Table132321[[#This Row],[h1]],8))</f>
        <v>0</v>
      </c>
      <c r="Q1412" s="45" t="s">
        <v>149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149</v>
      </c>
      <c r="P1413" s="45">
        <f>HEX2DEC(RIGHT(Table132321[[#This Row],[h1]],8))</f>
        <v>0</v>
      </c>
      <c r="Q1413" s="45" t="s">
        <v>149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149</v>
      </c>
      <c r="P1414" s="45">
        <f>HEX2DEC(RIGHT(Table132321[[#This Row],[h1]],8))</f>
        <v>0</v>
      </c>
      <c r="Q1414" s="45" t="s">
        <v>149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149</v>
      </c>
      <c r="P1415" s="45">
        <f>HEX2DEC(RIGHT(Table132321[[#This Row],[h1]],8))</f>
        <v>0</v>
      </c>
      <c r="Q1415" s="45" t="s">
        <v>149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149</v>
      </c>
      <c r="P1416" s="45">
        <f>HEX2DEC(RIGHT(Table132321[[#This Row],[h1]],8))</f>
        <v>0</v>
      </c>
      <c r="Q1416" s="45" t="s">
        <v>149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149</v>
      </c>
      <c r="P1417" s="45">
        <f>HEX2DEC(RIGHT(Table132321[[#This Row],[h1]],8))</f>
        <v>0</v>
      </c>
      <c r="Q1417" s="45" t="s">
        <v>149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149</v>
      </c>
      <c r="P1418" s="45">
        <f>HEX2DEC(RIGHT(Table132321[[#This Row],[h1]],8))</f>
        <v>0</v>
      </c>
      <c r="Q1418" s="45" t="s">
        <v>149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149</v>
      </c>
      <c r="P1419" s="45">
        <f>HEX2DEC(RIGHT(Table132321[[#This Row],[h1]],8))</f>
        <v>0</v>
      </c>
      <c r="Q1419" s="45" t="s">
        <v>149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149</v>
      </c>
      <c r="P1420" s="45">
        <f>HEX2DEC(RIGHT(Table132321[[#This Row],[h1]],8))</f>
        <v>0</v>
      </c>
      <c r="Q1420" s="45" t="s">
        <v>149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149</v>
      </c>
      <c r="P1421" s="45">
        <f>HEX2DEC(RIGHT(Table132321[[#This Row],[h1]],8))</f>
        <v>0</v>
      </c>
      <c r="Q1421" s="45" t="s">
        <v>149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149</v>
      </c>
      <c r="P1422" s="45">
        <f>HEX2DEC(RIGHT(Table132321[[#This Row],[h1]],8))</f>
        <v>0</v>
      </c>
      <c r="Q1422" s="45" t="s">
        <v>149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149</v>
      </c>
      <c r="P1423" s="45">
        <f>HEX2DEC(RIGHT(Table132321[[#This Row],[h1]],8))</f>
        <v>0</v>
      </c>
      <c r="Q1423" s="45" t="s">
        <v>149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149</v>
      </c>
      <c r="P1424" s="45">
        <f>HEX2DEC(RIGHT(Table132321[[#This Row],[h1]],8))</f>
        <v>0</v>
      </c>
      <c r="Q1424" s="45" t="s">
        <v>149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149</v>
      </c>
      <c r="P1425" s="45">
        <f>HEX2DEC(RIGHT(Table132321[[#This Row],[h1]],8))</f>
        <v>0</v>
      </c>
      <c r="Q1425" s="45" t="s">
        <v>149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149</v>
      </c>
      <c r="P1426" s="45">
        <f>HEX2DEC(RIGHT(Table132321[[#This Row],[h1]],8))</f>
        <v>0</v>
      </c>
      <c r="Q1426" s="45" t="s">
        <v>149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149</v>
      </c>
      <c r="P1427" s="45">
        <f>HEX2DEC(RIGHT(Table132321[[#This Row],[h1]],8))</f>
        <v>0</v>
      </c>
      <c r="Q1427" s="45" t="s">
        <v>149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149</v>
      </c>
      <c r="P1428" s="45">
        <f>HEX2DEC(RIGHT(Table132321[[#This Row],[h1]],8))</f>
        <v>0</v>
      </c>
      <c r="Q1428" s="45" t="s">
        <v>149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149</v>
      </c>
      <c r="P1429" s="45">
        <f>HEX2DEC(RIGHT(Table132321[[#This Row],[h1]],8))</f>
        <v>0</v>
      </c>
      <c r="Q1429" s="45" t="s">
        <v>149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149</v>
      </c>
      <c r="P1430" s="45">
        <f>HEX2DEC(RIGHT(Table132321[[#This Row],[h1]],8))</f>
        <v>0</v>
      </c>
      <c r="Q1430" s="45" t="s">
        <v>149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149</v>
      </c>
      <c r="P1431" s="45">
        <f>HEX2DEC(RIGHT(Table132321[[#This Row],[h1]],8))</f>
        <v>0</v>
      </c>
      <c r="Q1431" s="45" t="s">
        <v>149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149</v>
      </c>
      <c r="P1432" s="45">
        <f>HEX2DEC(RIGHT(Table132321[[#This Row],[h1]],8))</f>
        <v>0</v>
      </c>
      <c r="Q1432" s="45" t="s">
        <v>149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149</v>
      </c>
      <c r="P1433" s="45">
        <f>HEX2DEC(RIGHT(Table132321[[#This Row],[h1]],8))</f>
        <v>0</v>
      </c>
      <c r="Q1433" s="45" t="s">
        <v>149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149</v>
      </c>
      <c r="P1434" s="45">
        <f>HEX2DEC(RIGHT(Table132321[[#This Row],[h1]],8))</f>
        <v>0</v>
      </c>
      <c r="Q1434" s="45" t="s">
        <v>149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149</v>
      </c>
      <c r="P1435" s="45">
        <f>HEX2DEC(RIGHT(Table132321[[#This Row],[h1]],8))</f>
        <v>0</v>
      </c>
      <c r="Q1435" s="45" t="s">
        <v>149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149</v>
      </c>
      <c r="P1436" s="45">
        <f>HEX2DEC(RIGHT(Table132321[[#This Row],[h1]],8))</f>
        <v>0</v>
      </c>
      <c r="Q1436" s="45" t="s">
        <v>149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149</v>
      </c>
      <c r="P1437" s="45">
        <f>HEX2DEC(RIGHT(Table132321[[#This Row],[h1]],8))</f>
        <v>0</v>
      </c>
      <c r="Q1437" s="45" t="s">
        <v>149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149</v>
      </c>
      <c r="P1438" s="45">
        <f>HEX2DEC(RIGHT(Table132321[[#This Row],[h1]],8))</f>
        <v>0</v>
      </c>
      <c r="Q1438" s="45" t="s">
        <v>149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149</v>
      </c>
      <c r="P1439" s="45">
        <f>HEX2DEC(RIGHT(Table132321[[#This Row],[h1]],8))</f>
        <v>0</v>
      </c>
      <c r="Q1439" s="45" t="s">
        <v>149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149</v>
      </c>
      <c r="P1440" s="45">
        <f>HEX2DEC(RIGHT(Table132321[[#This Row],[h1]],8))</f>
        <v>0</v>
      </c>
      <c r="Q1440" s="45" t="s">
        <v>149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149</v>
      </c>
      <c r="P1441" s="45">
        <f>HEX2DEC(RIGHT(Table132321[[#This Row],[h1]],8))</f>
        <v>0</v>
      </c>
      <c r="Q1441" s="45" t="s">
        <v>149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149</v>
      </c>
      <c r="P1442" s="45">
        <f>HEX2DEC(RIGHT(Table132321[[#This Row],[h1]],8))</f>
        <v>0</v>
      </c>
      <c r="Q1442" s="45" t="s">
        <v>149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149</v>
      </c>
      <c r="P1443" s="45">
        <f>HEX2DEC(RIGHT(Table132321[[#This Row],[h1]],8))</f>
        <v>0</v>
      </c>
      <c r="Q1443" s="45" t="s">
        <v>149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149</v>
      </c>
      <c r="P1444" s="45">
        <f>HEX2DEC(RIGHT(Table132321[[#This Row],[h1]],8))</f>
        <v>0</v>
      </c>
      <c r="Q1444" s="45" t="s">
        <v>149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149</v>
      </c>
      <c r="P1445" s="45">
        <f>HEX2DEC(RIGHT(Table132321[[#This Row],[h1]],8))</f>
        <v>0</v>
      </c>
      <c r="Q1445" s="45" t="s">
        <v>149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149</v>
      </c>
      <c r="P1446" s="45">
        <f>HEX2DEC(RIGHT(Table132321[[#This Row],[h1]],8))</f>
        <v>0</v>
      </c>
      <c r="Q1446" s="45" t="s">
        <v>149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149</v>
      </c>
      <c r="P1447" s="45">
        <f>HEX2DEC(RIGHT(Table132321[[#This Row],[h1]],8))</f>
        <v>0</v>
      </c>
      <c r="Q1447" s="45" t="s">
        <v>149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149</v>
      </c>
      <c r="P1448" s="45">
        <f>HEX2DEC(RIGHT(Table132321[[#This Row],[h1]],8))</f>
        <v>0</v>
      </c>
      <c r="Q1448" s="45" t="s">
        <v>149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149</v>
      </c>
      <c r="P1449" s="45">
        <f>HEX2DEC(RIGHT(Table132321[[#This Row],[h1]],8))</f>
        <v>0</v>
      </c>
      <c r="Q1449" s="45" t="s">
        <v>149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149</v>
      </c>
      <c r="P1450" s="45">
        <f>HEX2DEC(RIGHT(Table132321[[#This Row],[h1]],8))</f>
        <v>0</v>
      </c>
      <c r="Q1450" s="45" t="s">
        <v>149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149</v>
      </c>
      <c r="P1451" s="45">
        <f>HEX2DEC(RIGHT(Table132321[[#This Row],[h1]],8))</f>
        <v>0</v>
      </c>
      <c r="Q1451" s="45" t="s">
        <v>149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149</v>
      </c>
      <c r="P1452" s="45">
        <f>HEX2DEC(RIGHT(Table132321[[#This Row],[h1]],8))</f>
        <v>0</v>
      </c>
      <c r="Q1452" s="45" t="s">
        <v>149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149</v>
      </c>
      <c r="P1453" s="45">
        <f>HEX2DEC(RIGHT(Table132321[[#This Row],[h1]],8))</f>
        <v>0</v>
      </c>
      <c r="Q1453" s="45" t="s">
        <v>149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149</v>
      </c>
      <c r="P1454" s="45">
        <f>HEX2DEC(RIGHT(Table132321[[#This Row],[h1]],8))</f>
        <v>0</v>
      </c>
      <c r="Q1454" s="45" t="s">
        <v>149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149</v>
      </c>
      <c r="P1455" s="45">
        <f>HEX2DEC(RIGHT(Table132321[[#This Row],[h1]],8))</f>
        <v>0</v>
      </c>
      <c r="Q1455" s="45" t="s">
        <v>149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149</v>
      </c>
      <c r="P1456" s="45">
        <f>HEX2DEC(RIGHT(Table132321[[#This Row],[h1]],8))</f>
        <v>0</v>
      </c>
      <c r="Q1456" s="45" t="s">
        <v>149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149</v>
      </c>
      <c r="P1457" s="45">
        <f>HEX2DEC(RIGHT(Table132321[[#This Row],[h1]],8))</f>
        <v>0</v>
      </c>
      <c r="Q1457" s="45" t="s">
        <v>149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149</v>
      </c>
      <c r="P1458" s="45">
        <f>HEX2DEC(RIGHT(Table132321[[#This Row],[h1]],8))</f>
        <v>0</v>
      </c>
      <c r="Q1458" s="45" t="s">
        <v>149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149</v>
      </c>
      <c r="P1459" s="45">
        <f>HEX2DEC(RIGHT(Table132321[[#This Row],[h1]],8))</f>
        <v>0</v>
      </c>
      <c r="Q1459" s="45" t="s">
        <v>149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149</v>
      </c>
      <c r="P1460" s="45">
        <f>HEX2DEC(RIGHT(Table132321[[#This Row],[h1]],8))</f>
        <v>0</v>
      </c>
      <c r="Q1460" s="45" t="s">
        <v>149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149</v>
      </c>
      <c r="P1461" s="45">
        <f>HEX2DEC(RIGHT(Table132321[[#This Row],[h1]],8))</f>
        <v>0</v>
      </c>
      <c r="Q1461" s="45" t="s">
        <v>149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149</v>
      </c>
      <c r="P1462" s="45">
        <f>HEX2DEC(RIGHT(Table132321[[#This Row],[h1]],8))</f>
        <v>0</v>
      </c>
      <c r="Q1462" s="45" t="s">
        <v>149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149</v>
      </c>
      <c r="P1463" s="45">
        <f>HEX2DEC(RIGHT(Table132321[[#This Row],[h1]],8))</f>
        <v>0</v>
      </c>
      <c r="Q1463" s="45" t="s">
        <v>149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149</v>
      </c>
      <c r="P1464" s="45">
        <f>HEX2DEC(RIGHT(Table132321[[#This Row],[h1]],8))</f>
        <v>0</v>
      </c>
      <c r="Q1464" s="45" t="s">
        <v>149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149</v>
      </c>
      <c r="P1465" s="45">
        <f>HEX2DEC(RIGHT(Table132321[[#This Row],[h1]],8))</f>
        <v>0</v>
      </c>
      <c r="Q1465" s="45" t="s">
        <v>149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149</v>
      </c>
      <c r="P1466" s="45">
        <f>HEX2DEC(RIGHT(Table132321[[#This Row],[h1]],8))</f>
        <v>0</v>
      </c>
      <c r="Q1466" s="45" t="s">
        <v>149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149</v>
      </c>
      <c r="P1467" s="45">
        <f>HEX2DEC(RIGHT(Table132321[[#This Row],[h1]],8))</f>
        <v>0</v>
      </c>
      <c r="Q1467" s="45" t="s">
        <v>149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149</v>
      </c>
      <c r="P1468" s="45">
        <f>HEX2DEC(RIGHT(Table132321[[#This Row],[h1]],8))</f>
        <v>0</v>
      </c>
      <c r="Q1468" s="45" t="s">
        <v>149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149</v>
      </c>
      <c r="P1469" s="45">
        <f>HEX2DEC(RIGHT(Table132321[[#This Row],[h1]],8))</f>
        <v>0</v>
      </c>
      <c r="Q1469" s="45" t="s">
        <v>149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149</v>
      </c>
      <c r="P1470" s="45">
        <f>HEX2DEC(RIGHT(Table132321[[#This Row],[h1]],8))</f>
        <v>0</v>
      </c>
      <c r="Q1470" s="45" t="s">
        <v>149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149</v>
      </c>
      <c r="P1471" s="45">
        <f>HEX2DEC(RIGHT(Table132321[[#This Row],[h1]],8))</f>
        <v>0</v>
      </c>
      <c r="Q1471" s="45" t="s">
        <v>149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149</v>
      </c>
      <c r="P1472" s="45">
        <f>HEX2DEC(RIGHT(Table132321[[#This Row],[h1]],8))</f>
        <v>0</v>
      </c>
      <c r="Q1472" s="45" t="s">
        <v>149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149</v>
      </c>
      <c r="P1473" s="45">
        <f>HEX2DEC(RIGHT(Table132321[[#This Row],[h1]],8))</f>
        <v>0</v>
      </c>
      <c r="Q1473" s="45" t="s">
        <v>149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149</v>
      </c>
      <c r="P1474" s="45">
        <f>HEX2DEC(RIGHT(Table132321[[#This Row],[h1]],8))</f>
        <v>0</v>
      </c>
      <c r="Q1474" s="45" t="s">
        <v>149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149</v>
      </c>
      <c r="P1475" s="45">
        <f>HEX2DEC(RIGHT(Table132321[[#This Row],[h1]],8))</f>
        <v>0</v>
      </c>
      <c r="Q1475" s="45" t="s">
        <v>149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149</v>
      </c>
      <c r="P1476" s="45">
        <f>HEX2DEC(RIGHT(Table132321[[#This Row],[h1]],8))</f>
        <v>0</v>
      </c>
      <c r="Q1476" s="45" t="s">
        <v>149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149</v>
      </c>
      <c r="P1477" s="45">
        <f>HEX2DEC(RIGHT(Table132321[[#This Row],[h1]],8))</f>
        <v>0</v>
      </c>
      <c r="Q1477" s="45" t="s">
        <v>149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149</v>
      </c>
      <c r="P1478" s="45">
        <f>HEX2DEC(RIGHT(Table132321[[#This Row],[h1]],8))</f>
        <v>0</v>
      </c>
      <c r="Q1478" s="45" t="s">
        <v>149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149</v>
      </c>
      <c r="P1479" s="45">
        <f>HEX2DEC(RIGHT(Table132321[[#This Row],[h1]],8))</f>
        <v>0</v>
      </c>
      <c r="Q1479" s="45" t="s">
        <v>149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149</v>
      </c>
      <c r="P1480" s="45">
        <f>HEX2DEC(RIGHT(Table132321[[#This Row],[h1]],8))</f>
        <v>0</v>
      </c>
      <c r="Q1480" s="45" t="s">
        <v>149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149</v>
      </c>
      <c r="P1481" s="45">
        <f>HEX2DEC(RIGHT(Table132321[[#This Row],[h1]],8))</f>
        <v>0</v>
      </c>
      <c r="Q1481" s="45" t="s">
        <v>149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149</v>
      </c>
      <c r="P1482" s="45">
        <f>HEX2DEC(RIGHT(Table132321[[#This Row],[h1]],8))</f>
        <v>0</v>
      </c>
      <c r="Q1482" s="45" t="s">
        <v>149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149</v>
      </c>
      <c r="P1483" s="45">
        <f>HEX2DEC(RIGHT(Table132321[[#This Row],[h1]],8))</f>
        <v>0</v>
      </c>
      <c r="Q1483" s="45" t="s">
        <v>149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149</v>
      </c>
      <c r="P1484" s="45">
        <f>HEX2DEC(RIGHT(Table132321[[#This Row],[h1]],8))</f>
        <v>0</v>
      </c>
      <c r="Q1484" s="45" t="s">
        <v>149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149</v>
      </c>
      <c r="P1485" s="45">
        <f>HEX2DEC(RIGHT(Table132321[[#This Row],[h1]],8))</f>
        <v>0</v>
      </c>
      <c r="Q1485" s="45" t="s">
        <v>149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149</v>
      </c>
      <c r="P1486" s="45">
        <f>HEX2DEC(RIGHT(Table132321[[#This Row],[h1]],8))</f>
        <v>0</v>
      </c>
      <c r="Q1486" s="45" t="s">
        <v>149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149</v>
      </c>
      <c r="P1487" s="45">
        <f>HEX2DEC(RIGHT(Table132321[[#This Row],[h1]],8))</f>
        <v>0</v>
      </c>
      <c r="Q1487" s="45" t="s">
        <v>149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149</v>
      </c>
      <c r="P1488" s="45">
        <f>HEX2DEC(RIGHT(Table132321[[#This Row],[h1]],8))</f>
        <v>0</v>
      </c>
      <c r="Q1488" s="45" t="s">
        <v>149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149</v>
      </c>
      <c r="P1489" s="45">
        <f>HEX2DEC(RIGHT(Table132321[[#This Row],[h1]],8))</f>
        <v>0</v>
      </c>
      <c r="Q1489" s="45" t="s">
        <v>149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149</v>
      </c>
      <c r="P1490" s="45">
        <f>HEX2DEC(RIGHT(Table132321[[#This Row],[h1]],8))</f>
        <v>0</v>
      </c>
      <c r="Q1490" s="45" t="s">
        <v>149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149</v>
      </c>
      <c r="P1491" s="45">
        <f>HEX2DEC(RIGHT(Table132321[[#This Row],[h1]],8))</f>
        <v>0</v>
      </c>
      <c r="Q1491" s="45" t="s">
        <v>149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149</v>
      </c>
      <c r="P1492" s="45">
        <f>HEX2DEC(RIGHT(Table132321[[#This Row],[h1]],8))</f>
        <v>0</v>
      </c>
      <c r="Q1492" s="45" t="s">
        <v>149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149</v>
      </c>
      <c r="P1493" s="45">
        <f>HEX2DEC(RIGHT(Table132321[[#This Row],[h1]],8))</f>
        <v>0</v>
      </c>
      <c r="Q1493" s="45" t="s">
        <v>149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149</v>
      </c>
      <c r="P1494" s="45">
        <f>HEX2DEC(RIGHT(Table132321[[#This Row],[h1]],8))</f>
        <v>0</v>
      </c>
      <c r="Q1494" s="45" t="s">
        <v>149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149</v>
      </c>
      <c r="P1495" s="45">
        <f>HEX2DEC(RIGHT(Table132321[[#This Row],[h1]],8))</f>
        <v>0</v>
      </c>
      <c r="Q1495" s="45" t="s">
        <v>149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149</v>
      </c>
      <c r="P1496" s="45">
        <f>HEX2DEC(RIGHT(Table132321[[#This Row],[h1]],8))</f>
        <v>0</v>
      </c>
      <c r="Q1496" s="45" t="s">
        <v>149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149</v>
      </c>
      <c r="P1497" s="45">
        <f>HEX2DEC(RIGHT(Table132321[[#This Row],[h1]],8))</f>
        <v>0</v>
      </c>
      <c r="Q1497" s="45" t="s">
        <v>149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149</v>
      </c>
      <c r="P1498" s="45">
        <f>HEX2DEC(RIGHT(Table132321[[#This Row],[h1]],8))</f>
        <v>0</v>
      </c>
      <c r="Q1498" s="45" t="s">
        <v>149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149</v>
      </c>
      <c r="P1499" s="45">
        <f>HEX2DEC(RIGHT(Table132321[[#This Row],[h1]],8))</f>
        <v>0</v>
      </c>
      <c r="Q1499" s="45" t="s">
        <v>149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149</v>
      </c>
      <c r="P1500" s="45">
        <f>HEX2DEC(RIGHT(Table132321[[#This Row],[h1]],8))</f>
        <v>0</v>
      </c>
      <c r="Q1500" s="45" t="s">
        <v>149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149</v>
      </c>
      <c r="P1501" s="45">
        <f>HEX2DEC(RIGHT(Table132321[[#This Row],[h1]],8))</f>
        <v>0</v>
      </c>
      <c r="Q1501" s="45" t="s">
        <v>149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149</v>
      </c>
      <c r="P1502" s="45">
        <f>HEX2DEC(RIGHT(Table132321[[#This Row],[h1]],8))</f>
        <v>0</v>
      </c>
      <c r="Q1502" s="45" t="s">
        <v>149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149</v>
      </c>
      <c r="P1503" s="45">
        <f>HEX2DEC(RIGHT(Table132321[[#This Row],[h1]],8))</f>
        <v>0</v>
      </c>
      <c r="Q1503" s="45" t="s">
        <v>149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149</v>
      </c>
      <c r="P1504" s="45">
        <f>HEX2DEC(RIGHT(Table132321[[#This Row],[h1]],8))</f>
        <v>0</v>
      </c>
      <c r="Q1504" s="45" t="s">
        <v>149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149</v>
      </c>
      <c r="P1505" s="45">
        <f>HEX2DEC(RIGHT(Table132321[[#This Row],[h1]],8))</f>
        <v>0</v>
      </c>
      <c r="Q1505" s="45" t="s">
        <v>149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149</v>
      </c>
      <c r="P1506" s="45">
        <f>HEX2DEC(RIGHT(Table132321[[#This Row],[h1]],8))</f>
        <v>0</v>
      </c>
      <c r="Q1506" s="45" t="s">
        <v>149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149</v>
      </c>
      <c r="P1507" s="45">
        <f>HEX2DEC(RIGHT(Table132321[[#This Row],[h1]],8))</f>
        <v>0</v>
      </c>
      <c r="Q1507" s="45" t="s">
        <v>149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149</v>
      </c>
      <c r="P1508" s="45">
        <f>HEX2DEC(RIGHT(Table132321[[#This Row],[h1]],8))</f>
        <v>0</v>
      </c>
      <c r="Q1508" s="45" t="s">
        <v>149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149</v>
      </c>
      <c r="P1509" s="45">
        <f>HEX2DEC(RIGHT(Table132321[[#This Row],[h1]],8))</f>
        <v>0</v>
      </c>
      <c r="Q1509" s="45" t="s">
        <v>149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149</v>
      </c>
      <c r="P1510" s="45">
        <f>HEX2DEC(RIGHT(Table132321[[#This Row],[h1]],8))</f>
        <v>0</v>
      </c>
      <c r="Q1510" s="45" t="s">
        <v>149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149</v>
      </c>
      <c r="P1511" s="45">
        <f>HEX2DEC(RIGHT(Table132321[[#This Row],[h1]],8))</f>
        <v>0</v>
      </c>
      <c r="Q1511" s="45" t="s">
        <v>149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149</v>
      </c>
      <c r="P1512" s="45">
        <f>HEX2DEC(RIGHT(Table132321[[#This Row],[h1]],8))</f>
        <v>0</v>
      </c>
      <c r="Q1512" s="45" t="s">
        <v>149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149</v>
      </c>
      <c r="P1513" s="45">
        <f>HEX2DEC(RIGHT(Table132321[[#This Row],[h1]],8))</f>
        <v>0</v>
      </c>
      <c r="Q1513" s="45" t="s">
        <v>149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149</v>
      </c>
      <c r="P1514" s="45">
        <f>HEX2DEC(RIGHT(Table132321[[#This Row],[h1]],8))</f>
        <v>0</v>
      </c>
      <c r="Q1514" s="45" t="s">
        <v>149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149</v>
      </c>
      <c r="P1515" s="45">
        <f>HEX2DEC(RIGHT(Table132321[[#This Row],[h1]],8))</f>
        <v>0</v>
      </c>
      <c r="Q1515" s="45" t="s">
        <v>149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149</v>
      </c>
      <c r="P1516" s="45">
        <f>HEX2DEC(RIGHT(Table132321[[#This Row],[h1]],8))</f>
        <v>0</v>
      </c>
      <c r="Q1516" s="45" t="s">
        <v>149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149</v>
      </c>
      <c r="P1517" s="45">
        <f>HEX2DEC(RIGHT(Table132321[[#This Row],[h1]],8))</f>
        <v>0</v>
      </c>
      <c r="Q1517" s="45" t="s">
        <v>149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149</v>
      </c>
      <c r="P1518" s="45">
        <f>HEX2DEC(RIGHT(Table132321[[#This Row],[h1]],8))</f>
        <v>0</v>
      </c>
      <c r="Q1518" s="45" t="s">
        <v>149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149</v>
      </c>
      <c r="P1519" s="45">
        <f>HEX2DEC(RIGHT(Table132321[[#This Row],[h1]],8))</f>
        <v>0</v>
      </c>
      <c r="Q1519" s="45" t="s">
        <v>149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149</v>
      </c>
      <c r="P1520" s="45">
        <f>HEX2DEC(RIGHT(Table132321[[#This Row],[h1]],8))</f>
        <v>0</v>
      </c>
      <c r="Q1520" s="45" t="s">
        <v>149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149</v>
      </c>
      <c r="P1521" s="45">
        <f>HEX2DEC(RIGHT(Table132321[[#This Row],[h1]],8))</f>
        <v>0</v>
      </c>
      <c r="Q1521" s="45" t="s">
        <v>149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149</v>
      </c>
      <c r="P1522" s="45">
        <f>HEX2DEC(RIGHT(Table132321[[#This Row],[h1]],8))</f>
        <v>0</v>
      </c>
      <c r="Q1522" s="45" t="s">
        <v>149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149</v>
      </c>
      <c r="P1523" s="45">
        <f>HEX2DEC(RIGHT(Table132321[[#This Row],[h1]],8))</f>
        <v>0</v>
      </c>
      <c r="Q1523" s="45" t="s">
        <v>149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149</v>
      </c>
      <c r="P1524" s="45">
        <f>HEX2DEC(RIGHT(Table132321[[#This Row],[h1]],8))</f>
        <v>0</v>
      </c>
      <c r="Q1524" s="45" t="s">
        <v>149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149</v>
      </c>
      <c r="P1525" s="45">
        <f>HEX2DEC(RIGHT(Table132321[[#This Row],[h1]],8))</f>
        <v>0</v>
      </c>
      <c r="Q1525" s="45" t="s">
        <v>149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149</v>
      </c>
      <c r="P1526" s="45">
        <f>HEX2DEC(RIGHT(Table132321[[#This Row],[h1]],8))</f>
        <v>0</v>
      </c>
      <c r="Q1526" s="45" t="s">
        <v>149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149</v>
      </c>
      <c r="P1527" s="45">
        <f>HEX2DEC(RIGHT(Table132321[[#This Row],[h1]],8))</f>
        <v>0</v>
      </c>
      <c r="Q1527" s="45" t="s">
        <v>149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149</v>
      </c>
      <c r="P1528" s="45">
        <f>HEX2DEC(RIGHT(Table132321[[#This Row],[h1]],8))</f>
        <v>0</v>
      </c>
      <c r="Q1528" s="45" t="s">
        <v>149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149</v>
      </c>
      <c r="P1529" s="45">
        <f>HEX2DEC(RIGHT(Table132321[[#This Row],[h1]],8))</f>
        <v>0</v>
      </c>
      <c r="Q1529" s="45" t="s">
        <v>149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149</v>
      </c>
      <c r="P1530" s="45">
        <f>HEX2DEC(RIGHT(Table132321[[#This Row],[h1]],8))</f>
        <v>0</v>
      </c>
      <c r="Q1530" s="45" t="s">
        <v>149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149</v>
      </c>
      <c r="P1531" s="45">
        <f>HEX2DEC(RIGHT(Table132321[[#This Row],[h1]],8))</f>
        <v>0</v>
      </c>
      <c r="Q1531" s="45" t="s">
        <v>149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149</v>
      </c>
      <c r="P1532" s="45">
        <f>HEX2DEC(RIGHT(Table132321[[#This Row],[h1]],8))</f>
        <v>0</v>
      </c>
      <c r="Q1532" s="45" t="s">
        <v>149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149</v>
      </c>
      <c r="P1533" s="45">
        <f>HEX2DEC(RIGHT(Table132321[[#This Row],[h1]],8))</f>
        <v>0</v>
      </c>
      <c r="Q1533" s="45" t="s">
        <v>149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149</v>
      </c>
      <c r="P1534" s="45">
        <f>HEX2DEC(RIGHT(Table132321[[#This Row],[h1]],8))</f>
        <v>0</v>
      </c>
      <c r="Q1534" s="45" t="s">
        <v>149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149</v>
      </c>
      <c r="P1535" s="45">
        <f>HEX2DEC(RIGHT(Table132321[[#This Row],[h1]],8))</f>
        <v>0</v>
      </c>
      <c r="Q1535" s="45" t="s">
        <v>149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149</v>
      </c>
      <c r="P1536" s="45">
        <f>HEX2DEC(RIGHT(Table132321[[#This Row],[h1]],8))</f>
        <v>0</v>
      </c>
      <c r="Q1536" s="45" t="s">
        <v>149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149</v>
      </c>
      <c r="P1537" s="45">
        <f>HEX2DEC(RIGHT(Table132321[[#This Row],[h1]],8))</f>
        <v>0</v>
      </c>
      <c r="Q1537" s="45" t="s">
        <v>149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149</v>
      </c>
      <c r="P1538" s="45">
        <f>HEX2DEC(RIGHT(Table132321[[#This Row],[h1]],8))</f>
        <v>0</v>
      </c>
      <c r="Q1538" s="45" t="s">
        <v>149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149</v>
      </c>
      <c r="P1539" s="45">
        <f>HEX2DEC(RIGHT(Table132321[[#This Row],[h1]],8))</f>
        <v>0</v>
      </c>
      <c r="Q1539" s="45" t="s">
        <v>149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149</v>
      </c>
      <c r="P1540" s="45">
        <f>HEX2DEC(RIGHT(Table132321[[#This Row],[h1]],8))</f>
        <v>0</v>
      </c>
      <c r="Q1540" s="45" t="s">
        <v>149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149</v>
      </c>
      <c r="P1541" s="45">
        <f>HEX2DEC(RIGHT(Table132321[[#This Row],[h1]],8))</f>
        <v>0</v>
      </c>
      <c r="Q1541" s="45" t="s">
        <v>149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149</v>
      </c>
      <c r="P1542" s="45">
        <f>HEX2DEC(RIGHT(Table132321[[#This Row],[h1]],8))</f>
        <v>0</v>
      </c>
      <c r="Q1542" s="45" t="s">
        <v>149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149</v>
      </c>
      <c r="P1543" s="45">
        <f>HEX2DEC(RIGHT(Table132321[[#This Row],[h1]],8))</f>
        <v>0</v>
      </c>
      <c r="Q1543" s="45" t="s">
        <v>149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149</v>
      </c>
      <c r="P1544" s="45">
        <f>HEX2DEC(RIGHT(Table132321[[#This Row],[h1]],8))</f>
        <v>0</v>
      </c>
      <c r="Q1544" s="45" t="s">
        <v>149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149</v>
      </c>
      <c r="P1545" s="45">
        <f>HEX2DEC(RIGHT(Table132321[[#This Row],[h1]],8))</f>
        <v>0</v>
      </c>
      <c r="Q1545" s="45" t="s">
        <v>149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149</v>
      </c>
      <c r="P1546" s="45">
        <f>HEX2DEC(RIGHT(Table132321[[#This Row],[h1]],8))</f>
        <v>0</v>
      </c>
      <c r="Q1546" s="45" t="s">
        <v>149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149</v>
      </c>
      <c r="P1547" s="45">
        <f>HEX2DEC(RIGHT(Table132321[[#This Row],[h1]],8))</f>
        <v>0</v>
      </c>
      <c r="Q1547" s="45" t="s">
        <v>149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149</v>
      </c>
      <c r="P1548" s="45">
        <f>HEX2DEC(RIGHT(Table132321[[#This Row],[h1]],8))</f>
        <v>0</v>
      </c>
      <c r="Q1548" s="45" t="s">
        <v>149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149</v>
      </c>
      <c r="P1549" s="45">
        <f>HEX2DEC(RIGHT(Table132321[[#This Row],[h1]],8))</f>
        <v>0</v>
      </c>
      <c r="Q1549" s="45" t="s">
        <v>149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149</v>
      </c>
      <c r="P1550" s="45">
        <f>HEX2DEC(RIGHT(Table132321[[#This Row],[h1]],8))</f>
        <v>0</v>
      </c>
      <c r="Q1550" s="45" t="s">
        <v>149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149</v>
      </c>
      <c r="P1551" s="45">
        <f>HEX2DEC(RIGHT(Table132321[[#This Row],[h1]],8))</f>
        <v>0</v>
      </c>
      <c r="Q1551" s="45" t="s">
        <v>149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149</v>
      </c>
      <c r="P1552" s="45">
        <f>HEX2DEC(RIGHT(Table132321[[#This Row],[h1]],8))</f>
        <v>0</v>
      </c>
      <c r="Q1552" s="45" t="s">
        <v>149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149</v>
      </c>
      <c r="P1553" s="45">
        <f>HEX2DEC(RIGHT(Table132321[[#This Row],[h1]],8))</f>
        <v>0</v>
      </c>
      <c r="Q1553" s="45" t="s">
        <v>149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149</v>
      </c>
      <c r="P1554" s="45">
        <f>HEX2DEC(RIGHT(Table132321[[#This Row],[h1]],8))</f>
        <v>0</v>
      </c>
      <c r="Q1554" s="45" t="s">
        <v>149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149</v>
      </c>
      <c r="P1555" s="45">
        <f>HEX2DEC(RIGHT(Table132321[[#This Row],[h1]],8))</f>
        <v>0</v>
      </c>
      <c r="Q1555" s="45" t="s">
        <v>149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149</v>
      </c>
      <c r="P1556" s="45">
        <f>HEX2DEC(RIGHT(Table132321[[#This Row],[h1]],8))</f>
        <v>0</v>
      </c>
      <c r="Q1556" s="45" t="s">
        <v>149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149</v>
      </c>
      <c r="P1557" s="45">
        <f>HEX2DEC(RIGHT(Table132321[[#This Row],[h1]],8))</f>
        <v>0</v>
      </c>
      <c r="Q1557" s="45" t="s">
        <v>149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149</v>
      </c>
      <c r="P1558" s="45">
        <f>HEX2DEC(RIGHT(Table132321[[#This Row],[h1]],8))</f>
        <v>0</v>
      </c>
      <c r="Q1558" s="45" t="s">
        <v>149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149</v>
      </c>
      <c r="P1559" s="45">
        <f>HEX2DEC(RIGHT(Table132321[[#This Row],[h1]],8))</f>
        <v>0</v>
      </c>
      <c r="Q1559" s="45" t="s">
        <v>149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149</v>
      </c>
      <c r="P1560" s="45">
        <f>HEX2DEC(RIGHT(Table132321[[#This Row],[h1]],8))</f>
        <v>0</v>
      </c>
      <c r="Q1560" s="45" t="s">
        <v>149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149</v>
      </c>
      <c r="P1561" s="45">
        <f>HEX2DEC(RIGHT(Table132321[[#This Row],[h1]],8))</f>
        <v>0</v>
      </c>
      <c r="Q1561" s="45" t="s">
        <v>149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149</v>
      </c>
      <c r="P1562" s="45">
        <f>HEX2DEC(RIGHT(Table132321[[#This Row],[h1]],8))</f>
        <v>0</v>
      </c>
      <c r="Q1562" s="45" t="s">
        <v>149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149</v>
      </c>
      <c r="P1563" s="45">
        <f>HEX2DEC(RIGHT(Table132321[[#This Row],[h1]],8))</f>
        <v>0</v>
      </c>
      <c r="Q1563" s="45" t="s">
        <v>149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149</v>
      </c>
      <c r="P1564" s="45">
        <f>HEX2DEC(RIGHT(Table132321[[#This Row],[h1]],8))</f>
        <v>0</v>
      </c>
      <c r="Q1564" s="45" t="s">
        <v>149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149</v>
      </c>
      <c r="P1565" s="45">
        <f>HEX2DEC(RIGHT(Table132321[[#This Row],[h1]],8))</f>
        <v>0</v>
      </c>
      <c r="Q1565" s="45" t="s">
        <v>149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149</v>
      </c>
      <c r="P1566" s="45">
        <f>HEX2DEC(RIGHT(Table132321[[#This Row],[h1]],8))</f>
        <v>0</v>
      </c>
      <c r="Q1566" s="45" t="s">
        <v>149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149</v>
      </c>
      <c r="P1567" s="45">
        <f>HEX2DEC(RIGHT(Table132321[[#This Row],[h1]],8))</f>
        <v>0</v>
      </c>
      <c r="Q1567" s="45" t="s">
        <v>149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149</v>
      </c>
      <c r="P1568" s="45">
        <f>HEX2DEC(RIGHT(Table132321[[#This Row],[h1]],8))</f>
        <v>0</v>
      </c>
      <c r="Q1568" s="45" t="s">
        <v>149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149</v>
      </c>
      <c r="P1569" s="45">
        <f>HEX2DEC(RIGHT(Table132321[[#This Row],[h1]],8))</f>
        <v>0</v>
      </c>
      <c r="Q1569" s="45" t="s">
        <v>149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149</v>
      </c>
      <c r="P1570" s="45">
        <f>HEX2DEC(RIGHT(Table132321[[#This Row],[h1]],8))</f>
        <v>0</v>
      </c>
      <c r="Q1570" s="45" t="s">
        <v>149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149</v>
      </c>
      <c r="P1571" s="45">
        <f>HEX2DEC(RIGHT(Table132321[[#This Row],[h1]],8))</f>
        <v>0</v>
      </c>
      <c r="Q1571" s="45" t="s">
        <v>149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149</v>
      </c>
      <c r="P1572" s="45">
        <f>HEX2DEC(RIGHT(Table132321[[#This Row],[h1]],8))</f>
        <v>0</v>
      </c>
      <c r="Q1572" s="45" t="s">
        <v>149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149</v>
      </c>
      <c r="P1573" s="45">
        <f>HEX2DEC(RIGHT(Table132321[[#This Row],[h1]],8))</f>
        <v>0</v>
      </c>
      <c r="Q1573" s="45" t="s">
        <v>149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149</v>
      </c>
      <c r="P1574" s="45">
        <f>HEX2DEC(RIGHT(Table132321[[#This Row],[h1]],8))</f>
        <v>0</v>
      </c>
      <c r="Q1574" s="45" t="s">
        <v>149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149</v>
      </c>
      <c r="P1575" s="45">
        <f>HEX2DEC(RIGHT(Table132321[[#This Row],[h1]],8))</f>
        <v>0</v>
      </c>
      <c r="Q1575" s="45" t="s">
        <v>149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149</v>
      </c>
      <c r="P1576" s="45">
        <f>HEX2DEC(RIGHT(Table132321[[#This Row],[h1]],8))</f>
        <v>0</v>
      </c>
      <c r="Q1576" s="45" t="s">
        <v>149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149</v>
      </c>
      <c r="P1577" s="45">
        <f>HEX2DEC(RIGHT(Table132321[[#This Row],[h1]],8))</f>
        <v>0</v>
      </c>
      <c r="Q1577" s="45" t="s">
        <v>149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149</v>
      </c>
      <c r="P1578" s="45">
        <f>HEX2DEC(RIGHT(Table132321[[#This Row],[h1]],8))</f>
        <v>0</v>
      </c>
      <c r="Q1578" s="45" t="s">
        <v>149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149</v>
      </c>
      <c r="P1579" s="45">
        <f>HEX2DEC(RIGHT(Table132321[[#This Row],[h1]],8))</f>
        <v>0</v>
      </c>
      <c r="Q1579" s="45" t="s">
        <v>149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149</v>
      </c>
      <c r="P1580" s="45">
        <f>HEX2DEC(RIGHT(Table132321[[#This Row],[h1]],8))</f>
        <v>0</v>
      </c>
      <c r="Q1580" s="45" t="s">
        <v>149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149</v>
      </c>
      <c r="P1581" s="45">
        <f>HEX2DEC(RIGHT(Table132321[[#This Row],[h1]],8))</f>
        <v>0</v>
      </c>
      <c r="Q1581" s="45" t="s">
        <v>149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149</v>
      </c>
      <c r="P1582" s="45">
        <f>HEX2DEC(RIGHT(Table132321[[#This Row],[h1]],8))</f>
        <v>0</v>
      </c>
      <c r="Q1582" s="45" t="s">
        <v>149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149</v>
      </c>
      <c r="P1583" s="45">
        <f>HEX2DEC(RIGHT(Table132321[[#This Row],[h1]],8))</f>
        <v>0</v>
      </c>
      <c r="Q1583" s="45" t="s">
        <v>149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149</v>
      </c>
      <c r="P1584" s="45">
        <f>HEX2DEC(RIGHT(Table132321[[#This Row],[h1]],8))</f>
        <v>0</v>
      </c>
      <c r="Q1584" s="45" t="s">
        <v>149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149</v>
      </c>
      <c r="P1585" s="45">
        <f>HEX2DEC(RIGHT(Table132321[[#This Row],[h1]],8))</f>
        <v>0</v>
      </c>
      <c r="Q1585" s="45" t="s">
        <v>149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149</v>
      </c>
      <c r="P1586" s="45">
        <f>HEX2DEC(RIGHT(Table132321[[#This Row],[h1]],8))</f>
        <v>0</v>
      </c>
      <c r="Q1586" s="45" t="s">
        <v>149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149</v>
      </c>
      <c r="P1587" s="45">
        <f>HEX2DEC(RIGHT(Table132321[[#This Row],[h1]],8))</f>
        <v>0</v>
      </c>
      <c r="Q1587" s="45" t="s">
        <v>149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149</v>
      </c>
      <c r="P1588" s="45">
        <f>HEX2DEC(RIGHT(Table132321[[#This Row],[h1]],8))</f>
        <v>0</v>
      </c>
      <c r="Q1588" s="45" t="s">
        <v>149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149</v>
      </c>
      <c r="P1589" s="45">
        <f>HEX2DEC(RIGHT(Table132321[[#This Row],[h1]],8))</f>
        <v>0</v>
      </c>
      <c r="Q1589" s="45" t="s">
        <v>149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149</v>
      </c>
      <c r="P1590" s="45">
        <f>HEX2DEC(RIGHT(Table132321[[#This Row],[h1]],8))</f>
        <v>0</v>
      </c>
      <c r="Q1590" s="45" t="s">
        <v>149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149</v>
      </c>
      <c r="P1591" s="45">
        <f>HEX2DEC(RIGHT(Table132321[[#This Row],[h1]],8))</f>
        <v>0</v>
      </c>
      <c r="Q1591" s="45" t="s">
        <v>149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149</v>
      </c>
      <c r="P1592" s="45">
        <f>HEX2DEC(RIGHT(Table132321[[#This Row],[h1]],8))</f>
        <v>0</v>
      </c>
      <c r="Q1592" s="45" t="s">
        <v>149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149</v>
      </c>
      <c r="P1593" s="45">
        <f>HEX2DEC(RIGHT(Table132321[[#This Row],[h1]],8))</f>
        <v>0</v>
      </c>
      <c r="Q1593" s="45" t="s">
        <v>149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149</v>
      </c>
      <c r="P1594" s="45">
        <f>HEX2DEC(RIGHT(Table132321[[#This Row],[h1]],8))</f>
        <v>0</v>
      </c>
      <c r="Q1594" s="45" t="s">
        <v>149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149</v>
      </c>
      <c r="P1595" s="45">
        <f>HEX2DEC(RIGHT(Table132321[[#This Row],[h1]],8))</f>
        <v>0</v>
      </c>
      <c r="Q1595" s="45" t="s">
        <v>149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149</v>
      </c>
      <c r="P1596" s="45">
        <f>HEX2DEC(RIGHT(Table132321[[#This Row],[h1]],8))</f>
        <v>0</v>
      </c>
      <c r="Q1596" s="45" t="s">
        <v>149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149</v>
      </c>
      <c r="P1597" s="45">
        <f>HEX2DEC(RIGHT(Table132321[[#This Row],[h1]],8))</f>
        <v>0</v>
      </c>
      <c r="Q1597" s="45" t="s">
        <v>149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149</v>
      </c>
      <c r="P1598" s="45">
        <f>HEX2DEC(RIGHT(Table132321[[#This Row],[h1]],8))</f>
        <v>0</v>
      </c>
      <c r="Q1598" s="45" t="s">
        <v>149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149</v>
      </c>
      <c r="P1599" s="45">
        <f>HEX2DEC(RIGHT(Table132321[[#This Row],[h1]],8))</f>
        <v>0</v>
      </c>
      <c r="Q1599" s="45" t="s">
        <v>149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149</v>
      </c>
      <c r="P1600" s="45">
        <f>HEX2DEC(RIGHT(Table132321[[#This Row],[h1]],8))</f>
        <v>0</v>
      </c>
      <c r="Q1600" s="45" t="s">
        <v>149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149</v>
      </c>
      <c r="P1601" s="45">
        <f>HEX2DEC(RIGHT(Table132321[[#This Row],[h1]],8))</f>
        <v>0</v>
      </c>
      <c r="Q1601" s="45" t="s">
        <v>149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149</v>
      </c>
      <c r="P1602" s="45">
        <f>HEX2DEC(RIGHT(Table132321[[#This Row],[h1]],8))</f>
        <v>0</v>
      </c>
      <c r="Q1602" s="45" t="s">
        <v>149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149</v>
      </c>
      <c r="P1603" s="45">
        <f>HEX2DEC(RIGHT(Table132321[[#This Row],[h1]],8))</f>
        <v>0</v>
      </c>
      <c r="Q1603" s="45" t="s">
        <v>149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149</v>
      </c>
      <c r="P1604" s="45">
        <f>HEX2DEC(RIGHT(Table132321[[#This Row],[h1]],8))</f>
        <v>0</v>
      </c>
      <c r="Q1604" s="45" t="s">
        <v>149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149</v>
      </c>
      <c r="P1605" s="45">
        <f>HEX2DEC(RIGHT(Table132321[[#This Row],[h1]],8))</f>
        <v>0</v>
      </c>
      <c r="Q1605" s="45" t="s">
        <v>149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149</v>
      </c>
      <c r="P1606" s="45">
        <f>HEX2DEC(RIGHT(Table132321[[#This Row],[h1]],8))</f>
        <v>0</v>
      </c>
      <c r="Q1606" s="45" t="s">
        <v>149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149</v>
      </c>
      <c r="P1607" s="45">
        <f>HEX2DEC(RIGHT(Table132321[[#This Row],[h1]],8))</f>
        <v>0</v>
      </c>
      <c r="Q1607" s="45" t="s">
        <v>149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149</v>
      </c>
      <c r="P1608" s="45">
        <f>HEX2DEC(RIGHT(Table132321[[#This Row],[h1]],8))</f>
        <v>0</v>
      </c>
      <c r="Q1608" s="45" t="s">
        <v>149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149</v>
      </c>
      <c r="P1609" s="45">
        <f>HEX2DEC(RIGHT(Table132321[[#This Row],[h1]],8))</f>
        <v>0</v>
      </c>
      <c r="Q1609" s="45" t="s">
        <v>149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149</v>
      </c>
      <c r="P1610" s="45">
        <f>HEX2DEC(RIGHT(Table132321[[#This Row],[h1]],8))</f>
        <v>0</v>
      </c>
      <c r="Q1610" s="45" t="s">
        <v>149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149</v>
      </c>
      <c r="P1611" s="45">
        <f>HEX2DEC(RIGHT(Table132321[[#This Row],[h1]],8))</f>
        <v>0</v>
      </c>
      <c r="Q1611" s="45" t="s">
        <v>149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149</v>
      </c>
      <c r="P1612" s="45">
        <f>HEX2DEC(RIGHT(Table132321[[#This Row],[h1]],8))</f>
        <v>0</v>
      </c>
      <c r="Q1612" s="45" t="s">
        <v>149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149</v>
      </c>
      <c r="P1613" s="45">
        <f>HEX2DEC(RIGHT(Table132321[[#This Row],[h1]],8))</f>
        <v>0</v>
      </c>
      <c r="Q1613" s="45" t="s">
        <v>149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149</v>
      </c>
      <c r="P1614" s="45">
        <f>HEX2DEC(RIGHT(Table132321[[#This Row],[h1]],8))</f>
        <v>0</v>
      </c>
      <c r="Q1614" s="45" t="s">
        <v>149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149</v>
      </c>
      <c r="P1615" s="45">
        <f>HEX2DEC(RIGHT(Table132321[[#This Row],[h1]],8))</f>
        <v>0</v>
      </c>
      <c r="Q1615" s="45" t="s">
        <v>149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149</v>
      </c>
      <c r="P1616" s="45">
        <f>HEX2DEC(RIGHT(Table132321[[#This Row],[h1]],8))</f>
        <v>0</v>
      </c>
      <c r="Q1616" s="45" t="s">
        <v>149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149</v>
      </c>
      <c r="P1617" s="45">
        <f>HEX2DEC(RIGHT(Table132321[[#This Row],[h1]],8))</f>
        <v>0</v>
      </c>
      <c r="Q1617" s="45" t="s">
        <v>149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149</v>
      </c>
      <c r="P1618" s="45">
        <f>HEX2DEC(RIGHT(Table132321[[#This Row],[h1]],8))</f>
        <v>0</v>
      </c>
      <c r="Q1618" s="45" t="s">
        <v>149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149</v>
      </c>
      <c r="P1619" s="45">
        <f>HEX2DEC(RIGHT(Table132321[[#This Row],[h1]],8))</f>
        <v>0</v>
      </c>
      <c r="Q1619" s="45" t="s">
        <v>149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149</v>
      </c>
      <c r="P1620" s="45">
        <f>HEX2DEC(RIGHT(Table132321[[#This Row],[h1]],8))</f>
        <v>0</v>
      </c>
      <c r="Q1620" s="45" t="s">
        <v>149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149</v>
      </c>
      <c r="P1621" s="45">
        <f>HEX2DEC(RIGHT(Table132321[[#This Row],[h1]],8))</f>
        <v>0</v>
      </c>
      <c r="Q1621" s="45" t="s">
        <v>149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149</v>
      </c>
      <c r="P1622" s="45">
        <f>HEX2DEC(RIGHT(Table132321[[#This Row],[h1]],8))</f>
        <v>0</v>
      </c>
      <c r="Q1622" s="45" t="s">
        <v>149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149</v>
      </c>
      <c r="P1623" s="45">
        <f>HEX2DEC(RIGHT(Table132321[[#This Row],[h1]],8))</f>
        <v>0</v>
      </c>
      <c r="Q1623" s="45" t="s">
        <v>149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149</v>
      </c>
      <c r="P1624" s="45">
        <f>HEX2DEC(RIGHT(Table132321[[#This Row],[h1]],8))</f>
        <v>0</v>
      </c>
      <c r="Q1624" s="45" t="s">
        <v>149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149</v>
      </c>
      <c r="P1625" s="45">
        <f>HEX2DEC(RIGHT(Table132321[[#This Row],[h1]],8))</f>
        <v>0</v>
      </c>
      <c r="Q1625" s="45" t="s">
        <v>149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149</v>
      </c>
      <c r="P1626" s="45">
        <f>HEX2DEC(RIGHT(Table132321[[#This Row],[h1]],8))</f>
        <v>0</v>
      </c>
      <c r="Q1626" s="45" t="s">
        <v>149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149</v>
      </c>
      <c r="P1627" s="45">
        <f>HEX2DEC(RIGHT(Table132321[[#This Row],[h1]],8))</f>
        <v>0</v>
      </c>
      <c r="Q1627" s="45" t="s">
        <v>149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149</v>
      </c>
      <c r="P1628" s="45">
        <f>HEX2DEC(RIGHT(Table132321[[#This Row],[h1]],8))</f>
        <v>0</v>
      </c>
      <c r="Q1628" s="45" t="s">
        <v>149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149</v>
      </c>
      <c r="P1629" s="45">
        <f>HEX2DEC(RIGHT(Table132321[[#This Row],[h1]],8))</f>
        <v>0</v>
      </c>
      <c r="Q1629" s="45" t="s">
        <v>149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149</v>
      </c>
      <c r="P1630" s="45">
        <f>HEX2DEC(RIGHT(Table132321[[#This Row],[h1]],8))</f>
        <v>0</v>
      </c>
      <c r="Q1630" s="45" t="s">
        <v>149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149</v>
      </c>
      <c r="P1631" s="45">
        <f>HEX2DEC(RIGHT(Table132321[[#This Row],[h1]],8))</f>
        <v>0</v>
      </c>
      <c r="Q1631" s="45" t="s">
        <v>149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149</v>
      </c>
      <c r="P1632" s="45">
        <f>HEX2DEC(RIGHT(Table132321[[#This Row],[h1]],8))</f>
        <v>0</v>
      </c>
      <c r="Q1632" s="45" t="s">
        <v>149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149</v>
      </c>
      <c r="P1633" s="45">
        <f>HEX2DEC(RIGHT(Table132321[[#This Row],[h1]],8))</f>
        <v>0</v>
      </c>
      <c r="Q1633" s="45" t="s">
        <v>149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149</v>
      </c>
      <c r="P1634" s="45">
        <f>HEX2DEC(RIGHT(Table132321[[#This Row],[h1]],8))</f>
        <v>0</v>
      </c>
      <c r="Q1634" s="45" t="s">
        <v>149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149</v>
      </c>
      <c r="P1635" s="45">
        <f>HEX2DEC(RIGHT(Table132321[[#This Row],[h1]],8))</f>
        <v>0</v>
      </c>
      <c r="Q1635" s="45" t="s">
        <v>149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149</v>
      </c>
      <c r="P1636" s="45">
        <f>HEX2DEC(RIGHT(Table132321[[#This Row],[h1]],8))</f>
        <v>0</v>
      </c>
      <c r="Q1636" s="45" t="s">
        <v>149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149</v>
      </c>
      <c r="P1637" s="45">
        <f>HEX2DEC(RIGHT(Table132321[[#This Row],[h1]],8))</f>
        <v>0</v>
      </c>
      <c r="Q1637" s="45" t="s">
        <v>149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149</v>
      </c>
      <c r="P1638" s="45">
        <f>HEX2DEC(RIGHT(Table132321[[#This Row],[h1]],8))</f>
        <v>0</v>
      </c>
      <c r="Q1638" s="45" t="s">
        <v>149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149</v>
      </c>
      <c r="P1639" s="45">
        <f>HEX2DEC(RIGHT(Table132321[[#This Row],[h1]],8))</f>
        <v>0</v>
      </c>
      <c r="Q1639" s="45" t="s">
        <v>149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149</v>
      </c>
      <c r="P1640" s="45">
        <f>HEX2DEC(RIGHT(Table132321[[#This Row],[h1]],8))</f>
        <v>0</v>
      </c>
      <c r="Q1640" s="45" t="s">
        <v>149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149</v>
      </c>
      <c r="P1641" s="45">
        <f>HEX2DEC(RIGHT(Table132321[[#This Row],[h1]],8))</f>
        <v>0</v>
      </c>
      <c r="Q1641" s="45" t="s">
        <v>149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149</v>
      </c>
      <c r="P1642" s="45">
        <f>HEX2DEC(RIGHT(Table132321[[#This Row],[h1]],8))</f>
        <v>0</v>
      </c>
      <c r="Q1642" s="45" t="s">
        <v>149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149</v>
      </c>
      <c r="P1643" s="45">
        <f>HEX2DEC(RIGHT(Table132321[[#This Row],[h1]],8))</f>
        <v>0</v>
      </c>
      <c r="Q1643" s="45" t="s">
        <v>149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149</v>
      </c>
      <c r="P1644" s="45">
        <f>HEX2DEC(RIGHT(Table132321[[#This Row],[h1]],8))</f>
        <v>0</v>
      </c>
      <c r="Q1644" s="45" t="s">
        <v>149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149</v>
      </c>
      <c r="P1645" s="45">
        <f>HEX2DEC(RIGHT(Table132321[[#This Row],[h1]],8))</f>
        <v>0</v>
      </c>
      <c r="Q1645" s="45" t="s">
        <v>149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149</v>
      </c>
      <c r="P1646" s="45">
        <f>HEX2DEC(RIGHT(Table132321[[#This Row],[h1]],8))</f>
        <v>0</v>
      </c>
      <c r="Q1646" s="45" t="s">
        <v>149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149</v>
      </c>
      <c r="P1647" s="45">
        <f>HEX2DEC(RIGHT(Table132321[[#This Row],[h1]],8))</f>
        <v>0</v>
      </c>
      <c r="Q1647" s="45" t="s">
        <v>149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149</v>
      </c>
      <c r="P1648" s="45">
        <f>HEX2DEC(RIGHT(Table132321[[#This Row],[h1]],8))</f>
        <v>0</v>
      </c>
      <c r="Q1648" s="45" t="s">
        <v>149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149</v>
      </c>
      <c r="P1649" s="45">
        <f>HEX2DEC(RIGHT(Table132321[[#This Row],[h1]],8))</f>
        <v>0</v>
      </c>
      <c r="Q1649" s="45" t="s">
        <v>149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149</v>
      </c>
      <c r="P1650" s="45">
        <f>HEX2DEC(RIGHT(Table132321[[#This Row],[h1]],8))</f>
        <v>0</v>
      </c>
      <c r="Q1650" s="45" t="s">
        <v>149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149</v>
      </c>
      <c r="P1651" s="45">
        <f>HEX2DEC(RIGHT(Table132321[[#This Row],[h1]],8))</f>
        <v>0</v>
      </c>
      <c r="Q1651" s="45" t="s">
        <v>149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149</v>
      </c>
      <c r="P1652" s="45">
        <f>HEX2DEC(RIGHT(Table132321[[#This Row],[h1]],8))</f>
        <v>0</v>
      </c>
      <c r="Q1652" s="45" t="s">
        <v>149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149</v>
      </c>
      <c r="P1653" s="45">
        <f>HEX2DEC(RIGHT(Table132321[[#This Row],[h1]],8))</f>
        <v>0</v>
      </c>
      <c r="Q1653" s="45" t="s">
        <v>149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149</v>
      </c>
      <c r="P1654" s="45">
        <f>HEX2DEC(RIGHT(Table132321[[#This Row],[h1]],8))</f>
        <v>0</v>
      </c>
      <c r="Q1654" s="45" t="s">
        <v>149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149</v>
      </c>
      <c r="P1655" s="45">
        <f>HEX2DEC(RIGHT(Table132321[[#This Row],[h1]],8))</f>
        <v>0</v>
      </c>
      <c r="Q1655" s="45" t="s">
        <v>149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149</v>
      </c>
      <c r="P1656" s="45">
        <f>HEX2DEC(RIGHT(Table132321[[#This Row],[h1]],8))</f>
        <v>0</v>
      </c>
      <c r="Q1656" s="45" t="s">
        <v>149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149</v>
      </c>
      <c r="P1657" s="45">
        <f>HEX2DEC(RIGHT(Table132321[[#This Row],[h1]],8))</f>
        <v>0</v>
      </c>
      <c r="Q1657" s="45" t="s">
        <v>149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149</v>
      </c>
      <c r="P1658" s="45">
        <f>HEX2DEC(RIGHT(Table132321[[#This Row],[h1]],8))</f>
        <v>0</v>
      </c>
      <c r="Q1658" s="45" t="s">
        <v>149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149</v>
      </c>
      <c r="P1659" s="45">
        <f>HEX2DEC(RIGHT(Table132321[[#This Row],[h1]],8))</f>
        <v>0</v>
      </c>
      <c r="Q1659" s="45" t="s">
        <v>149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149</v>
      </c>
      <c r="P1660" s="45">
        <f>HEX2DEC(RIGHT(Table132321[[#This Row],[h1]],8))</f>
        <v>0</v>
      </c>
      <c r="Q1660" s="45" t="s">
        <v>149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149</v>
      </c>
      <c r="P1661" s="45">
        <f>HEX2DEC(RIGHT(Table132321[[#This Row],[h1]],8))</f>
        <v>0</v>
      </c>
      <c r="Q1661" s="45" t="s">
        <v>149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149</v>
      </c>
      <c r="P1662" s="45">
        <f>HEX2DEC(RIGHT(Table132321[[#This Row],[h1]],8))</f>
        <v>0</v>
      </c>
      <c r="Q1662" s="45" t="s">
        <v>149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149</v>
      </c>
      <c r="P1663" s="45">
        <f>HEX2DEC(RIGHT(Table132321[[#This Row],[h1]],8))</f>
        <v>0</v>
      </c>
      <c r="Q1663" s="45" t="s">
        <v>149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149</v>
      </c>
      <c r="P1664" s="45">
        <f>HEX2DEC(RIGHT(Table132321[[#This Row],[h1]],8))</f>
        <v>0</v>
      </c>
      <c r="Q1664" s="45" t="s">
        <v>149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149</v>
      </c>
      <c r="P1665" s="45">
        <f>HEX2DEC(RIGHT(Table132321[[#This Row],[h1]],8))</f>
        <v>0</v>
      </c>
      <c r="Q1665" s="45" t="s">
        <v>149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149</v>
      </c>
      <c r="P1666" s="45">
        <f>HEX2DEC(RIGHT(Table132321[[#This Row],[h1]],8))</f>
        <v>0</v>
      </c>
      <c r="Q1666" s="45" t="s">
        <v>149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149</v>
      </c>
      <c r="P1667" s="45">
        <f>HEX2DEC(RIGHT(Table132321[[#This Row],[h1]],8))</f>
        <v>0</v>
      </c>
      <c r="Q1667" s="45" t="s">
        <v>149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149</v>
      </c>
      <c r="P1668" s="45">
        <f>HEX2DEC(RIGHT(Table132321[[#This Row],[h1]],8))</f>
        <v>0</v>
      </c>
      <c r="Q1668" s="45" t="s">
        <v>149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149</v>
      </c>
      <c r="P1669" s="45">
        <f>HEX2DEC(RIGHT(Table132321[[#This Row],[h1]],8))</f>
        <v>0</v>
      </c>
      <c r="Q1669" s="45" t="s">
        <v>149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149</v>
      </c>
      <c r="P1670" s="45">
        <f>HEX2DEC(RIGHT(Table132321[[#This Row],[h1]],8))</f>
        <v>0</v>
      </c>
      <c r="Q1670" s="45" t="s">
        <v>149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149</v>
      </c>
      <c r="P1671" s="45">
        <f>HEX2DEC(RIGHT(Table132321[[#This Row],[h1]],8))</f>
        <v>0</v>
      </c>
      <c r="Q1671" s="45" t="s">
        <v>149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149</v>
      </c>
      <c r="P1672" s="45">
        <f>HEX2DEC(RIGHT(Table132321[[#This Row],[h1]],8))</f>
        <v>0</v>
      </c>
      <c r="Q1672" s="45" t="s">
        <v>149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149</v>
      </c>
      <c r="P1673" s="45">
        <f>HEX2DEC(RIGHT(Table132321[[#This Row],[h1]],8))</f>
        <v>0</v>
      </c>
      <c r="Q1673" s="45" t="s">
        <v>149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149</v>
      </c>
      <c r="P1674" s="45">
        <f>HEX2DEC(RIGHT(Table132321[[#This Row],[h1]],8))</f>
        <v>0</v>
      </c>
      <c r="Q1674" s="45" t="s">
        <v>149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149</v>
      </c>
      <c r="P1675" s="45">
        <f>HEX2DEC(RIGHT(Table132321[[#This Row],[h1]],8))</f>
        <v>0</v>
      </c>
      <c r="Q1675" s="45" t="s">
        <v>149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149</v>
      </c>
      <c r="P1676" s="45">
        <f>HEX2DEC(RIGHT(Table132321[[#This Row],[h1]],8))</f>
        <v>0</v>
      </c>
      <c r="Q1676" s="45" t="s">
        <v>149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149</v>
      </c>
      <c r="P1677" s="45">
        <f>HEX2DEC(RIGHT(Table132321[[#This Row],[h1]],8))</f>
        <v>0</v>
      </c>
      <c r="Q1677" s="45" t="s">
        <v>149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149</v>
      </c>
      <c r="P1678" s="45">
        <f>HEX2DEC(RIGHT(Table132321[[#This Row],[h1]],8))</f>
        <v>0</v>
      </c>
      <c r="Q1678" s="45" t="s">
        <v>149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149</v>
      </c>
      <c r="P1679" s="45">
        <f>HEX2DEC(RIGHT(Table132321[[#This Row],[h1]],8))</f>
        <v>0</v>
      </c>
      <c r="Q1679" s="45" t="s">
        <v>149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149</v>
      </c>
      <c r="P1680" s="45">
        <f>HEX2DEC(RIGHT(Table132321[[#This Row],[h1]],8))</f>
        <v>0</v>
      </c>
      <c r="Q1680" s="45" t="s">
        <v>149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149</v>
      </c>
      <c r="P1681" s="45">
        <f>HEX2DEC(RIGHT(Table132321[[#This Row],[h1]],8))</f>
        <v>0</v>
      </c>
      <c r="Q1681" s="45" t="s">
        <v>149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149</v>
      </c>
      <c r="P1682" s="45">
        <f>HEX2DEC(RIGHT(Table132321[[#This Row],[h1]],8))</f>
        <v>0</v>
      </c>
      <c r="Q1682" s="45" t="s">
        <v>149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149</v>
      </c>
      <c r="P1683" s="45">
        <f>HEX2DEC(RIGHT(Table132321[[#This Row],[h1]],8))</f>
        <v>0</v>
      </c>
      <c r="Q1683" s="45" t="s">
        <v>149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149</v>
      </c>
      <c r="P1684" s="45">
        <f>HEX2DEC(RIGHT(Table132321[[#This Row],[h1]],8))</f>
        <v>0</v>
      </c>
      <c r="Q1684" s="45" t="s">
        <v>149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149</v>
      </c>
      <c r="P1685" s="45">
        <f>HEX2DEC(RIGHT(Table132321[[#This Row],[h1]],8))</f>
        <v>0</v>
      </c>
      <c r="Q1685" s="45" t="s">
        <v>149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149</v>
      </c>
      <c r="P1686" s="45">
        <f>HEX2DEC(RIGHT(Table132321[[#This Row],[h1]],8))</f>
        <v>0</v>
      </c>
      <c r="Q1686" s="45" t="s">
        <v>149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149</v>
      </c>
      <c r="P1687" s="45">
        <f>HEX2DEC(RIGHT(Table132321[[#This Row],[h1]],8))</f>
        <v>0</v>
      </c>
      <c r="Q1687" s="45" t="s">
        <v>149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149</v>
      </c>
      <c r="P1688" s="45">
        <f>HEX2DEC(RIGHT(Table132321[[#This Row],[h1]],8))</f>
        <v>0</v>
      </c>
      <c r="Q1688" s="45" t="s">
        <v>149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149</v>
      </c>
      <c r="P1689" s="45">
        <f>HEX2DEC(RIGHT(Table132321[[#This Row],[h1]],8))</f>
        <v>0</v>
      </c>
      <c r="Q1689" s="45" t="s">
        <v>149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149</v>
      </c>
      <c r="P1690" s="45">
        <f>HEX2DEC(RIGHT(Table132321[[#This Row],[h1]],8))</f>
        <v>0</v>
      </c>
      <c r="Q1690" s="45" t="s">
        <v>149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149</v>
      </c>
      <c r="P1691" s="45">
        <f>HEX2DEC(RIGHT(Table132321[[#This Row],[h1]],8))</f>
        <v>0</v>
      </c>
      <c r="Q1691" s="45" t="s">
        <v>149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149</v>
      </c>
      <c r="P1692" s="45">
        <f>HEX2DEC(RIGHT(Table132321[[#This Row],[h1]],8))</f>
        <v>0</v>
      </c>
      <c r="Q1692" s="45" t="s">
        <v>149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149</v>
      </c>
      <c r="P1693" s="45">
        <f>HEX2DEC(RIGHT(Table132321[[#This Row],[h1]],8))</f>
        <v>0</v>
      </c>
      <c r="Q1693" s="45" t="s">
        <v>149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149</v>
      </c>
      <c r="P1694" s="45">
        <f>HEX2DEC(RIGHT(Table132321[[#This Row],[h1]],8))</f>
        <v>0</v>
      </c>
      <c r="Q1694" s="45" t="s">
        <v>149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149</v>
      </c>
      <c r="P1695" s="45">
        <f>HEX2DEC(RIGHT(Table132321[[#This Row],[h1]],8))</f>
        <v>0</v>
      </c>
      <c r="Q1695" s="45" t="s">
        <v>149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149</v>
      </c>
      <c r="P1696" s="45">
        <f>HEX2DEC(RIGHT(Table132321[[#This Row],[h1]],8))</f>
        <v>0</v>
      </c>
      <c r="Q1696" s="45" t="s">
        <v>149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149</v>
      </c>
      <c r="P1697" s="45">
        <f>HEX2DEC(RIGHT(Table132321[[#This Row],[h1]],8))</f>
        <v>0</v>
      </c>
      <c r="Q1697" s="45" t="s">
        <v>149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149</v>
      </c>
      <c r="P1698" s="45">
        <f>HEX2DEC(RIGHT(Table132321[[#This Row],[h1]],8))</f>
        <v>0</v>
      </c>
      <c r="Q1698" s="45" t="s">
        <v>149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149</v>
      </c>
      <c r="P1699" s="45">
        <f>HEX2DEC(RIGHT(Table132321[[#This Row],[h1]],8))</f>
        <v>0</v>
      </c>
      <c r="Q1699" s="45" t="s">
        <v>149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149</v>
      </c>
      <c r="P1700" s="45">
        <f>HEX2DEC(RIGHT(Table132321[[#This Row],[h1]],8))</f>
        <v>0</v>
      </c>
      <c r="Q1700" s="45" t="s">
        <v>149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149</v>
      </c>
      <c r="P1701" s="45">
        <f>HEX2DEC(RIGHT(Table132321[[#This Row],[h1]],8))</f>
        <v>0</v>
      </c>
      <c r="Q1701" s="45" t="s">
        <v>149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149</v>
      </c>
      <c r="P1702" s="45">
        <f>HEX2DEC(RIGHT(Table132321[[#This Row],[h1]],8))</f>
        <v>0</v>
      </c>
      <c r="Q1702" s="45" t="s">
        <v>149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149</v>
      </c>
      <c r="P1703" s="45">
        <f>HEX2DEC(RIGHT(Table132321[[#This Row],[h1]],8))</f>
        <v>0</v>
      </c>
      <c r="Q1703" s="45" t="s">
        <v>149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149</v>
      </c>
      <c r="P1704" s="45">
        <f>HEX2DEC(RIGHT(Table132321[[#This Row],[h1]],8))</f>
        <v>0</v>
      </c>
      <c r="Q1704" s="45" t="s">
        <v>149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149</v>
      </c>
      <c r="P1705" s="45">
        <f>HEX2DEC(RIGHT(Table132321[[#This Row],[h1]],8))</f>
        <v>0</v>
      </c>
      <c r="Q1705" s="45" t="s">
        <v>149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149</v>
      </c>
      <c r="P1706" s="45">
        <f>HEX2DEC(RIGHT(Table132321[[#This Row],[h1]],8))</f>
        <v>0</v>
      </c>
      <c r="Q1706" s="45" t="s">
        <v>149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149</v>
      </c>
      <c r="P1707" s="45">
        <f>HEX2DEC(RIGHT(Table132321[[#This Row],[h1]],8))</f>
        <v>0</v>
      </c>
      <c r="Q1707" s="45" t="s">
        <v>149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149</v>
      </c>
      <c r="P1708" s="45">
        <f>HEX2DEC(RIGHT(Table132321[[#This Row],[h1]],8))</f>
        <v>0</v>
      </c>
      <c r="Q1708" s="45" t="s">
        <v>149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149</v>
      </c>
      <c r="P1709" s="45">
        <f>HEX2DEC(RIGHT(Table132321[[#This Row],[h1]],8))</f>
        <v>0</v>
      </c>
      <c r="Q1709" s="45" t="s">
        <v>149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149</v>
      </c>
      <c r="P1710" s="45">
        <f>HEX2DEC(RIGHT(Table132321[[#This Row],[h1]],8))</f>
        <v>0</v>
      </c>
      <c r="Q1710" s="45" t="s">
        <v>149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149</v>
      </c>
      <c r="P1711" s="45">
        <f>HEX2DEC(RIGHT(Table132321[[#This Row],[h1]],8))</f>
        <v>0</v>
      </c>
      <c r="Q1711" s="45" t="s">
        <v>149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149</v>
      </c>
      <c r="P1712" s="45">
        <f>HEX2DEC(RIGHT(Table132321[[#This Row],[h1]],8))</f>
        <v>0</v>
      </c>
      <c r="Q1712" s="45" t="s">
        <v>149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149</v>
      </c>
      <c r="P1713" s="45">
        <f>HEX2DEC(RIGHT(Table132321[[#This Row],[h1]],8))</f>
        <v>0</v>
      </c>
      <c r="Q1713" s="45" t="s">
        <v>149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149</v>
      </c>
      <c r="P1714" s="45">
        <f>HEX2DEC(RIGHT(Table132321[[#This Row],[h1]],8))</f>
        <v>0</v>
      </c>
      <c r="Q1714" s="45" t="s">
        <v>149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149</v>
      </c>
      <c r="P1715" s="45">
        <f>HEX2DEC(RIGHT(Table132321[[#This Row],[h1]],8))</f>
        <v>0</v>
      </c>
      <c r="Q1715" s="45" t="s">
        <v>149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149</v>
      </c>
      <c r="P1716" s="45">
        <f>HEX2DEC(RIGHT(Table132321[[#This Row],[h1]],8))</f>
        <v>0</v>
      </c>
      <c r="Q1716" s="45" t="s">
        <v>149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149</v>
      </c>
      <c r="P1717" s="45">
        <f>HEX2DEC(RIGHT(Table132321[[#This Row],[h1]],8))</f>
        <v>0</v>
      </c>
      <c r="Q1717" s="45" t="s">
        <v>149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149</v>
      </c>
      <c r="P1718" s="45">
        <f>HEX2DEC(RIGHT(Table132321[[#This Row],[h1]],8))</f>
        <v>0</v>
      </c>
      <c r="Q1718" s="45" t="s">
        <v>149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149</v>
      </c>
      <c r="P1719" s="45">
        <f>HEX2DEC(RIGHT(Table132321[[#This Row],[h1]],8))</f>
        <v>0</v>
      </c>
      <c r="Q1719" s="45" t="s">
        <v>149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149</v>
      </c>
      <c r="P1720" s="45">
        <f>HEX2DEC(RIGHT(Table132321[[#This Row],[h1]],8))</f>
        <v>0</v>
      </c>
      <c r="Q1720" s="45" t="s">
        <v>149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149</v>
      </c>
      <c r="P1721" s="45">
        <f>HEX2DEC(RIGHT(Table132321[[#This Row],[h1]],8))</f>
        <v>0</v>
      </c>
      <c r="Q1721" s="45" t="s">
        <v>149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149</v>
      </c>
      <c r="P1722" s="45">
        <f>HEX2DEC(RIGHT(Table132321[[#This Row],[h1]],8))</f>
        <v>0</v>
      </c>
      <c r="Q1722" s="45" t="s">
        <v>149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149</v>
      </c>
      <c r="P1723" s="45">
        <f>HEX2DEC(RIGHT(Table132321[[#This Row],[h1]],8))</f>
        <v>0</v>
      </c>
      <c r="Q1723" s="45" t="s">
        <v>149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149</v>
      </c>
      <c r="P1724" s="45">
        <f>HEX2DEC(RIGHT(Table132321[[#This Row],[h1]],8))</f>
        <v>0</v>
      </c>
      <c r="Q1724" s="45" t="s">
        <v>149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149</v>
      </c>
      <c r="P1725" s="45">
        <f>HEX2DEC(RIGHT(Table132321[[#This Row],[h1]],8))</f>
        <v>0</v>
      </c>
      <c r="Q1725" s="45" t="s">
        <v>149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149</v>
      </c>
      <c r="P1726" s="45">
        <f>HEX2DEC(RIGHT(Table132321[[#This Row],[h1]],8))</f>
        <v>0</v>
      </c>
      <c r="Q1726" s="45" t="s">
        <v>149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149</v>
      </c>
      <c r="P1727" s="45">
        <f>HEX2DEC(RIGHT(Table132321[[#This Row],[h1]],8))</f>
        <v>0</v>
      </c>
      <c r="Q1727" s="45" t="s">
        <v>149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149</v>
      </c>
      <c r="P1728" s="45">
        <f>HEX2DEC(RIGHT(Table132321[[#This Row],[h1]],8))</f>
        <v>0</v>
      </c>
      <c r="Q1728" s="45" t="s">
        <v>149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149</v>
      </c>
      <c r="P1729" s="45">
        <f>HEX2DEC(RIGHT(Table132321[[#This Row],[h1]],8))</f>
        <v>0</v>
      </c>
      <c r="Q1729" s="45" t="s">
        <v>149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149</v>
      </c>
      <c r="P1730" s="45">
        <f>HEX2DEC(RIGHT(Table132321[[#This Row],[h1]],8))</f>
        <v>0</v>
      </c>
      <c r="Q1730" s="45" t="s">
        <v>149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149</v>
      </c>
      <c r="P1731" s="45">
        <f>HEX2DEC(RIGHT(Table132321[[#This Row],[h1]],8))</f>
        <v>0</v>
      </c>
      <c r="Q1731" s="45" t="s">
        <v>149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149</v>
      </c>
      <c r="P1732" s="45">
        <f>HEX2DEC(RIGHT(Table132321[[#This Row],[h1]],8))</f>
        <v>0</v>
      </c>
      <c r="Q1732" s="45" t="s">
        <v>149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149</v>
      </c>
      <c r="P1733" s="45">
        <f>HEX2DEC(RIGHT(Table132321[[#This Row],[h1]],8))</f>
        <v>0</v>
      </c>
      <c r="Q1733" s="45" t="s">
        <v>149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149</v>
      </c>
      <c r="P1734" s="45">
        <f>HEX2DEC(RIGHT(Table132321[[#This Row],[h1]],8))</f>
        <v>0</v>
      </c>
      <c r="Q1734" s="45" t="s">
        <v>149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149</v>
      </c>
      <c r="P1735" s="45">
        <f>HEX2DEC(RIGHT(Table132321[[#This Row],[h1]],8))</f>
        <v>0</v>
      </c>
      <c r="Q1735" s="45" t="s">
        <v>149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149</v>
      </c>
      <c r="P1736" s="45">
        <f>HEX2DEC(RIGHT(Table132321[[#This Row],[h1]],8))</f>
        <v>0</v>
      </c>
      <c r="Q1736" s="45" t="s">
        <v>149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149</v>
      </c>
      <c r="P1737" s="45">
        <f>HEX2DEC(RIGHT(Table132321[[#This Row],[h1]],8))</f>
        <v>0</v>
      </c>
      <c r="Q1737" s="45" t="s">
        <v>149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149</v>
      </c>
      <c r="P1738" s="45">
        <f>HEX2DEC(RIGHT(Table132321[[#This Row],[h1]],8))</f>
        <v>0</v>
      </c>
      <c r="Q1738" s="45" t="s">
        <v>149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149</v>
      </c>
      <c r="P1739" s="45">
        <f>HEX2DEC(RIGHT(Table132321[[#This Row],[h1]],8))</f>
        <v>0</v>
      </c>
      <c r="Q1739" s="45" t="s">
        <v>149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149</v>
      </c>
      <c r="P1740" s="45">
        <f>HEX2DEC(RIGHT(Table132321[[#This Row],[h1]],8))</f>
        <v>0</v>
      </c>
      <c r="Q1740" s="45" t="s">
        <v>149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149</v>
      </c>
      <c r="P1741" s="45">
        <f>HEX2DEC(RIGHT(Table132321[[#This Row],[h1]],8))</f>
        <v>0</v>
      </c>
      <c r="Q1741" s="45" t="s">
        <v>149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149</v>
      </c>
      <c r="P1742" s="45">
        <f>HEX2DEC(RIGHT(Table132321[[#This Row],[h1]],8))</f>
        <v>0</v>
      </c>
      <c r="Q1742" s="45" t="s">
        <v>149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149</v>
      </c>
      <c r="P1743" s="45">
        <f>HEX2DEC(RIGHT(Table132321[[#This Row],[h1]],8))</f>
        <v>0</v>
      </c>
      <c r="Q1743" s="45" t="s">
        <v>149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149</v>
      </c>
      <c r="P1744" s="45">
        <f>HEX2DEC(RIGHT(Table132321[[#This Row],[h1]],8))</f>
        <v>0</v>
      </c>
      <c r="Q1744" s="45" t="s">
        <v>149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149</v>
      </c>
      <c r="P1745" s="45">
        <f>HEX2DEC(RIGHT(Table132321[[#This Row],[h1]],8))</f>
        <v>0</v>
      </c>
      <c r="Q1745" s="45" t="s">
        <v>149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149</v>
      </c>
      <c r="P1746" s="45">
        <f>HEX2DEC(RIGHT(Table132321[[#This Row],[h1]],8))</f>
        <v>0</v>
      </c>
      <c r="Q1746" s="45" t="s">
        <v>149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149</v>
      </c>
      <c r="P1747" s="45">
        <f>HEX2DEC(RIGHT(Table132321[[#This Row],[h1]],8))</f>
        <v>0</v>
      </c>
      <c r="Q1747" s="45" t="s">
        <v>149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149</v>
      </c>
      <c r="P1748" s="45">
        <f>HEX2DEC(RIGHT(Table132321[[#This Row],[h1]],8))</f>
        <v>0</v>
      </c>
      <c r="Q1748" s="45" t="s">
        <v>149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149</v>
      </c>
      <c r="P1749" s="45">
        <f>HEX2DEC(RIGHT(Table132321[[#This Row],[h1]],8))</f>
        <v>0</v>
      </c>
      <c r="Q1749" s="45" t="s">
        <v>149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149</v>
      </c>
      <c r="P1750" s="45">
        <f>HEX2DEC(RIGHT(Table132321[[#This Row],[h1]],8))</f>
        <v>0</v>
      </c>
      <c r="Q1750" s="45" t="s">
        <v>149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149</v>
      </c>
      <c r="P1751" s="45">
        <f>HEX2DEC(RIGHT(Table132321[[#This Row],[h1]],8))</f>
        <v>0</v>
      </c>
      <c r="Q1751" s="45" t="s">
        <v>149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149</v>
      </c>
      <c r="P1752" s="45">
        <f>HEX2DEC(RIGHT(Table132321[[#This Row],[h1]],8))</f>
        <v>0</v>
      </c>
      <c r="Q1752" s="45" t="s">
        <v>149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149</v>
      </c>
      <c r="P1753" s="45">
        <f>HEX2DEC(RIGHT(Table132321[[#This Row],[h1]],8))</f>
        <v>0</v>
      </c>
      <c r="Q1753" s="45" t="s">
        <v>149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149</v>
      </c>
      <c r="P1754" s="45">
        <f>HEX2DEC(RIGHT(Table132321[[#This Row],[h1]],8))</f>
        <v>0</v>
      </c>
      <c r="Q1754" s="45" t="s">
        <v>149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149</v>
      </c>
      <c r="P1755" s="45">
        <f>HEX2DEC(RIGHT(Table132321[[#This Row],[h1]],8))</f>
        <v>0</v>
      </c>
      <c r="Q1755" s="45" t="s">
        <v>149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149</v>
      </c>
      <c r="P1756" s="45">
        <f>HEX2DEC(RIGHT(Table132321[[#This Row],[h1]],8))</f>
        <v>0</v>
      </c>
      <c r="Q1756" s="45" t="s">
        <v>149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149</v>
      </c>
      <c r="P1757" s="45">
        <f>HEX2DEC(RIGHT(Table132321[[#This Row],[h1]],8))</f>
        <v>0</v>
      </c>
      <c r="Q1757" s="45" t="s">
        <v>149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149</v>
      </c>
      <c r="P1758" s="45">
        <f>HEX2DEC(RIGHT(Table132321[[#This Row],[h1]],8))</f>
        <v>0</v>
      </c>
      <c r="Q1758" s="45" t="s">
        <v>149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149</v>
      </c>
      <c r="P1759" s="45">
        <f>HEX2DEC(RIGHT(Table132321[[#This Row],[h1]],8))</f>
        <v>0</v>
      </c>
      <c r="Q1759" s="45" t="s">
        <v>149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149</v>
      </c>
      <c r="P1760" s="45">
        <f>HEX2DEC(RIGHT(Table132321[[#This Row],[h1]],8))</f>
        <v>0</v>
      </c>
      <c r="Q1760" s="45" t="s">
        <v>149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149</v>
      </c>
      <c r="P1761" s="45">
        <f>HEX2DEC(RIGHT(Table132321[[#This Row],[h1]],8))</f>
        <v>0</v>
      </c>
      <c r="Q1761" s="45" t="s">
        <v>149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149</v>
      </c>
      <c r="P1762" s="45">
        <f>HEX2DEC(RIGHT(Table132321[[#This Row],[h1]],8))</f>
        <v>0</v>
      </c>
      <c r="Q1762" s="45" t="s">
        <v>149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149</v>
      </c>
      <c r="P1763" s="45">
        <f>HEX2DEC(RIGHT(Table132321[[#This Row],[h1]],8))</f>
        <v>0</v>
      </c>
      <c r="Q1763" s="45" t="s">
        <v>149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149</v>
      </c>
      <c r="P1764" s="45">
        <f>HEX2DEC(RIGHT(Table132321[[#This Row],[h1]],8))</f>
        <v>0</v>
      </c>
      <c r="Q1764" s="45" t="s">
        <v>149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149</v>
      </c>
      <c r="P1765" s="45">
        <f>HEX2DEC(RIGHT(Table132321[[#This Row],[h1]],8))</f>
        <v>0</v>
      </c>
      <c r="Q1765" s="45" t="s">
        <v>149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149</v>
      </c>
      <c r="P1766" s="45">
        <f>HEX2DEC(RIGHT(Table132321[[#This Row],[h1]],8))</f>
        <v>0</v>
      </c>
      <c r="Q1766" s="45" t="s">
        <v>149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149</v>
      </c>
      <c r="P1767" s="45">
        <f>HEX2DEC(RIGHT(Table132321[[#This Row],[h1]],8))</f>
        <v>0</v>
      </c>
      <c r="Q1767" s="45" t="s">
        <v>149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149</v>
      </c>
      <c r="P1768" s="45">
        <f>HEX2DEC(RIGHT(Table132321[[#This Row],[h1]],8))</f>
        <v>0</v>
      </c>
      <c r="Q1768" s="45" t="s">
        <v>149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149</v>
      </c>
      <c r="P1769" s="45">
        <f>HEX2DEC(RIGHT(Table132321[[#This Row],[h1]],8))</f>
        <v>0</v>
      </c>
      <c r="Q1769" s="45" t="s">
        <v>149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149</v>
      </c>
      <c r="P1770" s="45">
        <f>HEX2DEC(RIGHT(Table132321[[#This Row],[h1]],8))</f>
        <v>0</v>
      </c>
      <c r="Q1770" s="45" t="s">
        <v>149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149</v>
      </c>
      <c r="P1771" s="45">
        <f>HEX2DEC(RIGHT(Table132321[[#This Row],[h1]],8))</f>
        <v>0</v>
      </c>
      <c r="Q1771" s="45" t="s">
        <v>149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149</v>
      </c>
      <c r="P1772" s="45">
        <f>HEX2DEC(RIGHT(Table132321[[#This Row],[h1]],8))</f>
        <v>0</v>
      </c>
      <c r="Q1772" s="45" t="s">
        <v>149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149</v>
      </c>
      <c r="P1773" s="45">
        <f>HEX2DEC(RIGHT(Table132321[[#This Row],[h1]],8))</f>
        <v>0</v>
      </c>
      <c r="Q1773" s="45" t="s">
        <v>149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149</v>
      </c>
      <c r="P1774" s="45">
        <f>HEX2DEC(RIGHT(Table132321[[#This Row],[h1]],8))</f>
        <v>0</v>
      </c>
      <c r="Q1774" s="45" t="s">
        <v>149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149</v>
      </c>
      <c r="P1775" s="45">
        <f>HEX2DEC(RIGHT(Table132321[[#This Row],[h1]],8))</f>
        <v>0</v>
      </c>
      <c r="Q1775" s="45" t="s">
        <v>149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149</v>
      </c>
      <c r="P1776" s="45">
        <f>HEX2DEC(RIGHT(Table132321[[#This Row],[h1]],8))</f>
        <v>0</v>
      </c>
      <c r="Q1776" s="45" t="s">
        <v>149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149</v>
      </c>
      <c r="P1777" s="45">
        <f>HEX2DEC(RIGHT(Table132321[[#This Row],[h1]],8))</f>
        <v>0</v>
      </c>
      <c r="Q1777" s="45" t="s">
        <v>149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149</v>
      </c>
      <c r="P1778" s="45">
        <f>HEX2DEC(RIGHT(Table132321[[#This Row],[h1]],8))</f>
        <v>0</v>
      </c>
      <c r="Q1778" s="45" t="s">
        <v>149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149</v>
      </c>
      <c r="P1779" s="45">
        <f>HEX2DEC(RIGHT(Table132321[[#This Row],[h1]],8))</f>
        <v>0</v>
      </c>
      <c r="Q1779" s="45" t="s">
        <v>149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149</v>
      </c>
      <c r="P1780" s="45">
        <f>HEX2DEC(RIGHT(Table132321[[#This Row],[h1]],8))</f>
        <v>0</v>
      </c>
      <c r="Q1780" s="45" t="s">
        <v>149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149</v>
      </c>
      <c r="P1781" s="45">
        <f>HEX2DEC(RIGHT(Table132321[[#This Row],[h1]],8))</f>
        <v>0</v>
      </c>
      <c r="Q1781" s="45" t="s">
        <v>149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149</v>
      </c>
      <c r="P1782" s="45">
        <f>HEX2DEC(RIGHT(Table132321[[#This Row],[h1]],8))</f>
        <v>0</v>
      </c>
      <c r="Q1782" s="45" t="s">
        <v>149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149</v>
      </c>
      <c r="P1783" s="45">
        <f>HEX2DEC(RIGHT(Table132321[[#This Row],[h1]],8))</f>
        <v>0</v>
      </c>
      <c r="Q1783" s="45" t="s">
        <v>149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149</v>
      </c>
      <c r="P1784" s="45">
        <f>HEX2DEC(RIGHT(Table132321[[#This Row],[h1]],8))</f>
        <v>0</v>
      </c>
      <c r="Q1784" s="45" t="s">
        <v>149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149</v>
      </c>
      <c r="P1785" s="45">
        <f>HEX2DEC(RIGHT(Table132321[[#This Row],[h1]],8))</f>
        <v>0</v>
      </c>
      <c r="Q1785" s="45" t="s">
        <v>149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149</v>
      </c>
      <c r="P1786" s="45">
        <f>HEX2DEC(RIGHT(Table132321[[#This Row],[h1]],8))</f>
        <v>0</v>
      </c>
      <c r="Q1786" s="45" t="s">
        <v>149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149</v>
      </c>
      <c r="P1787" s="45">
        <f>HEX2DEC(RIGHT(Table132321[[#This Row],[h1]],8))</f>
        <v>0</v>
      </c>
      <c r="Q1787" s="45" t="s">
        <v>149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149</v>
      </c>
      <c r="P1788" s="45">
        <f>HEX2DEC(RIGHT(Table132321[[#This Row],[h1]],8))</f>
        <v>0</v>
      </c>
      <c r="Q1788" s="45" t="s">
        <v>149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149</v>
      </c>
      <c r="P1789" s="45">
        <f>HEX2DEC(RIGHT(Table132321[[#This Row],[h1]],8))</f>
        <v>0</v>
      </c>
      <c r="Q1789" s="45" t="s">
        <v>149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149</v>
      </c>
      <c r="P1790" s="45">
        <f>HEX2DEC(RIGHT(Table132321[[#This Row],[h1]],8))</f>
        <v>0</v>
      </c>
      <c r="Q1790" s="45" t="s">
        <v>149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149</v>
      </c>
      <c r="P1791" s="45">
        <f>HEX2DEC(RIGHT(Table132321[[#This Row],[h1]],8))</f>
        <v>0</v>
      </c>
      <c r="Q1791" s="45" t="s">
        <v>149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149</v>
      </c>
      <c r="P1792" s="45">
        <f>HEX2DEC(RIGHT(Table132321[[#This Row],[h1]],8))</f>
        <v>0</v>
      </c>
      <c r="Q1792" s="45" t="s">
        <v>149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149</v>
      </c>
      <c r="P1793" s="45">
        <f>HEX2DEC(RIGHT(Table132321[[#This Row],[h1]],8))</f>
        <v>0</v>
      </c>
      <c r="Q1793" s="45" t="s">
        <v>149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149</v>
      </c>
      <c r="P1794" s="45">
        <f>HEX2DEC(RIGHT(Table132321[[#This Row],[h1]],8))</f>
        <v>0</v>
      </c>
      <c r="Q1794" s="45" t="s">
        <v>149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149</v>
      </c>
      <c r="P1795" s="45">
        <f>HEX2DEC(RIGHT(Table132321[[#This Row],[h1]],8))</f>
        <v>0</v>
      </c>
      <c r="Q1795" s="45" t="s">
        <v>149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149</v>
      </c>
      <c r="P1796" s="45">
        <f>HEX2DEC(RIGHT(Table132321[[#This Row],[h1]],8))</f>
        <v>0</v>
      </c>
      <c r="Q1796" s="45" t="s">
        <v>149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149</v>
      </c>
      <c r="P1797" s="45">
        <f>HEX2DEC(RIGHT(Table132321[[#This Row],[h1]],8))</f>
        <v>0</v>
      </c>
      <c r="Q1797" s="45" t="s">
        <v>149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149</v>
      </c>
      <c r="P1798" s="45">
        <f>HEX2DEC(RIGHT(Table132321[[#This Row],[h1]],8))</f>
        <v>0</v>
      </c>
      <c r="Q1798" s="45" t="s">
        <v>149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149</v>
      </c>
      <c r="P1799" s="45">
        <f>HEX2DEC(RIGHT(Table132321[[#This Row],[h1]],8))</f>
        <v>0</v>
      </c>
      <c r="Q1799" s="45" t="s">
        <v>149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149</v>
      </c>
      <c r="P1800" s="45">
        <f>HEX2DEC(RIGHT(Table132321[[#This Row],[h1]],8))</f>
        <v>0</v>
      </c>
      <c r="Q1800" s="45" t="s">
        <v>149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149</v>
      </c>
      <c r="P1801" s="45">
        <f>HEX2DEC(RIGHT(Table132321[[#This Row],[h1]],8))</f>
        <v>0</v>
      </c>
      <c r="Q1801" s="45" t="s">
        <v>149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149</v>
      </c>
      <c r="P1802" s="45">
        <f>HEX2DEC(RIGHT(Table132321[[#This Row],[h1]],8))</f>
        <v>0</v>
      </c>
      <c r="Q1802" s="45" t="s">
        <v>149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149</v>
      </c>
      <c r="P1803" s="45">
        <f>HEX2DEC(RIGHT(Table132321[[#This Row],[h1]],8))</f>
        <v>0</v>
      </c>
      <c r="Q1803" s="45" t="s">
        <v>149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149</v>
      </c>
      <c r="P1804" s="45">
        <f>HEX2DEC(RIGHT(Table132321[[#This Row],[h1]],8))</f>
        <v>0</v>
      </c>
      <c r="Q1804" s="45" t="s">
        <v>149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149</v>
      </c>
      <c r="P1805" s="45">
        <f>HEX2DEC(RIGHT(Table132321[[#This Row],[h1]],8))</f>
        <v>0</v>
      </c>
      <c r="Q1805" s="45" t="s">
        <v>149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149</v>
      </c>
      <c r="P1806" s="45">
        <f>HEX2DEC(RIGHT(Table132321[[#This Row],[h1]],8))</f>
        <v>0</v>
      </c>
      <c r="Q1806" s="45" t="s">
        <v>149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149</v>
      </c>
      <c r="P1807" s="45">
        <f>HEX2DEC(RIGHT(Table132321[[#This Row],[h1]],8))</f>
        <v>0</v>
      </c>
      <c r="Q1807" s="45" t="s">
        <v>149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149</v>
      </c>
      <c r="P1808" s="45">
        <f>HEX2DEC(RIGHT(Table132321[[#This Row],[h1]],8))</f>
        <v>0</v>
      </c>
      <c r="Q1808" s="45" t="s">
        <v>149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149</v>
      </c>
      <c r="P1809" s="45">
        <f>HEX2DEC(RIGHT(Table132321[[#This Row],[h1]],8))</f>
        <v>0</v>
      </c>
      <c r="Q1809" s="45" t="s">
        <v>149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149</v>
      </c>
      <c r="P1810" s="45">
        <f>HEX2DEC(RIGHT(Table132321[[#This Row],[h1]],8))</f>
        <v>0</v>
      </c>
      <c r="Q1810" s="45" t="s">
        <v>149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149</v>
      </c>
      <c r="P1811" s="45">
        <f>HEX2DEC(RIGHT(Table132321[[#This Row],[h1]],8))</f>
        <v>0</v>
      </c>
      <c r="Q1811" s="45" t="s">
        <v>149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149</v>
      </c>
      <c r="P1812" s="45">
        <f>HEX2DEC(RIGHT(Table132321[[#This Row],[h1]],8))</f>
        <v>0</v>
      </c>
      <c r="Q1812" s="45" t="s">
        <v>149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149</v>
      </c>
      <c r="P1813" s="45">
        <f>HEX2DEC(RIGHT(Table132321[[#This Row],[h1]],8))</f>
        <v>0</v>
      </c>
      <c r="Q1813" s="45" t="s">
        <v>149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149</v>
      </c>
      <c r="P1814" s="45">
        <f>HEX2DEC(RIGHT(Table132321[[#This Row],[h1]],8))</f>
        <v>0</v>
      </c>
      <c r="Q1814" s="45" t="s">
        <v>149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149</v>
      </c>
      <c r="P1815" s="45">
        <f>HEX2DEC(RIGHT(Table132321[[#This Row],[h1]],8))</f>
        <v>0</v>
      </c>
      <c r="Q1815" s="45" t="s">
        <v>149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149</v>
      </c>
      <c r="P1816" s="45">
        <f>HEX2DEC(RIGHT(Table132321[[#This Row],[h1]],8))</f>
        <v>0</v>
      </c>
      <c r="Q1816" s="45" t="s">
        <v>149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149</v>
      </c>
      <c r="P1817" s="45">
        <f>HEX2DEC(RIGHT(Table132321[[#This Row],[h1]],8))</f>
        <v>0</v>
      </c>
      <c r="Q1817" s="45" t="s">
        <v>149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149</v>
      </c>
      <c r="P1818" s="45">
        <f>HEX2DEC(RIGHT(Table132321[[#This Row],[h1]],8))</f>
        <v>0</v>
      </c>
      <c r="Q1818" s="45" t="s">
        <v>149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149</v>
      </c>
      <c r="P1819" s="45">
        <f>HEX2DEC(RIGHT(Table132321[[#This Row],[h1]],8))</f>
        <v>0</v>
      </c>
      <c r="Q1819" s="45" t="s">
        <v>149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149</v>
      </c>
      <c r="P1820" s="45">
        <f>HEX2DEC(RIGHT(Table132321[[#This Row],[h1]],8))</f>
        <v>0</v>
      </c>
      <c r="Q1820" s="45" t="s">
        <v>149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149</v>
      </c>
      <c r="P1821" s="45">
        <f>HEX2DEC(RIGHT(Table132321[[#This Row],[h1]],8))</f>
        <v>0</v>
      </c>
      <c r="Q1821" s="45" t="s">
        <v>149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149</v>
      </c>
      <c r="P1822" s="45">
        <f>HEX2DEC(RIGHT(Table132321[[#This Row],[h1]],8))</f>
        <v>0</v>
      </c>
      <c r="Q1822" s="45" t="s">
        <v>149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149</v>
      </c>
      <c r="P1823" s="45">
        <f>HEX2DEC(RIGHT(Table132321[[#This Row],[h1]],8))</f>
        <v>0</v>
      </c>
      <c r="Q1823" s="45" t="s">
        <v>149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149</v>
      </c>
      <c r="P1824" s="45">
        <f>HEX2DEC(RIGHT(Table132321[[#This Row],[h1]],8))</f>
        <v>0</v>
      </c>
      <c r="Q1824" s="45" t="s">
        <v>149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149</v>
      </c>
      <c r="P1825" s="45">
        <f>HEX2DEC(RIGHT(Table132321[[#This Row],[h1]],8))</f>
        <v>0</v>
      </c>
      <c r="Q1825" s="45" t="s">
        <v>149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149</v>
      </c>
      <c r="P1826" s="45">
        <f>HEX2DEC(RIGHT(Table132321[[#This Row],[h1]],8))</f>
        <v>0</v>
      </c>
      <c r="Q1826" s="45" t="s">
        <v>149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149</v>
      </c>
      <c r="P1827" s="45">
        <f>HEX2DEC(RIGHT(Table132321[[#This Row],[h1]],8))</f>
        <v>0</v>
      </c>
      <c r="Q1827" s="45" t="s">
        <v>149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149</v>
      </c>
      <c r="P1828" s="45">
        <f>HEX2DEC(RIGHT(Table132321[[#This Row],[h1]],8))</f>
        <v>0</v>
      </c>
      <c r="Q1828" s="45" t="s">
        <v>149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149</v>
      </c>
      <c r="P1829" s="45">
        <f>HEX2DEC(RIGHT(Table132321[[#This Row],[h1]],8))</f>
        <v>0</v>
      </c>
      <c r="Q1829" s="45" t="s">
        <v>149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149</v>
      </c>
      <c r="P1830" s="45">
        <f>HEX2DEC(RIGHT(Table132321[[#This Row],[h1]],8))</f>
        <v>0</v>
      </c>
      <c r="Q1830" s="45" t="s">
        <v>149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149</v>
      </c>
      <c r="P1831" s="45">
        <f>HEX2DEC(RIGHT(Table132321[[#This Row],[h1]],8))</f>
        <v>0</v>
      </c>
      <c r="Q1831" s="45" t="s">
        <v>149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149</v>
      </c>
      <c r="P1832" s="45">
        <f>HEX2DEC(RIGHT(Table132321[[#This Row],[h1]],8))</f>
        <v>0</v>
      </c>
      <c r="Q1832" s="45" t="s">
        <v>149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149</v>
      </c>
      <c r="P1833" s="45">
        <f>HEX2DEC(RIGHT(Table132321[[#This Row],[h1]],8))</f>
        <v>0</v>
      </c>
      <c r="Q1833" s="45" t="s">
        <v>149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149</v>
      </c>
      <c r="P1834" s="45">
        <f>HEX2DEC(RIGHT(Table132321[[#This Row],[h1]],8))</f>
        <v>0</v>
      </c>
      <c r="Q1834" s="45" t="s">
        <v>149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149</v>
      </c>
      <c r="P1835" s="45">
        <f>HEX2DEC(RIGHT(Table132321[[#This Row],[h1]],8))</f>
        <v>0</v>
      </c>
      <c r="Q1835" s="45" t="s">
        <v>149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149</v>
      </c>
      <c r="P1836" s="45">
        <f>HEX2DEC(RIGHT(Table132321[[#This Row],[h1]],8))</f>
        <v>0</v>
      </c>
      <c r="Q1836" s="45" t="s">
        <v>149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149</v>
      </c>
      <c r="P1837" s="45">
        <f>HEX2DEC(RIGHT(Table132321[[#This Row],[h1]],8))</f>
        <v>0</v>
      </c>
      <c r="Q1837" s="45" t="s">
        <v>149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149</v>
      </c>
      <c r="P1838" s="45">
        <f>HEX2DEC(RIGHT(Table132321[[#This Row],[h1]],8))</f>
        <v>0</v>
      </c>
      <c r="Q1838" s="45" t="s">
        <v>149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149</v>
      </c>
      <c r="P1839" s="45">
        <f>HEX2DEC(RIGHT(Table132321[[#This Row],[h1]],8))</f>
        <v>0</v>
      </c>
      <c r="Q1839" s="45" t="s">
        <v>149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149</v>
      </c>
      <c r="P1840" s="45">
        <f>HEX2DEC(RIGHT(Table132321[[#This Row],[h1]],8))</f>
        <v>0</v>
      </c>
      <c r="Q1840" s="45" t="s">
        <v>149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149</v>
      </c>
      <c r="P1841" s="45">
        <f>HEX2DEC(RIGHT(Table132321[[#This Row],[h1]],8))</f>
        <v>0</v>
      </c>
      <c r="Q1841" s="45" t="s">
        <v>149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149</v>
      </c>
      <c r="P1842" s="45">
        <f>HEX2DEC(RIGHT(Table132321[[#This Row],[h1]],8))</f>
        <v>0</v>
      </c>
      <c r="Q1842" s="45" t="s">
        <v>149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149</v>
      </c>
      <c r="P1843" s="45">
        <f>HEX2DEC(RIGHT(Table132321[[#This Row],[h1]],8))</f>
        <v>0</v>
      </c>
      <c r="Q1843" s="45" t="s">
        <v>149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149</v>
      </c>
      <c r="P1844" s="45">
        <f>HEX2DEC(RIGHT(Table132321[[#This Row],[h1]],8))</f>
        <v>0</v>
      </c>
      <c r="Q1844" s="45" t="s">
        <v>149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149</v>
      </c>
      <c r="P1845" s="45">
        <f>HEX2DEC(RIGHT(Table132321[[#This Row],[h1]],8))</f>
        <v>0</v>
      </c>
      <c r="Q1845" s="45" t="s">
        <v>149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149</v>
      </c>
      <c r="P1846" s="45">
        <f>HEX2DEC(RIGHT(Table132321[[#This Row],[h1]],8))</f>
        <v>0</v>
      </c>
      <c r="Q1846" s="45" t="s">
        <v>149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149</v>
      </c>
      <c r="P1847" s="45">
        <f>HEX2DEC(RIGHT(Table132321[[#This Row],[h1]],8))</f>
        <v>0</v>
      </c>
      <c r="Q1847" s="45" t="s">
        <v>149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149</v>
      </c>
      <c r="P1848" s="45">
        <f>HEX2DEC(RIGHT(Table132321[[#This Row],[h1]],8))</f>
        <v>0</v>
      </c>
      <c r="Q1848" s="45" t="s">
        <v>149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149</v>
      </c>
      <c r="P1849" s="45">
        <f>HEX2DEC(RIGHT(Table132321[[#This Row],[h1]],8))</f>
        <v>0</v>
      </c>
      <c r="Q1849" s="45" t="s">
        <v>149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149</v>
      </c>
      <c r="P1850" s="45">
        <f>HEX2DEC(RIGHT(Table132321[[#This Row],[h1]],8))</f>
        <v>0</v>
      </c>
      <c r="Q1850" s="45" t="s">
        <v>149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149</v>
      </c>
      <c r="P1851" s="45">
        <f>HEX2DEC(RIGHT(Table132321[[#This Row],[h1]],8))</f>
        <v>0</v>
      </c>
      <c r="Q1851" s="45" t="s">
        <v>149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149</v>
      </c>
      <c r="P1852" s="45">
        <f>HEX2DEC(RIGHT(Table132321[[#This Row],[h1]],8))</f>
        <v>0</v>
      </c>
      <c r="Q1852" s="45" t="s">
        <v>149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149</v>
      </c>
      <c r="P1853" s="45">
        <f>HEX2DEC(RIGHT(Table132321[[#This Row],[h1]],8))</f>
        <v>0</v>
      </c>
      <c r="Q1853" s="45" t="s">
        <v>149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149</v>
      </c>
      <c r="P1854" s="45">
        <f>HEX2DEC(RIGHT(Table132321[[#This Row],[h1]],8))</f>
        <v>0</v>
      </c>
      <c r="Q1854" s="45" t="s">
        <v>149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149</v>
      </c>
      <c r="P1855" s="45">
        <f>HEX2DEC(RIGHT(Table132321[[#This Row],[h1]],8))</f>
        <v>0</v>
      </c>
      <c r="Q1855" s="45" t="s">
        <v>149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149</v>
      </c>
      <c r="P1856" s="45">
        <f>HEX2DEC(RIGHT(Table132321[[#This Row],[h1]],8))</f>
        <v>0</v>
      </c>
      <c r="Q1856" s="45" t="s">
        <v>149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149</v>
      </c>
      <c r="P1857" s="45">
        <f>HEX2DEC(RIGHT(Table132321[[#This Row],[h1]],8))</f>
        <v>0</v>
      </c>
      <c r="Q1857" s="45" t="s">
        <v>149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149</v>
      </c>
      <c r="P1858" s="45">
        <f>HEX2DEC(RIGHT(Table132321[[#This Row],[h1]],8))</f>
        <v>0</v>
      </c>
      <c r="Q1858" s="45" t="s">
        <v>149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149</v>
      </c>
      <c r="P1859" s="45">
        <f>HEX2DEC(RIGHT(Table132321[[#This Row],[h1]],8))</f>
        <v>0</v>
      </c>
      <c r="Q1859" s="45" t="s">
        <v>149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149</v>
      </c>
      <c r="P1860" s="45">
        <f>HEX2DEC(RIGHT(Table132321[[#This Row],[h1]],8))</f>
        <v>0</v>
      </c>
      <c r="Q1860" s="45" t="s">
        <v>149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149</v>
      </c>
      <c r="P1861" s="45">
        <f>HEX2DEC(RIGHT(Table132321[[#This Row],[h1]],8))</f>
        <v>0</v>
      </c>
      <c r="Q1861" s="45" t="s">
        <v>149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149</v>
      </c>
      <c r="P1862" s="45">
        <f>HEX2DEC(RIGHT(Table132321[[#This Row],[h1]],8))</f>
        <v>0</v>
      </c>
      <c r="Q1862" s="45" t="s">
        <v>149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149</v>
      </c>
      <c r="P1863" s="45">
        <f>HEX2DEC(RIGHT(Table132321[[#This Row],[h1]],8))</f>
        <v>0</v>
      </c>
      <c r="Q1863" s="45" t="s">
        <v>149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149</v>
      </c>
      <c r="P1864" s="45">
        <f>HEX2DEC(RIGHT(Table132321[[#This Row],[h1]],8))</f>
        <v>0</v>
      </c>
      <c r="Q1864" s="45" t="s">
        <v>149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149</v>
      </c>
      <c r="P1865" s="45">
        <f>HEX2DEC(RIGHT(Table132321[[#This Row],[h1]],8))</f>
        <v>0</v>
      </c>
      <c r="Q1865" s="45" t="s">
        <v>149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149</v>
      </c>
      <c r="P1866" s="45">
        <f>HEX2DEC(RIGHT(Table132321[[#This Row],[h1]],8))</f>
        <v>0</v>
      </c>
      <c r="Q1866" s="45" t="s">
        <v>149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149</v>
      </c>
      <c r="P1867" s="45">
        <f>HEX2DEC(RIGHT(Table132321[[#This Row],[h1]],8))</f>
        <v>0</v>
      </c>
      <c r="Q1867" s="45" t="s">
        <v>149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149</v>
      </c>
      <c r="P1868" s="45">
        <f>HEX2DEC(RIGHT(Table132321[[#This Row],[h1]],8))</f>
        <v>0</v>
      </c>
      <c r="Q1868" s="45" t="s">
        <v>149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149</v>
      </c>
      <c r="P1869" s="45">
        <f>HEX2DEC(RIGHT(Table132321[[#This Row],[h1]],8))</f>
        <v>0</v>
      </c>
      <c r="Q1869" s="45" t="s">
        <v>149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149</v>
      </c>
      <c r="P1870" s="45">
        <f>HEX2DEC(RIGHT(Table132321[[#This Row],[h1]],8))</f>
        <v>0</v>
      </c>
      <c r="Q1870" s="45" t="s">
        <v>149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149</v>
      </c>
      <c r="P1871" s="45">
        <f>HEX2DEC(RIGHT(Table132321[[#This Row],[h1]],8))</f>
        <v>0</v>
      </c>
      <c r="Q1871" s="45" t="s">
        <v>149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149</v>
      </c>
      <c r="P1872" s="45">
        <f>HEX2DEC(RIGHT(Table132321[[#This Row],[h1]],8))</f>
        <v>0</v>
      </c>
      <c r="Q1872" s="45" t="s">
        <v>149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149</v>
      </c>
      <c r="P1873" s="45">
        <f>HEX2DEC(RIGHT(Table132321[[#This Row],[h1]],8))</f>
        <v>0</v>
      </c>
      <c r="Q1873" s="45" t="s">
        <v>149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149</v>
      </c>
      <c r="P1874" s="45">
        <f>HEX2DEC(RIGHT(Table132321[[#This Row],[h1]],8))</f>
        <v>0</v>
      </c>
      <c r="Q1874" s="45" t="s">
        <v>149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149</v>
      </c>
      <c r="P1875" s="45">
        <f>HEX2DEC(RIGHT(Table132321[[#This Row],[h1]],8))</f>
        <v>0</v>
      </c>
      <c r="Q1875" s="45" t="s">
        <v>149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149</v>
      </c>
      <c r="P1876" s="45">
        <f>HEX2DEC(RIGHT(Table132321[[#This Row],[h1]],8))</f>
        <v>0</v>
      </c>
      <c r="Q1876" s="45" t="s">
        <v>149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149</v>
      </c>
      <c r="P1877" s="45">
        <f>HEX2DEC(RIGHT(Table132321[[#This Row],[h1]],8))</f>
        <v>0</v>
      </c>
      <c r="Q1877" s="45" t="s">
        <v>149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149</v>
      </c>
      <c r="P1878" s="45">
        <f>HEX2DEC(RIGHT(Table132321[[#This Row],[h1]],8))</f>
        <v>0</v>
      </c>
      <c r="Q1878" s="45" t="s">
        <v>149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149</v>
      </c>
      <c r="P1879" s="45">
        <f>HEX2DEC(RIGHT(Table132321[[#This Row],[h1]],8))</f>
        <v>0</v>
      </c>
      <c r="Q1879" s="45" t="s">
        <v>149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149</v>
      </c>
      <c r="P1880" s="45">
        <f>HEX2DEC(RIGHT(Table132321[[#This Row],[h1]],8))</f>
        <v>0</v>
      </c>
      <c r="Q1880" s="45" t="s">
        <v>149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149</v>
      </c>
      <c r="P1881" s="45">
        <f>HEX2DEC(RIGHT(Table132321[[#This Row],[h1]],8))</f>
        <v>0</v>
      </c>
      <c r="Q1881" s="45" t="s">
        <v>149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149</v>
      </c>
      <c r="P1882" s="45">
        <f>HEX2DEC(RIGHT(Table132321[[#This Row],[h1]],8))</f>
        <v>0</v>
      </c>
      <c r="Q1882" s="45" t="s">
        <v>149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149</v>
      </c>
      <c r="P1883" s="45">
        <f>HEX2DEC(RIGHT(Table132321[[#This Row],[h1]],8))</f>
        <v>0</v>
      </c>
      <c r="Q1883" s="45" t="s">
        <v>149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149</v>
      </c>
      <c r="P1884" s="45">
        <f>HEX2DEC(RIGHT(Table132321[[#This Row],[h1]],8))</f>
        <v>0</v>
      </c>
      <c r="Q1884" s="45" t="s">
        <v>149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149</v>
      </c>
      <c r="P1885" s="45">
        <f>HEX2DEC(RIGHT(Table132321[[#This Row],[h1]],8))</f>
        <v>0</v>
      </c>
      <c r="Q1885" s="45" t="s">
        <v>149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149</v>
      </c>
      <c r="P1886" s="45">
        <f>HEX2DEC(RIGHT(Table132321[[#This Row],[h1]],8))</f>
        <v>0</v>
      </c>
      <c r="Q1886" s="45" t="s">
        <v>149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149</v>
      </c>
      <c r="P1887" s="45">
        <f>HEX2DEC(RIGHT(Table132321[[#This Row],[h1]],8))</f>
        <v>0</v>
      </c>
      <c r="Q1887" s="45" t="s">
        <v>149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149</v>
      </c>
      <c r="P1888" s="45">
        <f>HEX2DEC(RIGHT(Table132321[[#This Row],[h1]],8))</f>
        <v>0</v>
      </c>
      <c r="Q1888" s="45" t="s">
        <v>149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149</v>
      </c>
      <c r="P1889" s="45">
        <f>HEX2DEC(RIGHT(Table132321[[#This Row],[h1]],8))</f>
        <v>0</v>
      </c>
      <c r="Q1889" s="45" t="s">
        <v>149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149</v>
      </c>
      <c r="P1890" s="45">
        <f>HEX2DEC(RIGHT(Table132321[[#This Row],[h1]],8))</f>
        <v>0</v>
      </c>
      <c r="Q1890" s="45" t="s">
        <v>149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149</v>
      </c>
      <c r="P1891" s="45">
        <f>HEX2DEC(RIGHT(Table132321[[#This Row],[h1]],8))</f>
        <v>0</v>
      </c>
      <c r="Q1891" s="45" t="s">
        <v>149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149</v>
      </c>
      <c r="P1892" s="45">
        <f>HEX2DEC(RIGHT(Table132321[[#This Row],[h1]],8))</f>
        <v>0</v>
      </c>
      <c r="Q1892" s="45" t="s">
        <v>149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149</v>
      </c>
      <c r="P1893" s="45">
        <f>HEX2DEC(RIGHT(Table132321[[#This Row],[h1]],8))</f>
        <v>0</v>
      </c>
      <c r="Q1893" s="45" t="s">
        <v>149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149</v>
      </c>
      <c r="P1894" s="45">
        <f>HEX2DEC(RIGHT(Table132321[[#This Row],[h1]],8))</f>
        <v>0</v>
      </c>
      <c r="Q1894" s="45" t="s">
        <v>149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149</v>
      </c>
      <c r="P1895" s="45">
        <f>HEX2DEC(RIGHT(Table132321[[#This Row],[h1]],8))</f>
        <v>0</v>
      </c>
      <c r="Q1895" s="45" t="s">
        <v>149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149</v>
      </c>
      <c r="P1896" s="45">
        <f>HEX2DEC(RIGHT(Table132321[[#This Row],[h1]],8))</f>
        <v>0</v>
      </c>
      <c r="Q1896" s="45" t="s">
        <v>149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149</v>
      </c>
      <c r="P1897" s="45">
        <f>HEX2DEC(RIGHT(Table132321[[#This Row],[h1]],8))</f>
        <v>0</v>
      </c>
      <c r="Q1897" s="45" t="s">
        <v>149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149</v>
      </c>
      <c r="P1898" s="45">
        <f>HEX2DEC(RIGHT(Table132321[[#This Row],[h1]],8))</f>
        <v>0</v>
      </c>
      <c r="Q1898" s="45" t="s">
        <v>149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149</v>
      </c>
      <c r="P1899" s="45">
        <f>HEX2DEC(RIGHT(Table132321[[#This Row],[h1]],8))</f>
        <v>0</v>
      </c>
      <c r="Q1899" s="45" t="s">
        <v>149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149</v>
      </c>
      <c r="P1900" s="45">
        <f>HEX2DEC(RIGHT(Table132321[[#This Row],[h1]],8))</f>
        <v>0</v>
      </c>
      <c r="Q1900" s="45" t="s">
        <v>149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149</v>
      </c>
      <c r="P1901" s="45">
        <f>HEX2DEC(RIGHT(Table132321[[#This Row],[h1]],8))</f>
        <v>0</v>
      </c>
      <c r="Q1901" s="45" t="s">
        <v>149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149</v>
      </c>
      <c r="P1902" s="45">
        <f>HEX2DEC(RIGHT(Table132321[[#This Row],[h1]],8))</f>
        <v>0</v>
      </c>
      <c r="Q1902" s="45" t="s">
        <v>149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149</v>
      </c>
      <c r="P1903" s="45">
        <f>HEX2DEC(RIGHT(Table132321[[#This Row],[h1]],8))</f>
        <v>0</v>
      </c>
      <c r="Q1903" s="45" t="s">
        <v>149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149</v>
      </c>
      <c r="P1904" s="45">
        <f>HEX2DEC(RIGHT(Table132321[[#This Row],[h1]],8))</f>
        <v>0</v>
      </c>
      <c r="Q1904" s="45" t="s">
        <v>149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149</v>
      </c>
      <c r="P1905" s="45">
        <f>HEX2DEC(RIGHT(Table132321[[#This Row],[h1]],8))</f>
        <v>0</v>
      </c>
      <c r="Q1905" s="45" t="s">
        <v>149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149</v>
      </c>
      <c r="P1906" s="45">
        <f>HEX2DEC(RIGHT(Table132321[[#This Row],[h1]],8))</f>
        <v>0</v>
      </c>
      <c r="Q1906" s="45" t="s">
        <v>149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149</v>
      </c>
      <c r="P1907" s="45">
        <f>HEX2DEC(RIGHT(Table132321[[#This Row],[h1]],8))</f>
        <v>0</v>
      </c>
      <c r="Q1907" s="45" t="s">
        <v>149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149</v>
      </c>
      <c r="P1908" s="45">
        <f>HEX2DEC(RIGHT(Table132321[[#This Row],[h1]],8))</f>
        <v>0</v>
      </c>
      <c r="Q1908" s="45" t="s">
        <v>149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149</v>
      </c>
      <c r="P1909" s="45">
        <f>HEX2DEC(RIGHT(Table132321[[#This Row],[h1]],8))</f>
        <v>0</v>
      </c>
      <c r="Q1909" s="45" t="s">
        <v>149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149</v>
      </c>
      <c r="P1910" s="45">
        <f>HEX2DEC(RIGHT(Table132321[[#This Row],[h1]],8))</f>
        <v>0</v>
      </c>
      <c r="Q1910" s="45" t="s">
        <v>149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149</v>
      </c>
      <c r="P1911" s="45">
        <f>HEX2DEC(RIGHT(Table132321[[#This Row],[h1]],8))</f>
        <v>0</v>
      </c>
      <c r="Q1911" s="45" t="s">
        <v>149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149</v>
      </c>
      <c r="P1912" s="45">
        <f>HEX2DEC(RIGHT(Table132321[[#This Row],[h1]],8))</f>
        <v>0</v>
      </c>
      <c r="Q1912" s="45" t="s">
        <v>149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149</v>
      </c>
      <c r="P1913" s="45">
        <f>HEX2DEC(RIGHT(Table132321[[#This Row],[h1]],8))</f>
        <v>0</v>
      </c>
      <c r="Q1913" s="45" t="s">
        <v>149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149</v>
      </c>
      <c r="P1914" s="45">
        <f>HEX2DEC(RIGHT(Table132321[[#This Row],[h1]],8))</f>
        <v>0</v>
      </c>
      <c r="Q1914" s="45" t="s">
        <v>149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149</v>
      </c>
      <c r="P1915" s="45">
        <f>HEX2DEC(RIGHT(Table132321[[#This Row],[h1]],8))</f>
        <v>0</v>
      </c>
      <c r="Q1915" s="45" t="s">
        <v>149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149</v>
      </c>
      <c r="P1916" s="45">
        <f>HEX2DEC(RIGHT(Table132321[[#This Row],[h1]],8))</f>
        <v>0</v>
      </c>
      <c r="Q1916" s="45" t="s">
        <v>149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149</v>
      </c>
      <c r="P1917" s="45">
        <f>HEX2DEC(RIGHT(Table132321[[#This Row],[h1]],8))</f>
        <v>0</v>
      </c>
      <c r="Q1917" s="45" t="s">
        <v>149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149</v>
      </c>
      <c r="P1918" s="45">
        <f>HEX2DEC(RIGHT(Table132321[[#This Row],[h1]],8))</f>
        <v>0</v>
      </c>
      <c r="Q1918" s="45" t="s">
        <v>149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149</v>
      </c>
      <c r="P1919" s="45">
        <f>HEX2DEC(RIGHT(Table132321[[#This Row],[h1]],8))</f>
        <v>0</v>
      </c>
      <c r="Q1919" s="45" t="s">
        <v>149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149</v>
      </c>
      <c r="P1920" s="45">
        <f>HEX2DEC(RIGHT(Table132321[[#This Row],[h1]],8))</f>
        <v>0</v>
      </c>
      <c r="Q1920" s="45" t="s">
        <v>149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149</v>
      </c>
      <c r="P1921" s="45">
        <f>HEX2DEC(RIGHT(Table132321[[#This Row],[h1]],8))</f>
        <v>0</v>
      </c>
      <c r="Q1921" s="45" t="s">
        <v>149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149</v>
      </c>
      <c r="P1922" s="45">
        <f>HEX2DEC(RIGHT(Table132321[[#This Row],[h1]],8))</f>
        <v>0</v>
      </c>
      <c r="Q1922" s="45" t="s">
        <v>149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149</v>
      </c>
      <c r="P1923" s="45">
        <f>HEX2DEC(RIGHT(Table132321[[#This Row],[h1]],8))</f>
        <v>0</v>
      </c>
      <c r="Q1923" s="45" t="s">
        <v>149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149</v>
      </c>
      <c r="P1924" s="45">
        <f>HEX2DEC(RIGHT(Table132321[[#This Row],[h1]],8))</f>
        <v>0</v>
      </c>
      <c r="Q1924" s="45" t="s">
        <v>149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149</v>
      </c>
      <c r="P1925" s="45">
        <f>HEX2DEC(RIGHT(Table132321[[#This Row],[h1]],8))</f>
        <v>0</v>
      </c>
      <c r="Q1925" s="45" t="s">
        <v>149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149</v>
      </c>
      <c r="P1926" s="45">
        <f>HEX2DEC(RIGHT(Table132321[[#This Row],[h1]],8))</f>
        <v>0</v>
      </c>
      <c r="Q1926" s="45" t="s">
        <v>149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149</v>
      </c>
      <c r="P1927" s="45">
        <f>HEX2DEC(RIGHT(Table132321[[#This Row],[h1]],8))</f>
        <v>0</v>
      </c>
      <c r="Q1927" s="45" t="s">
        <v>149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149</v>
      </c>
      <c r="P1928" s="45">
        <f>HEX2DEC(RIGHT(Table132321[[#This Row],[h1]],8))</f>
        <v>0</v>
      </c>
      <c r="Q1928" s="45" t="s">
        <v>149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149</v>
      </c>
      <c r="P1929" s="45">
        <f>HEX2DEC(RIGHT(Table132321[[#This Row],[h1]],8))</f>
        <v>0</v>
      </c>
      <c r="Q1929" s="45" t="s">
        <v>149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149</v>
      </c>
      <c r="P1930" s="45">
        <f>HEX2DEC(RIGHT(Table132321[[#This Row],[h1]],8))</f>
        <v>0</v>
      </c>
      <c r="Q1930" s="45" t="s">
        <v>149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149</v>
      </c>
      <c r="P1931" s="45">
        <f>HEX2DEC(RIGHT(Table132321[[#This Row],[h1]],8))</f>
        <v>0</v>
      </c>
      <c r="Q1931" s="45" t="s">
        <v>149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149</v>
      </c>
      <c r="P1932" s="45">
        <f>HEX2DEC(RIGHT(Table132321[[#This Row],[h1]],8))</f>
        <v>0</v>
      </c>
      <c r="Q1932" s="45" t="s">
        <v>149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149</v>
      </c>
      <c r="P1933" s="45">
        <f>HEX2DEC(RIGHT(Table132321[[#This Row],[h1]],8))</f>
        <v>0</v>
      </c>
      <c r="Q1933" s="45" t="s">
        <v>149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149</v>
      </c>
      <c r="P1934" s="45">
        <f>HEX2DEC(RIGHT(Table132321[[#This Row],[h1]],8))</f>
        <v>0</v>
      </c>
      <c r="Q1934" s="45" t="s">
        <v>149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149</v>
      </c>
      <c r="P1935" s="45">
        <f>HEX2DEC(RIGHT(Table132321[[#This Row],[h1]],8))</f>
        <v>0</v>
      </c>
      <c r="Q1935" s="45" t="s">
        <v>149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149</v>
      </c>
      <c r="P1936" s="45">
        <f>HEX2DEC(RIGHT(Table132321[[#This Row],[h1]],8))</f>
        <v>0</v>
      </c>
      <c r="Q1936" s="45" t="s">
        <v>149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149</v>
      </c>
      <c r="P1937" s="45">
        <f>HEX2DEC(RIGHT(Table132321[[#This Row],[h1]],8))</f>
        <v>0</v>
      </c>
      <c r="Q1937" s="45" t="s">
        <v>149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149</v>
      </c>
      <c r="P1938" s="45">
        <f>HEX2DEC(RIGHT(Table132321[[#This Row],[h1]],8))</f>
        <v>0</v>
      </c>
      <c r="Q1938" s="45" t="s">
        <v>149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149</v>
      </c>
      <c r="P1939" s="45">
        <f>HEX2DEC(RIGHT(Table132321[[#This Row],[h1]],8))</f>
        <v>0</v>
      </c>
      <c r="Q1939" s="45" t="s">
        <v>149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149</v>
      </c>
      <c r="P1940" s="45">
        <f>HEX2DEC(RIGHT(Table132321[[#This Row],[h1]],8))</f>
        <v>0</v>
      </c>
      <c r="Q1940" s="45" t="s">
        <v>149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149</v>
      </c>
      <c r="P1941" s="45">
        <f>HEX2DEC(RIGHT(Table132321[[#This Row],[h1]],8))</f>
        <v>0</v>
      </c>
      <c r="Q1941" s="45" t="s">
        <v>149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149</v>
      </c>
      <c r="P1942" s="45">
        <f>HEX2DEC(RIGHT(Table132321[[#This Row],[h1]],8))</f>
        <v>0</v>
      </c>
      <c r="Q1942" s="45" t="s">
        <v>149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149</v>
      </c>
      <c r="P1943" s="45">
        <f>HEX2DEC(RIGHT(Table132321[[#This Row],[h1]],8))</f>
        <v>0</v>
      </c>
      <c r="Q1943" s="45" t="s">
        <v>149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149</v>
      </c>
      <c r="P1944" s="45">
        <f>HEX2DEC(RIGHT(Table132321[[#This Row],[h1]],8))</f>
        <v>0</v>
      </c>
      <c r="Q1944" s="45" t="s">
        <v>149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149</v>
      </c>
      <c r="P1945" s="45">
        <f>HEX2DEC(RIGHT(Table132321[[#This Row],[h1]],8))</f>
        <v>0</v>
      </c>
      <c r="Q1945" s="45" t="s">
        <v>149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149</v>
      </c>
      <c r="P1946" s="45">
        <f>HEX2DEC(RIGHT(Table132321[[#This Row],[h1]],8))</f>
        <v>0</v>
      </c>
      <c r="Q1946" s="45" t="s">
        <v>149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149</v>
      </c>
      <c r="P1947" s="45">
        <f>HEX2DEC(RIGHT(Table132321[[#This Row],[h1]],8))</f>
        <v>0</v>
      </c>
      <c r="Q1947" s="45" t="s">
        <v>149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149</v>
      </c>
      <c r="P1948" s="45">
        <f>HEX2DEC(RIGHT(Table132321[[#This Row],[h1]],8))</f>
        <v>0</v>
      </c>
      <c r="Q1948" s="45" t="s">
        <v>149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149</v>
      </c>
      <c r="P1949" s="45">
        <f>HEX2DEC(RIGHT(Table132321[[#This Row],[h1]],8))</f>
        <v>0</v>
      </c>
      <c r="Q1949" s="45" t="s">
        <v>149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149</v>
      </c>
      <c r="P1950" s="45">
        <f>HEX2DEC(RIGHT(Table132321[[#This Row],[h1]],8))</f>
        <v>0</v>
      </c>
      <c r="Q1950" s="45" t="s">
        <v>149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149</v>
      </c>
      <c r="P1951" s="45">
        <f>HEX2DEC(RIGHT(Table132321[[#This Row],[h1]],8))</f>
        <v>0</v>
      </c>
      <c r="Q1951" s="45" t="s">
        <v>149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149</v>
      </c>
      <c r="P1952" s="45">
        <f>HEX2DEC(RIGHT(Table132321[[#This Row],[h1]],8))</f>
        <v>0</v>
      </c>
      <c r="Q1952" s="45" t="s">
        <v>149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149</v>
      </c>
      <c r="P1953" s="45">
        <f>HEX2DEC(RIGHT(Table132321[[#This Row],[h1]],8))</f>
        <v>0</v>
      </c>
      <c r="Q1953" s="45" t="s">
        <v>149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149</v>
      </c>
      <c r="P1954" s="45">
        <f>HEX2DEC(RIGHT(Table132321[[#This Row],[h1]],8))</f>
        <v>0</v>
      </c>
      <c r="Q1954" s="45" t="s">
        <v>149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149</v>
      </c>
      <c r="P1955" s="45">
        <f>HEX2DEC(RIGHT(Table132321[[#This Row],[h1]],8))</f>
        <v>0</v>
      </c>
      <c r="Q1955" s="45" t="s">
        <v>149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149</v>
      </c>
      <c r="P1956" s="45">
        <f>HEX2DEC(RIGHT(Table132321[[#This Row],[h1]],8))</f>
        <v>0</v>
      </c>
      <c r="Q1956" s="45" t="s">
        <v>149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149</v>
      </c>
      <c r="P1957" s="45">
        <f>HEX2DEC(RIGHT(Table132321[[#This Row],[h1]],8))</f>
        <v>0</v>
      </c>
      <c r="Q1957" s="45" t="s">
        <v>149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149</v>
      </c>
      <c r="P1958" s="45">
        <f>HEX2DEC(RIGHT(Table132321[[#This Row],[h1]],8))</f>
        <v>0</v>
      </c>
      <c r="Q1958" s="45" t="s">
        <v>149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149</v>
      </c>
      <c r="P1959" s="45">
        <f>HEX2DEC(RIGHT(Table132321[[#This Row],[h1]],8))</f>
        <v>0</v>
      </c>
      <c r="Q1959" s="45" t="s">
        <v>149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149</v>
      </c>
      <c r="P1960" s="45">
        <f>HEX2DEC(RIGHT(Table132321[[#This Row],[h1]],8))</f>
        <v>0</v>
      </c>
      <c r="Q1960" s="45" t="s">
        <v>149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149</v>
      </c>
      <c r="P1961" s="45">
        <f>HEX2DEC(RIGHT(Table132321[[#This Row],[h1]],8))</f>
        <v>0</v>
      </c>
      <c r="Q1961" s="45" t="s">
        <v>149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149</v>
      </c>
      <c r="P1962" s="45">
        <f>HEX2DEC(RIGHT(Table132321[[#This Row],[h1]],8))</f>
        <v>0</v>
      </c>
      <c r="Q1962" s="45" t="s">
        <v>149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149</v>
      </c>
      <c r="P1963" s="45">
        <f>HEX2DEC(RIGHT(Table132321[[#This Row],[h1]],8))</f>
        <v>0</v>
      </c>
      <c r="Q1963" s="45" t="s">
        <v>149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149</v>
      </c>
      <c r="P1964" s="45">
        <f>HEX2DEC(RIGHT(Table132321[[#This Row],[h1]],8))</f>
        <v>0</v>
      </c>
      <c r="Q1964" s="45" t="s">
        <v>149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149</v>
      </c>
      <c r="P1965" s="45">
        <f>HEX2DEC(RIGHT(Table132321[[#This Row],[h1]],8))</f>
        <v>0</v>
      </c>
      <c r="Q1965" s="45" t="s">
        <v>149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149</v>
      </c>
      <c r="P1966" s="45">
        <f>HEX2DEC(RIGHT(Table132321[[#This Row],[h1]],8))</f>
        <v>0</v>
      </c>
      <c r="Q1966" s="45" t="s">
        <v>149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149</v>
      </c>
      <c r="P1967" s="45">
        <f>HEX2DEC(RIGHT(Table132321[[#This Row],[h1]],8))</f>
        <v>0</v>
      </c>
      <c r="Q1967" s="45" t="s">
        <v>149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149</v>
      </c>
      <c r="P1968" s="45">
        <f>HEX2DEC(RIGHT(Table132321[[#This Row],[h1]],8))</f>
        <v>0</v>
      </c>
      <c r="Q1968" s="45" t="s">
        <v>149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149</v>
      </c>
      <c r="P1969" s="45">
        <f>HEX2DEC(RIGHT(Table132321[[#This Row],[h1]],8))</f>
        <v>0</v>
      </c>
      <c r="Q1969" s="45" t="s">
        <v>149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149</v>
      </c>
      <c r="P1970" s="45">
        <f>HEX2DEC(RIGHT(Table132321[[#This Row],[h1]],8))</f>
        <v>0</v>
      </c>
      <c r="Q1970" s="45" t="s">
        <v>149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149</v>
      </c>
      <c r="P1971" s="45">
        <f>HEX2DEC(RIGHT(Table132321[[#This Row],[h1]],8))</f>
        <v>0</v>
      </c>
      <c r="Q1971" s="45" t="s">
        <v>149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149</v>
      </c>
      <c r="P1972" s="45">
        <f>HEX2DEC(RIGHT(Table132321[[#This Row],[h1]],8))</f>
        <v>0</v>
      </c>
      <c r="Q1972" s="45" t="s">
        <v>149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149</v>
      </c>
      <c r="P1973" s="45">
        <f>HEX2DEC(RIGHT(Table132321[[#This Row],[h1]],8))</f>
        <v>0</v>
      </c>
      <c r="Q1973" s="45" t="s">
        <v>149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149</v>
      </c>
      <c r="P1974" s="45">
        <f>HEX2DEC(RIGHT(Table132321[[#This Row],[h1]],8))</f>
        <v>0</v>
      </c>
      <c r="Q1974" s="45" t="s">
        <v>149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149</v>
      </c>
      <c r="P1975" s="45">
        <f>HEX2DEC(RIGHT(Table132321[[#This Row],[h1]],8))</f>
        <v>0</v>
      </c>
      <c r="Q1975" s="45" t="s">
        <v>149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149</v>
      </c>
      <c r="P1976" s="45">
        <f>HEX2DEC(RIGHT(Table132321[[#This Row],[h1]],8))</f>
        <v>0</v>
      </c>
      <c r="Q1976" s="45" t="s">
        <v>149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149</v>
      </c>
      <c r="P1977" s="45">
        <f>HEX2DEC(RIGHT(Table132321[[#This Row],[h1]],8))</f>
        <v>0</v>
      </c>
      <c r="Q1977" s="45" t="s">
        <v>149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149</v>
      </c>
      <c r="P1978" s="45">
        <f>HEX2DEC(RIGHT(Table132321[[#This Row],[h1]],8))</f>
        <v>0</v>
      </c>
      <c r="Q1978" s="45" t="s">
        <v>149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149</v>
      </c>
      <c r="P1979" s="45">
        <f>HEX2DEC(RIGHT(Table132321[[#This Row],[h1]],8))</f>
        <v>0</v>
      </c>
      <c r="Q1979" s="45" t="s">
        <v>149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149</v>
      </c>
      <c r="P1980" s="45">
        <f>HEX2DEC(RIGHT(Table132321[[#This Row],[h1]],8))</f>
        <v>0</v>
      </c>
      <c r="Q1980" s="45" t="s">
        <v>149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149</v>
      </c>
      <c r="P1981" s="45">
        <f>HEX2DEC(RIGHT(Table132321[[#This Row],[h1]],8))</f>
        <v>0</v>
      </c>
      <c r="Q1981" s="45" t="s">
        <v>149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149</v>
      </c>
      <c r="P1982" s="45">
        <f>HEX2DEC(RIGHT(Table132321[[#This Row],[h1]],8))</f>
        <v>0</v>
      </c>
      <c r="Q1982" s="45" t="s">
        <v>149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149</v>
      </c>
      <c r="P1983" s="45">
        <f>HEX2DEC(RIGHT(Table132321[[#This Row],[h1]],8))</f>
        <v>0</v>
      </c>
      <c r="Q1983" s="45" t="s">
        <v>149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149</v>
      </c>
      <c r="P1984" s="45">
        <f>HEX2DEC(RIGHT(Table132321[[#This Row],[h1]],8))</f>
        <v>0</v>
      </c>
      <c r="Q1984" s="45" t="s">
        <v>149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149</v>
      </c>
      <c r="P1985" s="45">
        <f>HEX2DEC(RIGHT(Table132321[[#This Row],[h1]],8))</f>
        <v>0</v>
      </c>
      <c r="Q1985" s="45" t="s">
        <v>149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149</v>
      </c>
      <c r="P1986" s="45">
        <f>HEX2DEC(RIGHT(Table132321[[#This Row],[h1]],8))</f>
        <v>0</v>
      </c>
      <c r="Q1986" s="45" t="s">
        <v>149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149</v>
      </c>
      <c r="P1987" s="45">
        <f>HEX2DEC(RIGHT(Table132321[[#This Row],[h1]],8))</f>
        <v>0</v>
      </c>
      <c r="Q1987" s="45" t="s">
        <v>149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149</v>
      </c>
      <c r="P1988" s="45">
        <f>HEX2DEC(RIGHT(Table132321[[#This Row],[h1]],8))</f>
        <v>0</v>
      </c>
      <c r="Q1988" s="45" t="s">
        <v>149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149</v>
      </c>
      <c r="P1989" s="45">
        <f>HEX2DEC(RIGHT(Table132321[[#This Row],[h1]],8))</f>
        <v>0</v>
      </c>
      <c r="Q1989" s="45" t="s">
        <v>149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149</v>
      </c>
      <c r="P1990" s="45">
        <f>HEX2DEC(RIGHT(Table132321[[#This Row],[h1]],8))</f>
        <v>0</v>
      </c>
      <c r="Q1990" s="45" t="s">
        <v>149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149</v>
      </c>
      <c r="P1991" s="45">
        <f>HEX2DEC(RIGHT(Table132321[[#This Row],[h1]],8))</f>
        <v>0</v>
      </c>
      <c r="Q1991" s="45" t="s">
        <v>149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149</v>
      </c>
      <c r="P1992" s="45">
        <f>HEX2DEC(RIGHT(Table132321[[#This Row],[h1]],8))</f>
        <v>0</v>
      </c>
      <c r="Q1992" s="45" t="s">
        <v>149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149</v>
      </c>
      <c r="P1993" s="45">
        <f>HEX2DEC(RIGHT(Table132321[[#This Row],[h1]],8))</f>
        <v>0</v>
      </c>
      <c r="Q1993" s="45" t="s">
        <v>149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149</v>
      </c>
      <c r="P1994" s="45">
        <f>HEX2DEC(RIGHT(Table132321[[#This Row],[h1]],8))</f>
        <v>0</v>
      </c>
      <c r="Q1994" s="45" t="s">
        <v>149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149</v>
      </c>
      <c r="P1995" s="45">
        <f>HEX2DEC(RIGHT(Table132321[[#This Row],[h1]],8))</f>
        <v>0</v>
      </c>
      <c r="Q1995" s="45" t="s">
        <v>149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149</v>
      </c>
      <c r="P1996" s="45">
        <f>HEX2DEC(RIGHT(Table132321[[#This Row],[h1]],8))</f>
        <v>0</v>
      </c>
      <c r="Q1996" s="45" t="s">
        <v>149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149</v>
      </c>
      <c r="P1997" s="45">
        <f>HEX2DEC(RIGHT(Table132321[[#This Row],[h1]],8))</f>
        <v>0</v>
      </c>
      <c r="Q1997" s="45" t="s">
        <v>149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149</v>
      </c>
      <c r="P1998" s="45">
        <f>HEX2DEC(RIGHT(Table132321[[#This Row],[h1]],8))</f>
        <v>0</v>
      </c>
      <c r="Q1998" s="45" t="s">
        <v>149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149</v>
      </c>
      <c r="P1999" s="45">
        <f>HEX2DEC(RIGHT(Table132321[[#This Row],[h1]],8))</f>
        <v>0</v>
      </c>
      <c r="Q1999" s="45" t="s">
        <v>149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149</v>
      </c>
      <c r="P2000" s="45">
        <f>HEX2DEC(RIGHT(Table132321[[#This Row],[h1]],8))</f>
        <v>0</v>
      </c>
      <c r="Q2000" s="45" t="s">
        <v>149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149</v>
      </c>
      <c r="P2001" s="45">
        <f>HEX2DEC(RIGHT(Table132321[[#This Row],[h1]],8))</f>
        <v>0</v>
      </c>
      <c r="Q2001" s="45" t="s">
        <v>149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149</v>
      </c>
      <c r="P2002" s="45">
        <f>HEX2DEC(RIGHT(Table132321[[#This Row],[h1]],8))</f>
        <v>0</v>
      </c>
      <c r="Q2002" s="45" t="s">
        <v>149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149</v>
      </c>
      <c r="P2003" s="45">
        <f>HEX2DEC(RIGHT(Table132321[[#This Row],[h1]],8))</f>
        <v>0</v>
      </c>
      <c r="Q2003" s="45" t="s">
        <v>149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149</v>
      </c>
      <c r="P2004" s="45">
        <f>HEX2DEC(RIGHT(Table132321[[#This Row],[h1]],8))</f>
        <v>0</v>
      </c>
      <c r="Q2004" s="45" t="s">
        <v>149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149</v>
      </c>
      <c r="P2005" s="45">
        <f>HEX2DEC(RIGHT(Table132321[[#This Row],[h1]],8))</f>
        <v>0</v>
      </c>
      <c r="Q2005" s="45" t="s">
        <v>149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149</v>
      </c>
      <c r="P2006" s="45">
        <f>HEX2DEC(RIGHT(Table132321[[#This Row],[h1]],8))</f>
        <v>0</v>
      </c>
      <c r="Q2006" s="45" t="s">
        <v>149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149</v>
      </c>
      <c r="P2007" s="45">
        <f>HEX2DEC(RIGHT(Table132321[[#This Row],[h1]],8))</f>
        <v>0</v>
      </c>
      <c r="Q2007" s="45" t="s">
        <v>149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149</v>
      </c>
      <c r="P2008" s="45">
        <f>HEX2DEC(RIGHT(Table132321[[#This Row],[h1]],8))</f>
        <v>0</v>
      </c>
      <c r="Q2008" s="45" t="s">
        <v>149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149</v>
      </c>
      <c r="P2009" s="45">
        <f>HEX2DEC(RIGHT(Table132321[[#This Row],[h1]],8))</f>
        <v>0</v>
      </c>
      <c r="Q2009" s="45" t="s">
        <v>149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149</v>
      </c>
      <c r="P2010" s="45">
        <f>HEX2DEC(RIGHT(Table132321[[#This Row],[h1]],8))</f>
        <v>0</v>
      </c>
      <c r="Q2010" s="45" t="s">
        <v>149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149</v>
      </c>
      <c r="P2011" s="45">
        <f>HEX2DEC(RIGHT(Table132321[[#This Row],[h1]],8))</f>
        <v>0</v>
      </c>
      <c r="Q2011" s="45" t="s">
        <v>149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149</v>
      </c>
      <c r="P2012" s="45">
        <f>HEX2DEC(RIGHT(Table132321[[#This Row],[h1]],8))</f>
        <v>0</v>
      </c>
      <c r="Q2012" s="45" t="s">
        <v>149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149</v>
      </c>
      <c r="P2013" s="45">
        <f>HEX2DEC(RIGHT(Table132321[[#This Row],[h1]],8))</f>
        <v>0</v>
      </c>
      <c r="Q2013" s="45" t="s">
        <v>149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149</v>
      </c>
      <c r="P2014" s="45">
        <f>HEX2DEC(RIGHT(Table132321[[#This Row],[h1]],8))</f>
        <v>0</v>
      </c>
      <c r="Q2014" s="45" t="s">
        <v>149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149</v>
      </c>
      <c r="P2015" s="45">
        <f>HEX2DEC(RIGHT(Table132321[[#This Row],[h1]],8))</f>
        <v>0</v>
      </c>
      <c r="Q2015" s="45" t="s">
        <v>149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149</v>
      </c>
      <c r="P2016" s="45">
        <f>HEX2DEC(RIGHT(Table132321[[#This Row],[h1]],8))</f>
        <v>0</v>
      </c>
      <c r="Q2016" s="45" t="s">
        <v>149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149</v>
      </c>
      <c r="P2017" s="45">
        <f>HEX2DEC(RIGHT(Table132321[[#This Row],[h1]],8))</f>
        <v>0</v>
      </c>
      <c r="Q2017" s="45" t="s">
        <v>149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149</v>
      </c>
      <c r="P2018" s="45">
        <f>HEX2DEC(RIGHT(Table132321[[#This Row],[h1]],8))</f>
        <v>0</v>
      </c>
      <c r="Q2018" s="45" t="s">
        <v>149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149</v>
      </c>
      <c r="P2019" s="45">
        <f>HEX2DEC(RIGHT(Table132321[[#This Row],[h1]],8))</f>
        <v>0</v>
      </c>
      <c r="Q2019" s="45" t="s">
        <v>149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149</v>
      </c>
      <c r="P2020" s="45">
        <f>HEX2DEC(RIGHT(Table132321[[#This Row],[h1]],8))</f>
        <v>0</v>
      </c>
      <c r="Q2020" s="45" t="s">
        <v>149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149</v>
      </c>
      <c r="P2021" s="45">
        <f>HEX2DEC(RIGHT(Table132321[[#This Row],[h1]],8))</f>
        <v>0</v>
      </c>
      <c r="Q2021" s="45" t="s">
        <v>149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149</v>
      </c>
      <c r="P2022" s="45">
        <f>HEX2DEC(RIGHT(Table132321[[#This Row],[h1]],8))</f>
        <v>0</v>
      </c>
      <c r="Q2022" s="45" t="s">
        <v>149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149</v>
      </c>
      <c r="P2023" s="45">
        <f>HEX2DEC(RIGHT(Table132321[[#This Row],[h1]],8))</f>
        <v>0</v>
      </c>
      <c r="Q2023" s="45" t="s">
        <v>149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149</v>
      </c>
      <c r="P2024" s="45">
        <f>HEX2DEC(RIGHT(Table132321[[#This Row],[h1]],8))</f>
        <v>0</v>
      </c>
      <c r="Q2024" s="45" t="s">
        <v>149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149</v>
      </c>
      <c r="P2025" s="45">
        <f>HEX2DEC(RIGHT(Table132321[[#This Row],[h1]],8))</f>
        <v>0</v>
      </c>
      <c r="Q2025" s="45" t="s">
        <v>149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149</v>
      </c>
      <c r="P2026" s="45">
        <f>HEX2DEC(RIGHT(Table132321[[#This Row],[h1]],8))</f>
        <v>0</v>
      </c>
      <c r="Q2026" s="45" t="s">
        <v>149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149</v>
      </c>
      <c r="P2027" s="45">
        <f>HEX2DEC(RIGHT(Table132321[[#This Row],[h1]],8))</f>
        <v>0</v>
      </c>
      <c r="Q2027" s="45" t="s">
        <v>149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149</v>
      </c>
      <c r="P2028" s="45">
        <f>HEX2DEC(RIGHT(Table132321[[#This Row],[h1]],8))</f>
        <v>0</v>
      </c>
      <c r="Q2028" s="45" t="s">
        <v>149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149</v>
      </c>
      <c r="P2029" s="45">
        <f>HEX2DEC(RIGHT(Table132321[[#This Row],[h1]],8))</f>
        <v>0</v>
      </c>
      <c r="Q2029" s="45" t="s">
        <v>149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149</v>
      </c>
      <c r="P2030" s="45">
        <f>HEX2DEC(RIGHT(Table132321[[#This Row],[h1]],8))</f>
        <v>0</v>
      </c>
      <c r="Q2030" s="45" t="s">
        <v>149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149</v>
      </c>
      <c r="P2031" s="45">
        <f>HEX2DEC(RIGHT(Table132321[[#This Row],[h1]],8))</f>
        <v>0</v>
      </c>
      <c r="Q2031" s="45" t="s">
        <v>149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149</v>
      </c>
      <c r="P2032" s="45">
        <f>HEX2DEC(RIGHT(Table132321[[#This Row],[h1]],8))</f>
        <v>0</v>
      </c>
      <c r="Q2032" s="45" t="s">
        <v>149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149</v>
      </c>
      <c r="P2033" s="45">
        <f>HEX2DEC(RIGHT(Table132321[[#This Row],[h1]],8))</f>
        <v>0</v>
      </c>
      <c r="Q2033" s="45" t="s">
        <v>149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149</v>
      </c>
      <c r="P2034" s="45">
        <f>HEX2DEC(RIGHT(Table132321[[#This Row],[h1]],8))</f>
        <v>0</v>
      </c>
      <c r="Q2034" s="45" t="s">
        <v>149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149</v>
      </c>
      <c r="P2035" s="45">
        <f>HEX2DEC(RIGHT(Table132321[[#This Row],[h1]],8))</f>
        <v>0</v>
      </c>
      <c r="Q2035" s="45" t="s">
        <v>149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149</v>
      </c>
      <c r="P2036" s="45">
        <f>HEX2DEC(RIGHT(Table132321[[#This Row],[h1]],8))</f>
        <v>0</v>
      </c>
      <c r="Q2036" s="45" t="s">
        <v>149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149</v>
      </c>
      <c r="P2037" s="45">
        <f>HEX2DEC(RIGHT(Table132321[[#This Row],[h1]],8))</f>
        <v>0</v>
      </c>
      <c r="Q2037" s="45" t="s">
        <v>149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149</v>
      </c>
      <c r="P2038" s="45">
        <f>HEX2DEC(RIGHT(Table132321[[#This Row],[h1]],8))</f>
        <v>0</v>
      </c>
      <c r="Q2038" s="45" t="s">
        <v>149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149</v>
      </c>
      <c r="P2039" s="45">
        <f>HEX2DEC(RIGHT(Table132321[[#This Row],[h1]],8))</f>
        <v>0</v>
      </c>
      <c r="Q2039" s="45" t="s">
        <v>149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149</v>
      </c>
      <c r="P2040" s="45">
        <f>HEX2DEC(RIGHT(Table132321[[#This Row],[h1]],8))</f>
        <v>0</v>
      </c>
      <c r="Q2040" s="45" t="s">
        <v>149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149</v>
      </c>
      <c r="P2041" s="45">
        <f>HEX2DEC(RIGHT(Table132321[[#This Row],[h1]],8))</f>
        <v>0</v>
      </c>
      <c r="Q2041" s="45" t="s">
        <v>149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48</v>
      </c>
      <c r="Q2042" s="45" t="s">
        <v>48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48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140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G247:G248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E167:E174 F6 V2061:V2064 L2061:L2064 E176:E206 G167:G174 I2062:I2064 F2089:F2092 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1" bestFit="1" customWidth="1"/>
    <col min="16" max="16" width="12.25" style="51" customWidth="1"/>
    <col min="17" max="17" width="14.125" style="51" bestFit="1" customWidth="1"/>
    <col min="18" max="18" width="14.125" style="51" customWidth="1"/>
    <col min="19" max="19" width="1.75" style="51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1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1" customFormat="1" x14ac:dyDescent="0.3">
      <c r="A2" s="9" t="s">
        <v>52</v>
      </c>
      <c r="B2" s="10" t="s">
        <v>55</v>
      </c>
      <c r="D2" s="60" t="s">
        <v>50</v>
      </c>
      <c r="E2" s="60"/>
      <c r="F2" s="60"/>
      <c r="G2" s="60"/>
      <c r="I2" s="60" t="s">
        <v>141</v>
      </c>
      <c r="J2" s="60"/>
      <c r="K2" s="11"/>
      <c r="L2" s="60" t="s">
        <v>142</v>
      </c>
      <c r="M2" s="60"/>
      <c r="O2" s="60" t="s">
        <v>568</v>
      </c>
      <c r="P2" s="60"/>
      <c r="Q2" s="60"/>
      <c r="R2" s="60"/>
      <c r="T2" s="60" t="s">
        <v>51</v>
      </c>
      <c r="U2" s="60"/>
      <c r="V2" s="60"/>
      <c r="W2" s="60"/>
    </row>
    <row r="3" spans="1:23" s="51" customFormat="1" x14ac:dyDescent="0.3">
      <c r="A3" s="12" t="s">
        <v>53</v>
      </c>
      <c r="C3" s="51" t="s">
        <v>44</v>
      </c>
      <c r="D3" s="51" t="s">
        <v>9</v>
      </c>
      <c r="E3" s="51" t="s">
        <v>10</v>
      </c>
      <c r="F3" s="51" t="s">
        <v>11</v>
      </c>
      <c r="G3" s="51" t="s">
        <v>157</v>
      </c>
      <c r="I3" s="51" t="s">
        <v>6</v>
      </c>
      <c r="J3" s="51" t="s">
        <v>7</v>
      </c>
      <c r="L3" s="51" t="s">
        <v>6</v>
      </c>
      <c r="M3" s="51" t="s">
        <v>7</v>
      </c>
      <c r="O3" s="51" t="s">
        <v>150</v>
      </c>
      <c r="P3" s="34" t="s">
        <v>151</v>
      </c>
      <c r="Q3" s="51" t="s">
        <v>152</v>
      </c>
      <c r="R3" s="51" t="s">
        <v>153</v>
      </c>
      <c r="T3" s="51" t="s">
        <v>5</v>
      </c>
      <c r="U3" s="51" t="s">
        <v>6</v>
      </c>
      <c r="V3" s="51" t="s">
        <v>8</v>
      </c>
      <c r="W3" s="51" t="s">
        <v>7</v>
      </c>
    </row>
    <row r="4" spans="1:23" s="51" customFormat="1" x14ac:dyDescent="0.3">
      <c r="A4" s="12" t="s">
        <v>54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1" customFormat="1" x14ac:dyDescent="0.3">
      <c r="A5" s="12" t="s">
        <v>567</v>
      </c>
      <c r="B5" s="51" t="str">
        <f>A3&amp;"."&amp;A4&amp;"."&amp;A5&amp;A6&amp;"."</f>
        <v>SCL3.TS.ZQ9R001.</v>
      </c>
      <c r="C5" s="41"/>
      <c r="D5" s="13"/>
      <c r="E5" s="13"/>
      <c r="F5" s="13" t="s">
        <v>137</v>
      </c>
      <c r="G5" s="13"/>
      <c r="I5" s="13" t="s">
        <v>49</v>
      </c>
      <c r="J5" s="13" t="s">
        <v>47</v>
      </c>
      <c r="L5" s="13" t="s">
        <v>138</v>
      </c>
      <c r="M5" s="14" t="s">
        <v>139</v>
      </c>
      <c r="O5" s="13" t="s">
        <v>102</v>
      </c>
      <c r="P5" s="13"/>
      <c r="Q5" s="13" t="s">
        <v>103</v>
      </c>
      <c r="R5" s="14"/>
      <c r="T5" s="13"/>
      <c r="U5" s="13"/>
      <c r="V5" s="13"/>
      <c r="W5" s="13"/>
    </row>
    <row r="6" spans="1:23" s="51" customFormat="1" x14ac:dyDescent="0.3">
      <c r="A6" s="12" t="s">
        <v>62</v>
      </c>
      <c r="B6" s="51" t="str">
        <f>A3&amp;":"&amp;A4&amp;":"&amp;A5&amp;A6&amp;":"</f>
        <v>SCL3:TS:ZQ9R001:</v>
      </c>
      <c r="C6" s="41"/>
      <c r="D6" s="13"/>
      <c r="E6" s="13" t="s">
        <v>143</v>
      </c>
      <c r="F6" s="13" t="s">
        <v>105</v>
      </c>
      <c r="G6" s="13"/>
      <c r="I6" s="13"/>
      <c r="J6" s="13" t="s">
        <v>104</v>
      </c>
      <c r="L6" s="13"/>
      <c r="M6" s="13" t="s">
        <v>104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159</v>
      </c>
      <c r="E7" s="16"/>
      <c r="F7" s="16"/>
      <c r="G7" s="17"/>
      <c r="H7" s="51"/>
      <c r="I7" s="28" t="s">
        <v>340</v>
      </c>
      <c r="J7" s="29" t="s">
        <v>341</v>
      </c>
      <c r="K7" s="30"/>
      <c r="L7" s="28" t="s">
        <v>342</v>
      </c>
      <c r="M7" s="29" t="s">
        <v>343</v>
      </c>
      <c r="O7" s="18" t="s">
        <v>569</v>
      </c>
      <c r="P7" s="18"/>
      <c r="Q7" s="18" t="s">
        <v>570</v>
      </c>
    </row>
    <row r="8" spans="1:23" x14ac:dyDescent="0.3">
      <c r="C8" s="42"/>
      <c r="G8" s="19"/>
      <c r="H8" s="51"/>
      <c r="I8" s="20">
        <v>32768</v>
      </c>
      <c r="J8" s="21">
        <v>10</v>
      </c>
      <c r="K8" s="51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1"/>
      <c r="I9" s="20">
        <v>0</v>
      </c>
      <c r="J9" s="21">
        <v>10</v>
      </c>
      <c r="K9" s="51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57</v>
      </c>
      <c r="D10" s="38"/>
      <c r="E10" s="38"/>
      <c r="F10" s="38"/>
      <c r="G10" s="38"/>
      <c r="H10" s="51"/>
      <c r="I10" s="24">
        <v>0</v>
      </c>
      <c r="J10" s="24">
        <v>20</v>
      </c>
      <c r="K10" s="51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571</v>
      </c>
      <c r="G11" s="33">
        <v>500</v>
      </c>
      <c r="H11" s="51"/>
      <c r="I11" s="24">
        <v>0</v>
      </c>
      <c r="J11" s="24">
        <v>20</v>
      </c>
      <c r="K11" s="51"/>
      <c r="L11" s="24">
        <v>11</v>
      </c>
      <c r="M11" s="24">
        <v>50000</v>
      </c>
      <c r="O11" s="51" t="s">
        <v>566</v>
      </c>
      <c r="P11" s="51">
        <f>HEX2DEC(RIGHT(Table1323212714[[#This Row],[h1]],8))</f>
        <v>4294967295</v>
      </c>
      <c r="Q11" s="51" t="s">
        <v>149</v>
      </c>
      <c r="R11" s="51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1"/>
      <c r="I12" s="24">
        <v>0</v>
      </c>
      <c r="J12" s="24">
        <v>20</v>
      </c>
      <c r="K12" s="51"/>
      <c r="L12" s="24">
        <v>12</v>
      </c>
      <c r="M12" s="24">
        <v>50000</v>
      </c>
      <c r="O12" s="51" t="s">
        <v>566</v>
      </c>
      <c r="P12" s="51">
        <f>HEX2DEC(RIGHT(Table1323212714[[#This Row],[h1]],8))</f>
        <v>4294967295</v>
      </c>
      <c r="Q12" s="51" t="s">
        <v>149</v>
      </c>
      <c r="R12" s="51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144</v>
      </c>
      <c r="H13" s="51"/>
      <c r="I13" s="20" t="s">
        <v>48</v>
      </c>
      <c r="J13" s="24">
        <v>50000</v>
      </c>
      <c r="K13" s="51"/>
      <c r="L13" s="24">
        <v>13</v>
      </c>
      <c r="M13" s="24">
        <v>50000</v>
      </c>
      <c r="O13" s="51" t="s">
        <v>566</v>
      </c>
      <c r="P13" s="51">
        <f>HEX2DEC(RIGHT(Table1323212714[[#This Row],[h1]],8))</f>
        <v>4294967295</v>
      </c>
      <c r="Q13" s="51" t="s">
        <v>149</v>
      </c>
      <c r="R13" s="51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572</v>
      </c>
      <c r="G14" s="33">
        <v>0</v>
      </c>
      <c r="H14" s="51"/>
      <c r="J14" s="24">
        <v>50000</v>
      </c>
      <c r="K14" s="51"/>
      <c r="L14" s="24">
        <v>14</v>
      </c>
      <c r="M14" s="24">
        <v>50000</v>
      </c>
      <c r="O14" s="51" t="s">
        <v>566</v>
      </c>
      <c r="P14" s="51">
        <f>HEX2DEC(RIGHT(Table1323212714[[#This Row],[h1]],8))</f>
        <v>4294967295</v>
      </c>
      <c r="Q14" s="51" t="s">
        <v>149</v>
      </c>
      <c r="R14" s="51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573</v>
      </c>
      <c r="G15" s="33">
        <v>0</v>
      </c>
      <c r="H15" s="51"/>
      <c r="J15" s="24">
        <v>50000</v>
      </c>
      <c r="K15" s="51"/>
      <c r="L15" s="24">
        <v>15</v>
      </c>
      <c r="M15" s="24">
        <v>50000</v>
      </c>
      <c r="O15" s="51" t="s">
        <v>566</v>
      </c>
      <c r="P15" s="51">
        <f>HEX2DEC(RIGHT(Table1323212714[[#This Row],[h1]],8))</f>
        <v>4294967295</v>
      </c>
      <c r="Q15" s="51" t="s">
        <v>149</v>
      </c>
      <c r="R15" s="51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574</v>
      </c>
      <c r="G16" s="33">
        <v>0</v>
      </c>
      <c r="H16" s="51"/>
      <c r="J16" s="24">
        <v>50000</v>
      </c>
      <c r="K16" s="51"/>
      <c r="L16" s="24">
        <v>16</v>
      </c>
      <c r="M16" s="24">
        <v>50000</v>
      </c>
      <c r="O16" s="51" t="s">
        <v>566</v>
      </c>
      <c r="P16" s="51">
        <f>HEX2DEC(RIGHT(Table1323212714[[#This Row],[h1]],8))</f>
        <v>4294967295</v>
      </c>
      <c r="Q16" s="51" t="s">
        <v>149</v>
      </c>
      <c r="R16" s="51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575</v>
      </c>
      <c r="G17" s="33">
        <v>0</v>
      </c>
      <c r="H17" s="51"/>
      <c r="J17" s="24">
        <v>50000</v>
      </c>
      <c r="K17" s="51"/>
      <c r="L17" s="24">
        <v>17</v>
      </c>
      <c r="M17" s="24">
        <v>50000</v>
      </c>
      <c r="O17" s="51" t="s">
        <v>566</v>
      </c>
      <c r="P17" s="51">
        <f>HEX2DEC(RIGHT(Table1323212714[[#This Row],[h1]],8))</f>
        <v>4294967295</v>
      </c>
      <c r="Q17" s="51" t="s">
        <v>149</v>
      </c>
      <c r="R17" s="51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576</v>
      </c>
      <c r="G18" s="33">
        <v>0</v>
      </c>
      <c r="H18" s="51"/>
      <c r="J18" s="24">
        <v>50000</v>
      </c>
      <c r="K18" s="51"/>
      <c r="L18" s="24">
        <v>18</v>
      </c>
      <c r="M18" s="24">
        <v>50000</v>
      </c>
      <c r="O18" s="51" t="s">
        <v>566</v>
      </c>
      <c r="P18" s="51">
        <f>HEX2DEC(RIGHT(Table1323212714[[#This Row],[h1]],8))</f>
        <v>4294967295</v>
      </c>
      <c r="Q18" s="51" t="s">
        <v>149</v>
      </c>
      <c r="R18" s="51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577</v>
      </c>
      <c r="G19" s="33">
        <v>0</v>
      </c>
      <c r="H19" s="51"/>
      <c r="J19" s="24">
        <v>50000</v>
      </c>
      <c r="K19" s="51"/>
      <c r="L19" s="24">
        <v>19</v>
      </c>
      <c r="M19" s="24">
        <v>50000</v>
      </c>
      <c r="O19" s="51" t="s">
        <v>566</v>
      </c>
      <c r="P19" s="51">
        <f>HEX2DEC(RIGHT(Table1323212714[[#This Row],[h1]],8))</f>
        <v>4294967295</v>
      </c>
      <c r="Q19" s="51" t="s">
        <v>149</v>
      </c>
      <c r="R19" s="51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578</v>
      </c>
      <c r="G20" s="33">
        <v>0</v>
      </c>
      <c r="H20" s="51"/>
      <c r="J20" s="24">
        <v>50000</v>
      </c>
      <c r="K20" s="51"/>
      <c r="L20" s="24">
        <v>20</v>
      </c>
      <c r="M20" s="24">
        <v>50000</v>
      </c>
      <c r="O20" s="51" t="s">
        <v>566</v>
      </c>
      <c r="P20" s="51">
        <f>HEX2DEC(RIGHT(Table1323212714[[#This Row],[h1]],8))</f>
        <v>4294967295</v>
      </c>
      <c r="Q20" s="51" t="s">
        <v>149</v>
      </c>
      <c r="R20" s="51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579</v>
      </c>
      <c r="G21" s="33">
        <v>0</v>
      </c>
      <c r="H21" s="51"/>
      <c r="J21" s="24">
        <v>50000</v>
      </c>
      <c r="K21" s="51"/>
      <c r="L21" s="24">
        <v>21</v>
      </c>
      <c r="M21" s="24">
        <v>50000</v>
      </c>
      <c r="O21" s="51" t="s">
        <v>149</v>
      </c>
      <c r="P21" s="51">
        <f>HEX2DEC(RIGHT(Table1323212714[[#This Row],[h1]],8))</f>
        <v>0</v>
      </c>
      <c r="Q21" s="51" t="s">
        <v>149</v>
      </c>
      <c r="R21" s="51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1"/>
      <c r="J22" s="24">
        <v>50000</v>
      </c>
      <c r="K22" s="51"/>
      <c r="L22" s="24">
        <v>22</v>
      </c>
      <c r="M22" s="24">
        <v>50000</v>
      </c>
      <c r="O22" s="51" t="s">
        <v>149</v>
      </c>
      <c r="P22" s="51">
        <f>HEX2DEC(RIGHT(Table1323212714[[#This Row],[h1]],8))</f>
        <v>0</v>
      </c>
      <c r="Q22" s="51" t="s">
        <v>149</v>
      </c>
      <c r="R22" s="51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1"/>
      <c r="J23" s="24">
        <v>50000</v>
      </c>
      <c r="K23" s="51"/>
      <c r="L23" s="24">
        <v>23</v>
      </c>
      <c r="M23" s="24">
        <v>50000</v>
      </c>
      <c r="O23" s="51" t="s">
        <v>149</v>
      </c>
      <c r="P23" s="51">
        <f>HEX2DEC(RIGHT(Table1323212714[[#This Row],[h1]],8))</f>
        <v>0</v>
      </c>
      <c r="Q23" s="51" t="s">
        <v>149</v>
      </c>
      <c r="R23" s="51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145</v>
      </c>
      <c r="H24" s="51"/>
      <c r="J24" s="24">
        <v>50000</v>
      </c>
      <c r="K24" s="51"/>
      <c r="L24" s="24">
        <v>24</v>
      </c>
      <c r="M24" s="24">
        <v>50000</v>
      </c>
      <c r="O24" s="51" t="s">
        <v>149</v>
      </c>
      <c r="P24" s="51">
        <f>HEX2DEC(RIGHT(Table1323212714[[#This Row],[h1]],8))</f>
        <v>0</v>
      </c>
      <c r="Q24" s="51" t="s">
        <v>149</v>
      </c>
      <c r="R24" s="51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580</v>
      </c>
      <c r="G25" s="33">
        <v>0</v>
      </c>
      <c r="H25" s="51"/>
      <c r="J25" s="24">
        <v>50000</v>
      </c>
      <c r="K25" s="51"/>
      <c r="L25" s="24">
        <v>25</v>
      </c>
      <c r="M25" s="24">
        <v>50000</v>
      </c>
      <c r="O25" s="51" t="s">
        <v>149</v>
      </c>
      <c r="P25" s="51">
        <f>HEX2DEC(RIGHT(Table1323212714[[#This Row],[h1]],8))</f>
        <v>0</v>
      </c>
      <c r="Q25" s="51" t="s">
        <v>149</v>
      </c>
      <c r="R25" s="51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581</v>
      </c>
      <c r="G26" s="33">
        <v>0</v>
      </c>
      <c r="H26" s="51"/>
      <c r="J26" s="24">
        <v>50000</v>
      </c>
      <c r="K26" s="51"/>
      <c r="L26" s="24">
        <v>26</v>
      </c>
      <c r="M26" s="24">
        <v>50000</v>
      </c>
      <c r="O26" s="51" t="s">
        <v>149</v>
      </c>
      <c r="P26" s="51">
        <f>HEX2DEC(RIGHT(Table1323212714[[#This Row],[h1]],8))</f>
        <v>0</v>
      </c>
      <c r="Q26" s="51" t="s">
        <v>149</v>
      </c>
      <c r="R26" s="51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582</v>
      </c>
      <c r="G27" s="33">
        <v>0</v>
      </c>
      <c r="H27" s="51"/>
      <c r="J27" s="24">
        <v>50000</v>
      </c>
      <c r="K27" s="51"/>
      <c r="L27" s="24">
        <v>27</v>
      </c>
      <c r="M27" s="24">
        <v>50000</v>
      </c>
      <c r="O27" s="51" t="s">
        <v>149</v>
      </c>
      <c r="P27" s="51">
        <f>HEX2DEC(RIGHT(Table1323212714[[#This Row],[h1]],8))</f>
        <v>0</v>
      </c>
      <c r="Q27" s="51" t="s">
        <v>149</v>
      </c>
      <c r="R27" s="51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583</v>
      </c>
      <c r="G28" s="33">
        <v>0</v>
      </c>
      <c r="H28" s="51"/>
      <c r="J28" s="24">
        <v>50000</v>
      </c>
      <c r="K28" s="51"/>
      <c r="L28" s="24">
        <v>28</v>
      </c>
      <c r="M28" s="24">
        <v>50000</v>
      </c>
      <c r="O28" s="51" t="s">
        <v>149</v>
      </c>
      <c r="P28" s="51">
        <f>HEX2DEC(RIGHT(Table1323212714[[#This Row],[h1]],8))</f>
        <v>0</v>
      </c>
      <c r="Q28" s="51" t="s">
        <v>149</v>
      </c>
      <c r="R28" s="51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584</v>
      </c>
      <c r="G29" s="33">
        <v>0</v>
      </c>
      <c r="H29" s="51"/>
      <c r="J29" s="24">
        <v>50000</v>
      </c>
      <c r="K29" s="51"/>
      <c r="L29" s="24">
        <v>29</v>
      </c>
      <c r="M29" s="24">
        <v>50000</v>
      </c>
      <c r="O29" s="51" t="s">
        <v>149</v>
      </c>
      <c r="P29" s="51">
        <f>HEX2DEC(RIGHT(Table1323212714[[#This Row],[h1]],8))</f>
        <v>0</v>
      </c>
      <c r="Q29" s="51" t="s">
        <v>149</v>
      </c>
      <c r="R29" s="51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585</v>
      </c>
      <c r="G30" s="33">
        <v>0</v>
      </c>
      <c r="H30" s="51"/>
      <c r="J30" s="24">
        <v>50000</v>
      </c>
      <c r="K30" s="51"/>
      <c r="L30" s="24">
        <v>30</v>
      </c>
      <c r="M30" s="24">
        <v>50000</v>
      </c>
      <c r="O30" s="51" t="s">
        <v>149</v>
      </c>
      <c r="P30" s="51">
        <f>HEX2DEC(RIGHT(Table1323212714[[#This Row],[h1]],8))</f>
        <v>0</v>
      </c>
      <c r="Q30" s="51" t="s">
        <v>149</v>
      </c>
      <c r="R30" s="51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586</v>
      </c>
      <c r="G31" s="33">
        <v>0</v>
      </c>
      <c r="H31" s="51"/>
      <c r="J31" s="24">
        <v>50000</v>
      </c>
      <c r="K31" s="51"/>
      <c r="L31" s="20"/>
      <c r="M31" s="24">
        <v>50000</v>
      </c>
      <c r="O31" s="51" t="s">
        <v>149</v>
      </c>
      <c r="P31" s="51">
        <f>HEX2DEC(RIGHT(Table1323212714[[#This Row],[h1]],8))</f>
        <v>0</v>
      </c>
      <c r="Q31" s="51" t="s">
        <v>149</v>
      </c>
      <c r="R31" s="51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587</v>
      </c>
      <c r="G32" s="33">
        <v>0</v>
      </c>
      <c r="H32" s="51"/>
      <c r="J32" s="24">
        <v>50000</v>
      </c>
      <c r="K32" s="51"/>
      <c r="M32" s="24">
        <v>50000</v>
      </c>
      <c r="O32" s="51" t="s">
        <v>149</v>
      </c>
      <c r="P32" s="51">
        <f>HEX2DEC(RIGHT(Table1323212714[[#This Row],[h1]],8))</f>
        <v>0</v>
      </c>
      <c r="Q32" s="51" t="s">
        <v>149</v>
      </c>
      <c r="R32" s="51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588</v>
      </c>
      <c r="G33" s="33">
        <v>0</v>
      </c>
      <c r="H33" s="51"/>
      <c r="J33" s="24">
        <v>50000</v>
      </c>
      <c r="K33" s="51"/>
      <c r="M33" s="24">
        <v>50000</v>
      </c>
      <c r="O33" s="51" t="s">
        <v>149</v>
      </c>
      <c r="P33" s="51">
        <f>HEX2DEC(RIGHT(Table1323212714[[#This Row],[h1]],8))</f>
        <v>0</v>
      </c>
      <c r="Q33" s="51" t="s">
        <v>149</v>
      </c>
      <c r="R33" s="51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589</v>
      </c>
      <c r="G34" s="33">
        <v>0</v>
      </c>
      <c r="H34" s="51"/>
      <c r="J34" s="24">
        <v>50000</v>
      </c>
      <c r="K34" s="51"/>
      <c r="M34" s="24">
        <v>50000</v>
      </c>
      <c r="O34" s="51" t="s">
        <v>149</v>
      </c>
      <c r="P34" s="51">
        <f>HEX2DEC(RIGHT(Table1323212714[[#This Row],[h1]],8))</f>
        <v>0</v>
      </c>
      <c r="Q34" s="51" t="s">
        <v>149</v>
      </c>
      <c r="R34" s="51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590</v>
      </c>
      <c r="G35" s="33">
        <v>0</v>
      </c>
      <c r="H35" s="51"/>
      <c r="J35" s="24">
        <v>50000</v>
      </c>
      <c r="K35" s="51"/>
      <c r="M35" s="24">
        <v>50000</v>
      </c>
      <c r="O35" s="51" t="s">
        <v>149</v>
      </c>
      <c r="P35" s="51">
        <f>HEX2DEC(RIGHT(Table1323212714[[#This Row],[h1]],8))</f>
        <v>0</v>
      </c>
      <c r="Q35" s="51" t="s">
        <v>149</v>
      </c>
      <c r="R35" s="51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591</v>
      </c>
      <c r="G36" s="33">
        <v>0</v>
      </c>
      <c r="H36" s="51"/>
      <c r="J36" s="24">
        <v>50000</v>
      </c>
      <c r="K36" s="51"/>
      <c r="M36" s="24">
        <v>50000</v>
      </c>
      <c r="O36" s="51" t="s">
        <v>149</v>
      </c>
      <c r="P36" s="51">
        <f>HEX2DEC(RIGHT(Table1323212714[[#This Row],[h1]],8))</f>
        <v>0</v>
      </c>
      <c r="Q36" s="51" t="s">
        <v>149</v>
      </c>
      <c r="R36" s="51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592</v>
      </c>
      <c r="G37" s="33">
        <v>0</v>
      </c>
      <c r="H37" s="51"/>
      <c r="J37" s="24">
        <v>50000</v>
      </c>
      <c r="K37" s="51"/>
      <c r="M37" s="24">
        <v>50000</v>
      </c>
      <c r="O37" s="51" t="s">
        <v>149</v>
      </c>
      <c r="P37" s="51">
        <f>HEX2DEC(RIGHT(Table1323212714[[#This Row],[h1]],8))</f>
        <v>0</v>
      </c>
      <c r="Q37" s="51" t="s">
        <v>149</v>
      </c>
      <c r="R37" s="51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593</v>
      </c>
      <c r="G38" s="33">
        <v>0</v>
      </c>
      <c r="H38" s="51"/>
      <c r="J38" s="24">
        <v>50000</v>
      </c>
      <c r="K38" s="51"/>
      <c r="L38" s="20" t="s">
        <v>48</v>
      </c>
      <c r="M38" s="24">
        <v>50000</v>
      </c>
      <c r="O38" s="51" t="s">
        <v>149</v>
      </c>
      <c r="P38" s="51">
        <f>HEX2DEC(RIGHT(Table1323212714[[#This Row],[h1]],8))</f>
        <v>0</v>
      </c>
      <c r="Q38" s="51" t="s">
        <v>149</v>
      </c>
      <c r="R38" s="51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594</v>
      </c>
      <c r="G39" s="33">
        <v>0</v>
      </c>
      <c r="H39" s="51"/>
      <c r="J39" s="24">
        <v>50000</v>
      </c>
      <c r="K39" s="51"/>
      <c r="M39" s="24">
        <v>50000</v>
      </c>
      <c r="O39" s="51" t="s">
        <v>149</v>
      </c>
      <c r="P39" s="51">
        <f>HEX2DEC(RIGHT(Table1323212714[[#This Row],[h1]],8))</f>
        <v>0</v>
      </c>
      <c r="Q39" s="51" t="s">
        <v>149</v>
      </c>
      <c r="R39" s="51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1"/>
      <c r="J40" s="24">
        <v>50000</v>
      </c>
      <c r="K40" s="51"/>
      <c r="M40" s="24">
        <v>50000</v>
      </c>
      <c r="O40" s="51" t="s">
        <v>149</v>
      </c>
      <c r="P40" s="51">
        <f>HEX2DEC(RIGHT(Table1323212714[[#This Row],[h1]],8))</f>
        <v>0</v>
      </c>
      <c r="Q40" s="51" t="s">
        <v>149</v>
      </c>
      <c r="R40" s="51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595</v>
      </c>
      <c r="G41" s="33">
        <v>0</v>
      </c>
      <c r="H41" s="51"/>
      <c r="J41" s="24">
        <v>50000</v>
      </c>
      <c r="K41" s="51"/>
      <c r="M41" s="24">
        <v>50000</v>
      </c>
      <c r="O41" s="51" t="s">
        <v>149</v>
      </c>
      <c r="P41" s="51">
        <f>HEX2DEC(RIGHT(Table1323212714[[#This Row],[h1]],8))</f>
        <v>0</v>
      </c>
      <c r="Q41" s="51" t="s">
        <v>149</v>
      </c>
      <c r="R41" s="51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596</v>
      </c>
      <c r="G42" s="33">
        <v>0</v>
      </c>
      <c r="H42" s="51"/>
      <c r="J42" s="24">
        <v>50000</v>
      </c>
      <c r="K42" s="51"/>
      <c r="M42" s="24">
        <v>50000</v>
      </c>
      <c r="O42" s="51" t="s">
        <v>149</v>
      </c>
      <c r="P42" s="51">
        <f>HEX2DEC(RIGHT(Table1323212714[[#This Row],[h1]],8))</f>
        <v>0</v>
      </c>
      <c r="Q42" s="51" t="s">
        <v>149</v>
      </c>
      <c r="R42" s="51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597</v>
      </c>
      <c r="G43" s="33">
        <v>0</v>
      </c>
      <c r="H43" s="51"/>
      <c r="J43" s="24">
        <v>50000</v>
      </c>
      <c r="K43" s="51"/>
      <c r="M43" s="24">
        <v>50000</v>
      </c>
      <c r="O43" s="51" t="s">
        <v>149</v>
      </c>
      <c r="P43" s="51">
        <f>HEX2DEC(RIGHT(Table1323212714[[#This Row],[h1]],8))</f>
        <v>0</v>
      </c>
      <c r="Q43" s="51" t="s">
        <v>149</v>
      </c>
      <c r="R43" s="51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598</v>
      </c>
      <c r="G44" s="33">
        <v>0</v>
      </c>
      <c r="H44" s="51"/>
      <c r="J44" s="24">
        <v>50000</v>
      </c>
      <c r="K44" s="51"/>
      <c r="M44" s="24">
        <v>50000</v>
      </c>
      <c r="O44" s="51" t="s">
        <v>149</v>
      </c>
      <c r="P44" s="51">
        <f>HEX2DEC(RIGHT(Table1323212714[[#This Row],[h1]],8))</f>
        <v>0</v>
      </c>
      <c r="Q44" s="51" t="s">
        <v>149</v>
      </c>
      <c r="R44" s="51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599</v>
      </c>
      <c r="G45" s="33">
        <v>0</v>
      </c>
      <c r="H45" s="51"/>
      <c r="J45" s="24">
        <v>50000</v>
      </c>
      <c r="K45" s="51"/>
      <c r="M45" s="24">
        <v>50000</v>
      </c>
      <c r="O45" s="51" t="s">
        <v>149</v>
      </c>
      <c r="P45" s="51">
        <f>HEX2DEC(RIGHT(Table1323212714[[#This Row],[h1]],8))</f>
        <v>0</v>
      </c>
      <c r="Q45" s="51" t="s">
        <v>149</v>
      </c>
      <c r="R45" s="51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600</v>
      </c>
      <c r="G46" s="33">
        <v>0</v>
      </c>
      <c r="H46" s="51"/>
      <c r="I46" s="20" t="s">
        <v>48</v>
      </c>
      <c r="J46" s="24">
        <v>50000</v>
      </c>
      <c r="K46" s="51"/>
      <c r="M46" s="24">
        <v>50000</v>
      </c>
      <c r="O46" s="51" t="s">
        <v>149</v>
      </c>
      <c r="P46" s="51">
        <f>HEX2DEC(RIGHT(Table1323212714[[#This Row],[h1]],8))</f>
        <v>0</v>
      </c>
      <c r="Q46" s="51" t="s">
        <v>149</v>
      </c>
      <c r="R46" s="51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601</v>
      </c>
      <c r="G47" s="33">
        <v>0</v>
      </c>
      <c r="H47" s="51"/>
      <c r="J47" s="24">
        <v>50000</v>
      </c>
      <c r="K47" s="51"/>
      <c r="M47" s="24">
        <v>50000</v>
      </c>
      <c r="O47" s="51" t="s">
        <v>149</v>
      </c>
      <c r="P47" s="51">
        <f>HEX2DEC(RIGHT(Table1323212714[[#This Row],[h1]],8))</f>
        <v>0</v>
      </c>
      <c r="Q47" s="51" t="s">
        <v>149</v>
      </c>
      <c r="R47" s="51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602</v>
      </c>
      <c r="G48" s="33">
        <v>0</v>
      </c>
      <c r="H48" s="51"/>
      <c r="J48" s="24">
        <v>50000</v>
      </c>
      <c r="K48" s="51"/>
      <c r="M48" s="24">
        <v>50000</v>
      </c>
      <c r="O48" s="51" t="s">
        <v>149</v>
      </c>
      <c r="P48" s="51">
        <f>HEX2DEC(RIGHT(Table1323212714[[#This Row],[h1]],8))</f>
        <v>0</v>
      </c>
      <c r="Q48" s="51" t="s">
        <v>149</v>
      </c>
      <c r="R48" s="51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603</v>
      </c>
      <c r="G49" s="33">
        <v>0</v>
      </c>
      <c r="H49" s="51"/>
      <c r="J49" s="24">
        <v>50000</v>
      </c>
      <c r="K49" s="51"/>
      <c r="M49" s="24">
        <v>50000</v>
      </c>
      <c r="O49" s="51" t="s">
        <v>149</v>
      </c>
      <c r="P49" s="51">
        <f>HEX2DEC(RIGHT(Table1323212714[[#This Row],[h1]],8))</f>
        <v>0</v>
      </c>
      <c r="Q49" s="51" t="s">
        <v>149</v>
      </c>
      <c r="R49" s="51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604</v>
      </c>
      <c r="G50" s="33">
        <v>0</v>
      </c>
      <c r="H50" s="51"/>
      <c r="J50" s="24">
        <v>50000</v>
      </c>
      <c r="K50" s="51"/>
      <c r="M50" s="24">
        <v>50000</v>
      </c>
      <c r="O50" s="51" t="s">
        <v>149</v>
      </c>
      <c r="P50" s="51">
        <f>HEX2DEC(RIGHT(Table1323212714[[#This Row],[h1]],8))</f>
        <v>0</v>
      </c>
      <c r="Q50" s="51" t="s">
        <v>149</v>
      </c>
      <c r="R50" s="51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605</v>
      </c>
      <c r="G51" s="33">
        <v>0</v>
      </c>
      <c r="H51" s="51"/>
      <c r="J51" s="24">
        <v>50000</v>
      </c>
      <c r="K51" s="51"/>
      <c r="M51" s="24">
        <v>50000</v>
      </c>
      <c r="O51" s="51" t="s">
        <v>149</v>
      </c>
      <c r="P51" s="51">
        <f>HEX2DEC(RIGHT(Table1323212714[[#This Row],[h1]],8))</f>
        <v>0</v>
      </c>
      <c r="Q51" s="51" t="s">
        <v>149</v>
      </c>
      <c r="R51" s="51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606</v>
      </c>
      <c r="G52" s="33">
        <v>0</v>
      </c>
      <c r="H52" s="51"/>
      <c r="J52" s="24">
        <v>50000</v>
      </c>
      <c r="K52" s="51"/>
      <c r="M52" s="24">
        <v>50000</v>
      </c>
      <c r="O52" s="51" t="s">
        <v>149</v>
      </c>
      <c r="P52" s="51">
        <f>HEX2DEC(RIGHT(Table1323212714[[#This Row],[h1]],8))</f>
        <v>0</v>
      </c>
      <c r="Q52" s="51" t="s">
        <v>149</v>
      </c>
      <c r="R52" s="51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607</v>
      </c>
      <c r="G53" s="33">
        <v>0</v>
      </c>
      <c r="H53" s="51"/>
      <c r="J53" s="24">
        <v>50000</v>
      </c>
      <c r="K53" s="51"/>
      <c r="M53" s="24">
        <v>50000</v>
      </c>
      <c r="O53" s="51" t="s">
        <v>149</v>
      </c>
      <c r="P53" s="51">
        <f>HEX2DEC(RIGHT(Table1323212714[[#This Row],[h1]],8))</f>
        <v>0</v>
      </c>
      <c r="Q53" s="51" t="s">
        <v>149</v>
      </c>
      <c r="R53" s="51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608</v>
      </c>
      <c r="G54" s="33">
        <v>0</v>
      </c>
      <c r="H54" s="51"/>
      <c r="J54" s="24">
        <v>50000</v>
      </c>
      <c r="K54" s="51"/>
      <c r="M54" s="24">
        <v>50000</v>
      </c>
      <c r="O54" s="51" t="s">
        <v>149</v>
      </c>
      <c r="P54" s="51">
        <f>HEX2DEC(RIGHT(Table1323212714[[#This Row],[h1]],8))</f>
        <v>0</v>
      </c>
      <c r="Q54" s="51" t="s">
        <v>149</v>
      </c>
      <c r="R54" s="51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609</v>
      </c>
      <c r="G55" s="33">
        <v>0</v>
      </c>
      <c r="H55" s="51"/>
      <c r="J55" s="24">
        <v>50000</v>
      </c>
      <c r="K55" s="51"/>
      <c r="M55" s="24">
        <v>50000</v>
      </c>
      <c r="O55" s="51" t="s">
        <v>149</v>
      </c>
      <c r="P55" s="51">
        <f>HEX2DEC(RIGHT(Table1323212714[[#This Row],[h1]],8))</f>
        <v>0</v>
      </c>
      <c r="Q55" s="51" t="s">
        <v>149</v>
      </c>
      <c r="R55" s="51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610</v>
      </c>
      <c r="G56" s="33">
        <v>0</v>
      </c>
      <c r="H56" s="51"/>
      <c r="J56" s="24">
        <v>50000</v>
      </c>
      <c r="K56" s="51"/>
      <c r="M56" s="24">
        <v>50000</v>
      </c>
      <c r="O56" s="51" t="s">
        <v>149</v>
      </c>
      <c r="P56" s="51">
        <f>HEX2DEC(RIGHT(Table1323212714[[#This Row],[h1]],8))</f>
        <v>0</v>
      </c>
      <c r="Q56" s="51" t="s">
        <v>149</v>
      </c>
      <c r="R56" s="51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611</v>
      </c>
      <c r="G57" s="33">
        <v>0</v>
      </c>
      <c r="H57" s="51"/>
      <c r="J57" s="24">
        <v>50000</v>
      </c>
      <c r="K57" s="51"/>
      <c r="M57" s="24">
        <v>50000</v>
      </c>
      <c r="O57" s="51" t="s">
        <v>149</v>
      </c>
      <c r="P57" s="51">
        <f>HEX2DEC(RIGHT(Table1323212714[[#This Row],[h1]],8))</f>
        <v>0</v>
      </c>
      <c r="Q57" s="51" t="s">
        <v>149</v>
      </c>
      <c r="R57" s="51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612</v>
      </c>
      <c r="G58" s="33">
        <v>0</v>
      </c>
      <c r="H58" s="51"/>
      <c r="J58" s="24">
        <v>50000</v>
      </c>
      <c r="K58" s="51"/>
      <c r="M58" s="24">
        <v>50000</v>
      </c>
      <c r="O58" s="51" t="s">
        <v>149</v>
      </c>
      <c r="P58" s="51">
        <f>HEX2DEC(RIGHT(Table1323212714[[#This Row],[h1]],8))</f>
        <v>0</v>
      </c>
      <c r="Q58" s="51" t="s">
        <v>149</v>
      </c>
      <c r="R58" s="51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613</v>
      </c>
      <c r="G59" s="33">
        <v>0</v>
      </c>
      <c r="H59" s="51"/>
      <c r="J59" s="24">
        <v>50000</v>
      </c>
      <c r="K59" s="51"/>
      <c r="M59" s="24">
        <v>50000</v>
      </c>
      <c r="O59" s="51" t="s">
        <v>149</v>
      </c>
      <c r="P59" s="51">
        <f>HEX2DEC(RIGHT(Table1323212714[[#This Row],[h1]],8))</f>
        <v>0</v>
      </c>
      <c r="Q59" s="51" t="s">
        <v>149</v>
      </c>
      <c r="R59" s="51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614</v>
      </c>
      <c r="G60" s="33">
        <v>0</v>
      </c>
      <c r="H60" s="51"/>
      <c r="J60" s="24">
        <v>50000</v>
      </c>
      <c r="K60" s="51"/>
      <c r="M60" s="24">
        <v>50000</v>
      </c>
      <c r="O60" s="51" t="s">
        <v>149</v>
      </c>
      <c r="P60" s="51">
        <f>HEX2DEC(RIGHT(Table1323212714[[#This Row],[h1]],8))</f>
        <v>0</v>
      </c>
      <c r="Q60" s="51" t="s">
        <v>149</v>
      </c>
      <c r="R60" s="51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615</v>
      </c>
      <c r="G61" s="33">
        <v>0</v>
      </c>
      <c r="H61" s="51"/>
      <c r="J61" s="24">
        <v>50000</v>
      </c>
      <c r="K61" s="51"/>
      <c r="M61" s="24">
        <v>50000</v>
      </c>
      <c r="O61" s="51" t="s">
        <v>149</v>
      </c>
      <c r="P61" s="51">
        <f>HEX2DEC(RIGHT(Table1323212714[[#This Row],[h1]],8))</f>
        <v>0</v>
      </c>
      <c r="Q61" s="51" t="s">
        <v>149</v>
      </c>
      <c r="R61" s="51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616</v>
      </c>
      <c r="G62" s="33">
        <v>0</v>
      </c>
      <c r="J62" s="24">
        <v>50000</v>
      </c>
      <c r="M62" s="24">
        <v>50000</v>
      </c>
      <c r="O62" s="51" t="s">
        <v>149</v>
      </c>
      <c r="P62" s="51">
        <f>HEX2DEC(RIGHT(Table1323212714[[#This Row],[h1]],8))</f>
        <v>0</v>
      </c>
      <c r="Q62" s="51" t="s">
        <v>149</v>
      </c>
      <c r="R62" s="51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617</v>
      </c>
      <c r="G63" s="33">
        <v>0</v>
      </c>
      <c r="J63" s="24">
        <v>50000</v>
      </c>
      <c r="M63" s="24">
        <v>50000</v>
      </c>
      <c r="O63" s="51" t="s">
        <v>149</v>
      </c>
      <c r="P63" s="51">
        <f>HEX2DEC(RIGHT(Table1323212714[[#This Row],[h1]],8))</f>
        <v>0</v>
      </c>
      <c r="Q63" s="51" t="s">
        <v>149</v>
      </c>
      <c r="R63" s="51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618</v>
      </c>
      <c r="G64" s="33">
        <v>0</v>
      </c>
      <c r="J64" s="24">
        <v>50000</v>
      </c>
      <c r="M64" s="24">
        <v>50000</v>
      </c>
      <c r="O64" s="51" t="s">
        <v>149</v>
      </c>
      <c r="P64" s="51">
        <f>HEX2DEC(RIGHT(Table1323212714[[#This Row],[h1]],8))</f>
        <v>0</v>
      </c>
      <c r="Q64" s="51" t="s">
        <v>149</v>
      </c>
      <c r="R64" s="51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619</v>
      </c>
      <c r="G65" s="33">
        <v>0</v>
      </c>
      <c r="J65" s="24">
        <v>50000</v>
      </c>
      <c r="M65" s="24">
        <v>50000</v>
      </c>
      <c r="O65" s="51" t="s">
        <v>149</v>
      </c>
      <c r="P65" s="51">
        <f>HEX2DEC(RIGHT(Table1323212714[[#This Row],[h1]],8))</f>
        <v>0</v>
      </c>
      <c r="Q65" s="51" t="s">
        <v>149</v>
      </c>
      <c r="R65" s="51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620</v>
      </c>
      <c r="G66" s="33">
        <v>0</v>
      </c>
      <c r="J66" s="24">
        <v>50000</v>
      </c>
      <c r="M66" s="24">
        <v>50000</v>
      </c>
      <c r="O66" s="51" t="s">
        <v>149</v>
      </c>
      <c r="P66" s="51">
        <f>HEX2DEC(RIGHT(Table1323212714[[#This Row],[h1]],8))</f>
        <v>0</v>
      </c>
      <c r="Q66" s="51" t="s">
        <v>149</v>
      </c>
      <c r="R66" s="51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621</v>
      </c>
      <c r="G67" s="33">
        <v>0</v>
      </c>
      <c r="J67" s="24">
        <v>50000</v>
      </c>
      <c r="M67" s="24">
        <v>50000</v>
      </c>
      <c r="O67" s="51" t="s">
        <v>149</v>
      </c>
      <c r="P67" s="51">
        <f>HEX2DEC(RIGHT(Table1323212714[[#This Row],[h1]],8))</f>
        <v>0</v>
      </c>
      <c r="Q67" s="51" t="s">
        <v>149</v>
      </c>
      <c r="R67" s="51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622</v>
      </c>
      <c r="G68" s="33">
        <v>0</v>
      </c>
      <c r="J68" s="24">
        <v>50000</v>
      </c>
      <c r="M68" s="24">
        <v>50000</v>
      </c>
      <c r="O68" s="51" t="s">
        <v>149</v>
      </c>
      <c r="P68" s="51">
        <f>HEX2DEC(RIGHT(Table1323212714[[#This Row],[h1]],8))</f>
        <v>0</v>
      </c>
      <c r="Q68" s="51" t="s">
        <v>149</v>
      </c>
      <c r="R68" s="51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623</v>
      </c>
      <c r="G69" s="33">
        <v>0</v>
      </c>
      <c r="J69" s="24">
        <v>50000</v>
      </c>
      <c r="M69" s="24">
        <v>50000</v>
      </c>
      <c r="O69" s="51" t="s">
        <v>149</v>
      </c>
      <c r="P69" s="51">
        <f>HEX2DEC(RIGHT(Table1323212714[[#This Row],[h1]],8))</f>
        <v>0</v>
      </c>
      <c r="Q69" s="51" t="s">
        <v>149</v>
      </c>
      <c r="R69" s="51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624</v>
      </c>
      <c r="G70" s="33">
        <v>0</v>
      </c>
      <c r="J70" s="24">
        <v>50000</v>
      </c>
      <c r="M70" s="24">
        <v>50000</v>
      </c>
      <c r="O70" s="51" t="s">
        <v>149</v>
      </c>
      <c r="P70" s="51">
        <f>HEX2DEC(RIGHT(Table1323212714[[#This Row],[h1]],8))</f>
        <v>0</v>
      </c>
      <c r="Q70" s="51" t="s">
        <v>149</v>
      </c>
      <c r="R70" s="51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625</v>
      </c>
      <c r="G71" s="33">
        <v>0</v>
      </c>
      <c r="J71" s="24">
        <v>50000</v>
      </c>
      <c r="M71" s="24">
        <v>50000</v>
      </c>
      <c r="O71" s="51" t="s">
        <v>149</v>
      </c>
      <c r="P71" s="51">
        <f>HEX2DEC(RIGHT(Table1323212714[[#This Row],[h1]],8))</f>
        <v>0</v>
      </c>
      <c r="Q71" s="51" t="s">
        <v>149</v>
      </c>
      <c r="R71" s="51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626</v>
      </c>
      <c r="G72" s="33">
        <v>0</v>
      </c>
      <c r="J72" s="24">
        <v>50000</v>
      </c>
      <c r="M72" s="24">
        <v>50000</v>
      </c>
      <c r="O72" s="51" t="s">
        <v>149</v>
      </c>
      <c r="P72" s="51">
        <f>HEX2DEC(RIGHT(Table1323212714[[#This Row],[h1]],8))</f>
        <v>0</v>
      </c>
      <c r="Q72" s="51" t="s">
        <v>149</v>
      </c>
      <c r="R72" s="51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1" t="s">
        <v>149</v>
      </c>
      <c r="P73" s="51">
        <f>HEX2DEC(RIGHT(Table1323212714[[#This Row],[h1]],8))</f>
        <v>0</v>
      </c>
      <c r="Q73" s="51" t="s">
        <v>149</v>
      </c>
      <c r="R73" s="51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627</v>
      </c>
      <c r="G74" s="33">
        <v>10</v>
      </c>
      <c r="J74" s="24">
        <v>50000</v>
      </c>
      <c r="M74" s="24">
        <v>50000</v>
      </c>
      <c r="O74" s="51" t="s">
        <v>149</v>
      </c>
      <c r="P74" s="51">
        <f>HEX2DEC(RIGHT(Table1323212714[[#This Row],[h1]],8))</f>
        <v>0</v>
      </c>
      <c r="Q74" s="51" t="s">
        <v>149</v>
      </c>
      <c r="R74" s="51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628</v>
      </c>
      <c r="G75" s="33">
        <v>20</v>
      </c>
      <c r="J75" s="24">
        <v>50000</v>
      </c>
      <c r="M75" s="24">
        <v>50000</v>
      </c>
      <c r="O75" s="51" t="s">
        <v>149</v>
      </c>
      <c r="P75" s="51">
        <f>HEX2DEC(RIGHT(Table1323212714[[#This Row],[h1]],8))</f>
        <v>0</v>
      </c>
      <c r="Q75" s="51" t="s">
        <v>149</v>
      </c>
      <c r="R75" s="51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629</v>
      </c>
      <c r="G76" s="33">
        <v>50</v>
      </c>
      <c r="J76" s="24">
        <v>50000</v>
      </c>
      <c r="M76" s="24">
        <v>50000</v>
      </c>
      <c r="O76" s="51" t="s">
        <v>149</v>
      </c>
      <c r="P76" s="51">
        <f>HEX2DEC(RIGHT(Table1323212714[[#This Row],[h1]],8))</f>
        <v>0</v>
      </c>
      <c r="Q76" s="51" t="s">
        <v>149</v>
      </c>
      <c r="R76" s="51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630</v>
      </c>
      <c r="G77" s="33">
        <v>0</v>
      </c>
      <c r="J77" s="24">
        <v>50000</v>
      </c>
      <c r="M77" s="24">
        <v>50000</v>
      </c>
      <c r="O77" s="51" t="s">
        <v>149</v>
      </c>
      <c r="P77" s="51">
        <f>HEX2DEC(RIGHT(Table1323212714[[#This Row],[h1]],8))</f>
        <v>0</v>
      </c>
      <c r="Q77" s="51" t="s">
        <v>149</v>
      </c>
      <c r="R77" s="51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631</v>
      </c>
      <c r="G78" s="33">
        <v>0</v>
      </c>
      <c r="J78" s="24">
        <v>50000</v>
      </c>
      <c r="M78" s="24">
        <v>50000</v>
      </c>
      <c r="O78" s="51" t="s">
        <v>149</v>
      </c>
      <c r="P78" s="51">
        <f>HEX2DEC(RIGHT(Table1323212714[[#This Row],[h1]],8))</f>
        <v>0</v>
      </c>
      <c r="Q78" s="51" t="s">
        <v>149</v>
      </c>
      <c r="R78" s="51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632</v>
      </c>
      <c r="G79" s="33">
        <v>0</v>
      </c>
      <c r="J79" s="24">
        <v>50000</v>
      </c>
      <c r="M79" s="24">
        <v>50000</v>
      </c>
      <c r="O79" s="51" t="s">
        <v>149</v>
      </c>
      <c r="P79" s="51">
        <f>HEX2DEC(RIGHT(Table1323212714[[#This Row],[h1]],8))</f>
        <v>0</v>
      </c>
      <c r="Q79" s="51" t="s">
        <v>149</v>
      </c>
      <c r="R79" s="51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633</v>
      </c>
      <c r="G80" s="33">
        <v>0</v>
      </c>
      <c r="J80" s="24">
        <v>50000</v>
      </c>
      <c r="M80" s="24">
        <v>50000</v>
      </c>
      <c r="O80" s="51" t="s">
        <v>149</v>
      </c>
      <c r="P80" s="51">
        <f>HEX2DEC(RIGHT(Table1323212714[[#This Row],[h1]],8))</f>
        <v>0</v>
      </c>
      <c r="Q80" s="51" t="s">
        <v>149</v>
      </c>
      <c r="R80" s="51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634</v>
      </c>
      <c r="G81" s="33">
        <v>0</v>
      </c>
      <c r="J81" s="24">
        <v>50000</v>
      </c>
      <c r="M81" s="24">
        <v>50000</v>
      </c>
      <c r="O81" s="51" t="s">
        <v>149</v>
      </c>
      <c r="P81" s="51">
        <f>HEX2DEC(RIGHT(Table1323212714[[#This Row],[h1]],8))</f>
        <v>0</v>
      </c>
      <c r="Q81" s="51" t="s">
        <v>149</v>
      </c>
      <c r="R81" s="51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635</v>
      </c>
      <c r="G82" s="33">
        <v>0</v>
      </c>
      <c r="J82" s="24">
        <v>50000</v>
      </c>
      <c r="M82" s="24">
        <v>50000</v>
      </c>
      <c r="O82" s="51" t="s">
        <v>149</v>
      </c>
      <c r="P82" s="51">
        <f>HEX2DEC(RIGHT(Table1323212714[[#This Row],[h1]],8))</f>
        <v>0</v>
      </c>
      <c r="Q82" s="51" t="s">
        <v>149</v>
      </c>
      <c r="R82" s="51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636</v>
      </c>
      <c r="G83" s="33">
        <v>0</v>
      </c>
      <c r="J83" s="24">
        <v>50000</v>
      </c>
      <c r="M83" s="24">
        <v>50000</v>
      </c>
      <c r="O83" s="51" t="s">
        <v>149</v>
      </c>
      <c r="P83" s="51">
        <f>HEX2DEC(RIGHT(Table1323212714[[#This Row],[h1]],8))</f>
        <v>0</v>
      </c>
      <c r="Q83" s="51" t="s">
        <v>149</v>
      </c>
      <c r="R83" s="51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637</v>
      </c>
      <c r="G84" s="33">
        <v>0</v>
      </c>
      <c r="J84" s="24">
        <v>50000</v>
      </c>
      <c r="M84" s="24">
        <v>50000</v>
      </c>
      <c r="O84" s="51" t="s">
        <v>149</v>
      </c>
      <c r="P84" s="51">
        <f>HEX2DEC(RIGHT(Table1323212714[[#This Row],[h1]],8))</f>
        <v>0</v>
      </c>
      <c r="Q84" s="51" t="s">
        <v>149</v>
      </c>
      <c r="R84" s="51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638</v>
      </c>
      <c r="G85" s="33">
        <v>0</v>
      </c>
      <c r="J85" s="24">
        <v>50000</v>
      </c>
      <c r="M85" s="24">
        <v>50000</v>
      </c>
      <c r="O85" s="51" t="s">
        <v>149</v>
      </c>
      <c r="P85" s="51">
        <f>HEX2DEC(RIGHT(Table1323212714[[#This Row],[h1]],8))</f>
        <v>0</v>
      </c>
      <c r="Q85" s="51" t="s">
        <v>149</v>
      </c>
      <c r="R85" s="51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639</v>
      </c>
      <c r="G86" s="33">
        <v>0</v>
      </c>
      <c r="J86" s="24">
        <v>50000</v>
      </c>
      <c r="M86" s="24">
        <v>50000</v>
      </c>
      <c r="O86" s="51" t="s">
        <v>149</v>
      </c>
      <c r="P86" s="51">
        <f>HEX2DEC(RIGHT(Table1323212714[[#This Row],[h1]],8))</f>
        <v>0</v>
      </c>
      <c r="Q86" s="51" t="s">
        <v>149</v>
      </c>
      <c r="R86" s="51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640</v>
      </c>
      <c r="G87" s="33">
        <v>0</v>
      </c>
      <c r="J87" s="24">
        <v>50000</v>
      </c>
      <c r="M87" s="24">
        <v>50000</v>
      </c>
      <c r="O87" s="51" t="s">
        <v>149</v>
      </c>
      <c r="P87" s="51">
        <f>HEX2DEC(RIGHT(Table1323212714[[#This Row],[h1]],8))</f>
        <v>0</v>
      </c>
      <c r="Q87" s="51" t="s">
        <v>149</v>
      </c>
      <c r="R87" s="51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641</v>
      </c>
      <c r="G88" s="33">
        <v>0</v>
      </c>
      <c r="J88" s="24">
        <v>50000</v>
      </c>
      <c r="M88" s="24">
        <v>50000</v>
      </c>
      <c r="O88" s="51" t="s">
        <v>149</v>
      </c>
      <c r="P88" s="51">
        <f>HEX2DEC(RIGHT(Table1323212714[[#This Row],[h1]],8))</f>
        <v>0</v>
      </c>
      <c r="Q88" s="51" t="s">
        <v>149</v>
      </c>
      <c r="R88" s="51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642</v>
      </c>
      <c r="G89" s="33">
        <v>0</v>
      </c>
      <c r="J89" s="24">
        <v>50000</v>
      </c>
      <c r="M89" s="24">
        <v>50000</v>
      </c>
      <c r="O89" s="51" t="s">
        <v>149</v>
      </c>
      <c r="P89" s="51">
        <f>HEX2DEC(RIGHT(Table1323212714[[#This Row],[h1]],8))</f>
        <v>0</v>
      </c>
      <c r="Q89" s="51" t="s">
        <v>149</v>
      </c>
      <c r="R89" s="51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643</v>
      </c>
      <c r="G90" s="33">
        <v>0</v>
      </c>
      <c r="J90" s="24">
        <v>50000</v>
      </c>
      <c r="M90" s="24">
        <v>50000</v>
      </c>
      <c r="O90" s="51" t="s">
        <v>149</v>
      </c>
      <c r="P90" s="51">
        <f>HEX2DEC(RIGHT(Table1323212714[[#This Row],[h1]],8))</f>
        <v>0</v>
      </c>
      <c r="Q90" s="51" t="s">
        <v>149</v>
      </c>
      <c r="R90" s="51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644</v>
      </c>
      <c r="G91" s="33">
        <v>0</v>
      </c>
      <c r="J91" s="24">
        <v>50000</v>
      </c>
      <c r="M91" s="24">
        <v>50000</v>
      </c>
      <c r="O91" s="51" t="s">
        <v>149</v>
      </c>
      <c r="P91" s="51">
        <f>HEX2DEC(RIGHT(Table1323212714[[#This Row],[h1]],8))</f>
        <v>0</v>
      </c>
      <c r="Q91" s="51" t="s">
        <v>149</v>
      </c>
      <c r="R91" s="51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645</v>
      </c>
      <c r="G92" s="33">
        <v>0</v>
      </c>
      <c r="J92" s="24">
        <v>50000</v>
      </c>
      <c r="M92" s="24">
        <v>50000</v>
      </c>
      <c r="O92" s="51" t="s">
        <v>149</v>
      </c>
      <c r="P92" s="51">
        <f>HEX2DEC(RIGHT(Table1323212714[[#This Row],[h1]],8))</f>
        <v>0</v>
      </c>
      <c r="Q92" s="51" t="s">
        <v>149</v>
      </c>
      <c r="R92" s="51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646</v>
      </c>
      <c r="G93" s="33">
        <v>0</v>
      </c>
      <c r="J93" s="24">
        <v>50000</v>
      </c>
      <c r="M93" s="24">
        <v>50000</v>
      </c>
      <c r="O93" s="51" t="s">
        <v>149</v>
      </c>
      <c r="P93" s="51">
        <f>HEX2DEC(RIGHT(Table1323212714[[#This Row],[h1]],8))</f>
        <v>0</v>
      </c>
      <c r="Q93" s="51" t="s">
        <v>149</v>
      </c>
      <c r="R93" s="51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647</v>
      </c>
      <c r="G94" s="33">
        <v>0</v>
      </c>
      <c r="J94" s="24">
        <v>50000</v>
      </c>
      <c r="M94" s="24">
        <v>50000</v>
      </c>
      <c r="O94" s="51" t="s">
        <v>149</v>
      </c>
      <c r="P94" s="51">
        <f>HEX2DEC(RIGHT(Table1323212714[[#This Row],[h1]],8))</f>
        <v>0</v>
      </c>
      <c r="Q94" s="51" t="s">
        <v>149</v>
      </c>
      <c r="R94" s="51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648</v>
      </c>
      <c r="G95" s="33">
        <v>0</v>
      </c>
      <c r="J95" s="24">
        <v>50000</v>
      </c>
      <c r="M95" s="24">
        <v>50000</v>
      </c>
      <c r="O95" s="51" t="s">
        <v>149</v>
      </c>
      <c r="P95" s="51">
        <f>HEX2DEC(RIGHT(Table1323212714[[#This Row],[h1]],8))</f>
        <v>0</v>
      </c>
      <c r="Q95" s="51" t="s">
        <v>149</v>
      </c>
      <c r="R95" s="51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649</v>
      </c>
      <c r="G96" s="33">
        <v>0</v>
      </c>
      <c r="J96" s="24">
        <v>50000</v>
      </c>
      <c r="M96" s="24">
        <v>50000</v>
      </c>
      <c r="O96" s="51" t="s">
        <v>149</v>
      </c>
      <c r="P96" s="51">
        <f>HEX2DEC(RIGHT(Table1323212714[[#This Row],[h1]],8))</f>
        <v>0</v>
      </c>
      <c r="Q96" s="51" t="s">
        <v>149</v>
      </c>
      <c r="R96" s="51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650</v>
      </c>
      <c r="G97" s="33">
        <v>0</v>
      </c>
      <c r="J97" s="24">
        <v>50000</v>
      </c>
      <c r="M97" s="24">
        <v>50000</v>
      </c>
      <c r="O97" s="51" t="s">
        <v>149</v>
      </c>
      <c r="P97" s="51">
        <f>HEX2DEC(RIGHT(Table1323212714[[#This Row],[h1]],8))</f>
        <v>0</v>
      </c>
      <c r="Q97" s="51" t="s">
        <v>149</v>
      </c>
      <c r="R97" s="51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651</v>
      </c>
      <c r="G98" s="33">
        <v>0</v>
      </c>
      <c r="J98" s="24">
        <v>50000</v>
      </c>
      <c r="M98" s="24">
        <v>50000</v>
      </c>
      <c r="O98" s="51" t="s">
        <v>149</v>
      </c>
      <c r="P98" s="51">
        <f>HEX2DEC(RIGHT(Table1323212714[[#This Row],[h1]],8))</f>
        <v>0</v>
      </c>
      <c r="Q98" s="51" t="s">
        <v>149</v>
      </c>
      <c r="R98" s="51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652</v>
      </c>
      <c r="G99" s="33">
        <v>0</v>
      </c>
      <c r="J99" s="24">
        <v>50000</v>
      </c>
      <c r="M99" s="24">
        <v>50000</v>
      </c>
      <c r="O99" s="51" t="s">
        <v>149</v>
      </c>
      <c r="P99" s="51">
        <f>HEX2DEC(RIGHT(Table1323212714[[#This Row],[h1]],8))</f>
        <v>0</v>
      </c>
      <c r="Q99" s="51" t="s">
        <v>149</v>
      </c>
      <c r="R99" s="51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653</v>
      </c>
      <c r="G100" s="33">
        <v>0</v>
      </c>
      <c r="J100" s="24">
        <v>50000</v>
      </c>
      <c r="M100" s="24">
        <v>50000</v>
      </c>
      <c r="O100" s="51" t="s">
        <v>149</v>
      </c>
      <c r="P100" s="51">
        <f>HEX2DEC(RIGHT(Table1323212714[[#This Row],[h1]],8))</f>
        <v>0</v>
      </c>
      <c r="Q100" s="51" t="s">
        <v>149</v>
      </c>
      <c r="R100" s="51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654</v>
      </c>
      <c r="G101" s="33">
        <v>0</v>
      </c>
      <c r="J101" s="24">
        <v>50000</v>
      </c>
      <c r="M101" s="24">
        <v>50000</v>
      </c>
      <c r="O101" s="51" t="s">
        <v>149</v>
      </c>
      <c r="P101" s="51">
        <f>HEX2DEC(RIGHT(Table1323212714[[#This Row],[h1]],8))</f>
        <v>0</v>
      </c>
      <c r="Q101" s="51" t="s">
        <v>149</v>
      </c>
      <c r="R101" s="51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655</v>
      </c>
      <c r="G102" s="33">
        <v>0</v>
      </c>
      <c r="J102" s="24">
        <v>50000</v>
      </c>
      <c r="M102" s="24">
        <v>50000</v>
      </c>
      <c r="O102" s="51" t="s">
        <v>149</v>
      </c>
      <c r="P102" s="51">
        <f>HEX2DEC(RIGHT(Table1323212714[[#This Row],[h1]],8))</f>
        <v>0</v>
      </c>
      <c r="Q102" s="51" t="s">
        <v>149</v>
      </c>
      <c r="R102" s="51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656</v>
      </c>
      <c r="G103" s="33">
        <v>0</v>
      </c>
      <c r="J103" s="24">
        <v>50000</v>
      </c>
      <c r="M103" s="24">
        <v>50000</v>
      </c>
      <c r="O103" s="51" t="s">
        <v>149</v>
      </c>
      <c r="P103" s="51">
        <f>HEX2DEC(RIGHT(Table1323212714[[#This Row],[h1]],8))</f>
        <v>0</v>
      </c>
      <c r="Q103" s="51" t="s">
        <v>149</v>
      </c>
      <c r="R103" s="51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657</v>
      </c>
      <c r="G104" s="33">
        <v>0</v>
      </c>
      <c r="J104" s="24">
        <v>50000</v>
      </c>
      <c r="M104" s="24">
        <v>50000</v>
      </c>
      <c r="O104" s="51" t="s">
        <v>149</v>
      </c>
      <c r="P104" s="51">
        <f>HEX2DEC(RIGHT(Table1323212714[[#This Row],[h1]],8))</f>
        <v>0</v>
      </c>
      <c r="Q104" s="51" t="s">
        <v>149</v>
      </c>
      <c r="R104" s="51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658</v>
      </c>
      <c r="G105" s="33">
        <v>0</v>
      </c>
      <c r="J105" s="24">
        <v>50000</v>
      </c>
      <c r="M105" s="24">
        <v>50000</v>
      </c>
      <c r="O105" s="51" t="s">
        <v>149</v>
      </c>
      <c r="P105" s="51">
        <f>HEX2DEC(RIGHT(Table1323212714[[#This Row],[h1]],8))</f>
        <v>0</v>
      </c>
      <c r="Q105" s="51" t="s">
        <v>149</v>
      </c>
      <c r="R105" s="51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1" t="s">
        <v>149</v>
      </c>
      <c r="P106" s="51">
        <f>HEX2DEC(RIGHT(Table1323212714[[#This Row],[h1]],8))</f>
        <v>0</v>
      </c>
      <c r="Q106" s="51" t="s">
        <v>149</v>
      </c>
      <c r="R106" s="51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659</v>
      </c>
      <c r="G107" s="33">
        <v>20</v>
      </c>
      <c r="J107" s="24">
        <v>50000</v>
      </c>
      <c r="M107" s="24">
        <v>50000</v>
      </c>
      <c r="O107" s="51" t="s">
        <v>149</v>
      </c>
      <c r="P107" s="51">
        <f>HEX2DEC(RIGHT(Table1323212714[[#This Row],[h1]],8))</f>
        <v>0</v>
      </c>
      <c r="Q107" s="51" t="s">
        <v>149</v>
      </c>
      <c r="R107" s="51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660</v>
      </c>
      <c r="G108" s="33">
        <v>20</v>
      </c>
      <c r="J108" s="24">
        <v>50000</v>
      </c>
      <c r="M108" s="24">
        <v>50000</v>
      </c>
      <c r="O108" s="51" t="s">
        <v>149</v>
      </c>
      <c r="P108" s="51">
        <f>HEX2DEC(RIGHT(Table1323212714[[#This Row],[h1]],8))</f>
        <v>0</v>
      </c>
      <c r="Q108" s="51" t="s">
        <v>149</v>
      </c>
      <c r="R108" s="51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661</v>
      </c>
      <c r="G109" s="33">
        <v>20</v>
      </c>
      <c r="J109" s="24">
        <v>50000</v>
      </c>
      <c r="M109" s="24">
        <v>50000</v>
      </c>
      <c r="O109" s="51" t="s">
        <v>149</v>
      </c>
      <c r="P109" s="51">
        <f>HEX2DEC(RIGHT(Table1323212714[[#This Row],[h1]],8))</f>
        <v>0</v>
      </c>
      <c r="Q109" s="51" t="s">
        <v>149</v>
      </c>
      <c r="R109" s="51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662</v>
      </c>
      <c r="G110" s="33">
        <v>20</v>
      </c>
      <c r="J110" s="24">
        <v>50000</v>
      </c>
      <c r="M110" s="24">
        <v>50000</v>
      </c>
      <c r="O110" s="51" t="s">
        <v>149</v>
      </c>
      <c r="P110" s="51">
        <f>HEX2DEC(RIGHT(Table1323212714[[#This Row],[h1]],8))</f>
        <v>0</v>
      </c>
      <c r="Q110" s="51" t="s">
        <v>149</v>
      </c>
      <c r="R110" s="51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663</v>
      </c>
      <c r="G111" s="33">
        <v>20</v>
      </c>
      <c r="J111" s="24">
        <v>50000</v>
      </c>
      <c r="M111" s="24">
        <v>50000</v>
      </c>
      <c r="O111" s="51" t="s">
        <v>149</v>
      </c>
      <c r="P111" s="51">
        <f>HEX2DEC(RIGHT(Table1323212714[[#This Row],[h1]],8))</f>
        <v>0</v>
      </c>
      <c r="Q111" s="51" t="s">
        <v>149</v>
      </c>
      <c r="R111" s="51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664</v>
      </c>
      <c r="G112" s="33">
        <v>20</v>
      </c>
      <c r="J112" s="24">
        <v>50000</v>
      </c>
      <c r="M112" s="24">
        <v>50000</v>
      </c>
      <c r="O112" s="51" t="s">
        <v>149</v>
      </c>
      <c r="P112" s="51">
        <f>HEX2DEC(RIGHT(Table1323212714[[#This Row],[h1]],8))</f>
        <v>0</v>
      </c>
      <c r="Q112" s="51" t="s">
        <v>149</v>
      </c>
      <c r="R112" s="51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665</v>
      </c>
      <c r="G113" s="33">
        <v>20</v>
      </c>
      <c r="J113" s="24">
        <v>50000</v>
      </c>
      <c r="M113" s="24">
        <v>50000</v>
      </c>
      <c r="O113" s="51" t="s">
        <v>149</v>
      </c>
      <c r="P113" s="51">
        <f>HEX2DEC(RIGHT(Table1323212714[[#This Row],[h1]],8))</f>
        <v>0</v>
      </c>
      <c r="Q113" s="51" t="s">
        <v>149</v>
      </c>
      <c r="R113" s="51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666</v>
      </c>
      <c r="G114" s="33">
        <v>20</v>
      </c>
      <c r="J114" s="24">
        <v>50000</v>
      </c>
      <c r="M114" s="24">
        <v>50000</v>
      </c>
      <c r="O114" s="51" t="s">
        <v>149</v>
      </c>
      <c r="P114" s="51">
        <f>HEX2DEC(RIGHT(Table1323212714[[#This Row],[h1]],8))</f>
        <v>0</v>
      </c>
      <c r="Q114" s="51" t="s">
        <v>149</v>
      </c>
      <c r="R114" s="51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667</v>
      </c>
      <c r="G115" s="33">
        <v>20</v>
      </c>
      <c r="J115" s="24">
        <v>50000</v>
      </c>
      <c r="M115" s="24">
        <v>50000</v>
      </c>
      <c r="O115" s="51" t="s">
        <v>149</v>
      </c>
      <c r="P115" s="51">
        <f>HEX2DEC(RIGHT(Table1323212714[[#This Row],[h1]],8))</f>
        <v>0</v>
      </c>
      <c r="Q115" s="51" t="s">
        <v>149</v>
      </c>
      <c r="R115" s="51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668</v>
      </c>
      <c r="G116" s="33">
        <v>20</v>
      </c>
      <c r="J116" s="24">
        <v>50000</v>
      </c>
      <c r="M116" s="24">
        <v>50000</v>
      </c>
      <c r="O116" s="51" t="s">
        <v>149</v>
      </c>
      <c r="P116" s="51">
        <f>HEX2DEC(RIGHT(Table1323212714[[#This Row],[h1]],8))</f>
        <v>0</v>
      </c>
      <c r="Q116" s="51" t="s">
        <v>149</v>
      </c>
      <c r="R116" s="51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669</v>
      </c>
      <c r="G117" s="33">
        <v>20</v>
      </c>
      <c r="J117" s="24">
        <v>50000</v>
      </c>
      <c r="M117" s="24">
        <v>50000</v>
      </c>
      <c r="O117" s="51" t="s">
        <v>149</v>
      </c>
      <c r="P117" s="51">
        <f>HEX2DEC(RIGHT(Table1323212714[[#This Row],[h1]],8))</f>
        <v>0</v>
      </c>
      <c r="Q117" s="51" t="s">
        <v>149</v>
      </c>
      <c r="R117" s="51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670</v>
      </c>
      <c r="G118" s="33">
        <v>20</v>
      </c>
      <c r="J118" s="24">
        <v>50000</v>
      </c>
      <c r="M118" s="24">
        <v>50000</v>
      </c>
      <c r="O118" s="51" t="s">
        <v>149</v>
      </c>
      <c r="P118" s="51">
        <f>HEX2DEC(RIGHT(Table1323212714[[#This Row],[h1]],8))</f>
        <v>0</v>
      </c>
      <c r="Q118" s="51" t="s">
        <v>149</v>
      </c>
      <c r="R118" s="51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671</v>
      </c>
      <c r="G119" s="33">
        <v>20</v>
      </c>
      <c r="J119" s="24">
        <v>50000</v>
      </c>
      <c r="M119" s="24">
        <v>50000</v>
      </c>
      <c r="O119" s="51" t="s">
        <v>149</v>
      </c>
      <c r="P119" s="51">
        <f>HEX2DEC(RIGHT(Table1323212714[[#This Row],[h1]],8))</f>
        <v>0</v>
      </c>
      <c r="Q119" s="51" t="s">
        <v>149</v>
      </c>
      <c r="R119" s="51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672</v>
      </c>
      <c r="G120" s="33">
        <v>20</v>
      </c>
      <c r="J120" s="24">
        <v>50000</v>
      </c>
      <c r="M120" s="24">
        <v>50000</v>
      </c>
      <c r="O120" s="51" t="s">
        <v>149</v>
      </c>
      <c r="P120" s="51">
        <f>HEX2DEC(RIGHT(Table1323212714[[#This Row],[h1]],8))</f>
        <v>0</v>
      </c>
      <c r="Q120" s="51" t="s">
        <v>149</v>
      </c>
      <c r="R120" s="51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673</v>
      </c>
      <c r="G121" s="33">
        <v>20</v>
      </c>
      <c r="J121" s="24">
        <v>50000</v>
      </c>
      <c r="M121" s="24">
        <v>50000</v>
      </c>
      <c r="O121" s="51" t="s">
        <v>149</v>
      </c>
      <c r="P121" s="51">
        <f>HEX2DEC(RIGHT(Table1323212714[[#This Row],[h1]],8))</f>
        <v>0</v>
      </c>
      <c r="Q121" s="51" t="s">
        <v>149</v>
      </c>
      <c r="R121" s="51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674</v>
      </c>
      <c r="G122" s="33">
        <v>20</v>
      </c>
      <c r="J122" s="24">
        <v>50000</v>
      </c>
      <c r="M122" s="24">
        <v>50000</v>
      </c>
      <c r="O122" s="51" t="s">
        <v>149</v>
      </c>
      <c r="P122" s="51">
        <f>HEX2DEC(RIGHT(Table1323212714[[#This Row],[h1]],8))</f>
        <v>0</v>
      </c>
      <c r="Q122" s="51" t="s">
        <v>149</v>
      </c>
      <c r="R122" s="51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675</v>
      </c>
      <c r="G123" s="33">
        <v>20</v>
      </c>
      <c r="J123" s="24">
        <v>50000</v>
      </c>
      <c r="M123" s="24">
        <v>50000</v>
      </c>
      <c r="O123" s="51" t="s">
        <v>149</v>
      </c>
      <c r="P123" s="51">
        <f>HEX2DEC(RIGHT(Table1323212714[[#This Row],[h1]],8))</f>
        <v>0</v>
      </c>
      <c r="Q123" s="51" t="s">
        <v>149</v>
      </c>
      <c r="R123" s="51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676</v>
      </c>
      <c r="G124" s="33">
        <v>20</v>
      </c>
      <c r="J124" s="24">
        <v>50000</v>
      </c>
      <c r="M124" s="24">
        <v>50000</v>
      </c>
      <c r="O124" s="51" t="s">
        <v>149</v>
      </c>
      <c r="P124" s="51">
        <f>HEX2DEC(RIGHT(Table1323212714[[#This Row],[h1]],8))</f>
        <v>0</v>
      </c>
      <c r="Q124" s="51" t="s">
        <v>149</v>
      </c>
      <c r="R124" s="51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677</v>
      </c>
      <c r="G125" s="33">
        <v>20</v>
      </c>
      <c r="J125" s="24">
        <v>50000</v>
      </c>
      <c r="M125" s="24">
        <v>50000</v>
      </c>
      <c r="O125" s="51" t="s">
        <v>149</v>
      </c>
      <c r="P125" s="51">
        <f>HEX2DEC(RIGHT(Table1323212714[[#This Row],[h1]],8))</f>
        <v>0</v>
      </c>
      <c r="Q125" s="51" t="s">
        <v>149</v>
      </c>
      <c r="R125" s="51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678</v>
      </c>
      <c r="G126" s="33">
        <v>20</v>
      </c>
      <c r="J126" s="24">
        <v>50000</v>
      </c>
      <c r="M126" s="24">
        <v>50000</v>
      </c>
      <c r="O126" s="51" t="s">
        <v>149</v>
      </c>
      <c r="P126" s="51">
        <f>HEX2DEC(RIGHT(Table1323212714[[#This Row],[h1]],8))</f>
        <v>0</v>
      </c>
      <c r="Q126" s="51" t="s">
        <v>149</v>
      </c>
      <c r="R126" s="51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679</v>
      </c>
      <c r="G127" s="33">
        <v>20</v>
      </c>
      <c r="J127" s="24">
        <v>50000</v>
      </c>
      <c r="M127" s="24">
        <v>50000</v>
      </c>
      <c r="O127" s="51" t="s">
        <v>149</v>
      </c>
      <c r="P127" s="51">
        <f>HEX2DEC(RIGHT(Table1323212714[[#This Row],[h1]],8))</f>
        <v>0</v>
      </c>
      <c r="Q127" s="51" t="s">
        <v>149</v>
      </c>
      <c r="R127" s="51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680</v>
      </c>
      <c r="G128" s="33">
        <v>20</v>
      </c>
      <c r="J128" s="24">
        <v>50000</v>
      </c>
      <c r="M128" s="24">
        <v>50000</v>
      </c>
      <c r="O128" s="51" t="s">
        <v>149</v>
      </c>
      <c r="P128" s="51">
        <f>HEX2DEC(RIGHT(Table1323212714[[#This Row],[h1]],8))</f>
        <v>0</v>
      </c>
      <c r="Q128" s="51" t="s">
        <v>149</v>
      </c>
      <c r="R128" s="51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681</v>
      </c>
      <c r="G129" s="33">
        <v>20</v>
      </c>
      <c r="J129" s="24">
        <v>50000</v>
      </c>
      <c r="M129" s="24">
        <v>50000</v>
      </c>
      <c r="O129" s="51" t="s">
        <v>149</v>
      </c>
      <c r="P129" s="51">
        <f>HEX2DEC(RIGHT(Table1323212714[[#This Row],[h1]],8))</f>
        <v>0</v>
      </c>
      <c r="Q129" s="51" t="s">
        <v>149</v>
      </c>
      <c r="R129" s="51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682</v>
      </c>
      <c r="G130" s="33">
        <v>20</v>
      </c>
      <c r="J130" s="24">
        <v>50000</v>
      </c>
      <c r="M130" s="24">
        <v>50000</v>
      </c>
      <c r="O130" s="51" t="s">
        <v>149</v>
      </c>
      <c r="P130" s="51">
        <f>HEX2DEC(RIGHT(Table1323212714[[#This Row],[h1]],8))</f>
        <v>0</v>
      </c>
      <c r="Q130" s="51" t="s">
        <v>149</v>
      </c>
      <c r="R130" s="51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683</v>
      </c>
      <c r="G131" s="33">
        <v>20</v>
      </c>
      <c r="J131" s="24">
        <v>50000</v>
      </c>
      <c r="M131" s="24">
        <v>50000</v>
      </c>
      <c r="O131" s="51" t="s">
        <v>149</v>
      </c>
      <c r="P131" s="51">
        <f>HEX2DEC(RIGHT(Table1323212714[[#This Row],[h1]],8))</f>
        <v>0</v>
      </c>
      <c r="Q131" s="51" t="s">
        <v>149</v>
      </c>
      <c r="R131" s="51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684</v>
      </c>
      <c r="G132" s="33">
        <v>20</v>
      </c>
      <c r="J132" s="24">
        <v>50000</v>
      </c>
      <c r="M132" s="24">
        <v>50000</v>
      </c>
      <c r="O132" s="51" t="s">
        <v>149</v>
      </c>
      <c r="P132" s="51">
        <f>HEX2DEC(RIGHT(Table1323212714[[#This Row],[h1]],8))</f>
        <v>0</v>
      </c>
      <c r="Q132" s="51" t="s">
        <v>149</v>
      </c>
      <c r="R132" s="51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685</v>
      </c>
      <c r="G133" s="33">
        <v>20</v>
      </c>
      <c r="J133" s="24">
        <v>50000</v>
      </c>
      <c r="M133" s="24">
        <v>50000</v>
      </c>
      <c r="O133" s="51" t="s">
        <v>149</v>
      </c>
      <c r="P133" s="51">
        <f>HEX2DEC(RIGHT(Table1323212714[[#This Row],[h1]],8))</f>
        <v>0</v>
      </c>
      <c r="Q133" s="51" t="s">
        <v>149</v>
      </c>
      <c r="R133" s="51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686</v>
      </c>
      <c r="F134" s="22"/>
      <c r="G134" s="33">
        <v>20</v>
      </c>
      <c r="J134" s="24">
        <v>50000</v>
      </c>
      <c r="M134" s="24">
        <v>50000</v>
      </c>
      <c r="O134" s="51" t="s">
        <v>149</v>
      </c>
      <c r="P134" s="51">
        <f>HEX2DEC(RIGHT(Table1323212714[[#This Row],[h1]],8))</f>
        <v>0</v>
      </c>
      <c r="Q134" s="51" t="s">
        <v>149</v>
      </c>
      <c r="R134" s="51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687</v>
      </c>
      <c r="F135" s="22"/>
      <c r="G135" s="33">
        <v>20</v>
      </c>
      <c r="J135" s="24">
        <v>50000</v>
      </c>
      <c r="M135" s="24">
        <v>50000</v>
      </c>
      <c r="O135" s="51" t="s">
        <v>149</v>
      </c>
      <c r="P135" s="51">
        <f>HEX2DEC(RIGHT(Table1323212714[[#This Row],[h1]],8))</f>
        <v>0</v>
      </c>
      <c r="Q135" s="51" t="s">
        <v>149</v>
      </c>
      <c r="R135" s="51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688</v>
      </c>
      <c r="F136" s="22"/>
      <c r="G136" s="33">
        <v>20</v>
      </c>
      <c r="J136" s="24">
        <v>50000</v>
      </c>
      <c r="M136" s="24">
        <v>50000</v>
      </c>
      <c r="O136" s="51" t="s">
        <v>149</v>
      </c>
      <c r="P136" s="51">
        <f>HEX2DEC(RIGHT(Table1323212714[[#This Row],[h1]],8))</f>
        <v>0</v>
      </c>
      <c r="Q136" s="51" t="s">
        <v>149</v>
      </c>
      <c r="R136" s="51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689</v>
      </c>
      <c r="F137" s="22"/>
      <c r="G137" s="33">
        <v>20</v>
      </c>
      <c r="J137" s="24">
        <v>50000</v>
      </c>
      <c r="M137" s="24">
        <v>50000</v>
      </c>
      <c r="O137" s="51" t="s">
        <v>149</v>
      </c>
      <c r="P137" s="51">
        <f>HEX2DEC(RIGHT(Table1323212714[[#This Row],[h1]],8))</f>
        <v>0</v>
      </c>
      <c r="Q137" s="51" t="s">
        <v>149</v>
      </c>
      <c r="R137" s="51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690</v>
      </c>
      <c r="F138" s="22"/>
      <c r="G138" s="33">
        <v>20</v>
      </c>
      <c r="J138" s="24">
        <v>50000</v>
      </c>
      <c r="M138" s="24">
        <v>50000</v>
      </c>
      <c r="O138" s="51" t="s">
        <v>149</v>
      </c>
      <c r="P138" s="51">
        <f>HEX2DEC(RIGHT(Table1323212714[[#This Row],[h1]],8))</f>
        <v>0</v>
      </c>
      <c r="Q138" s="51" t="s">
        <v>149</v>
      </c>
      <c r="R138" s="51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1" t="s">
        <v>149</v>
      </c>
      <c r="P139" s="51">
        <f>HEX2DEC(RIGHT(Table1323212714[[#This Row],[h1]],8))</f>
        <v>0</v>
      </c>
      <c r="Q139" s="51" t="s">
        <v>149</v>
      </c>
      <c r="R139" s="51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691</v>
      </c>
      <c r="F140" s="22"/>
      <c r="G140" s="36">
        <v>1</v>
      </c>
      <c r="J140" s="24">
        <v>50000</v>
      </c>
      <c r="M140" s="24">
        <v>50000</v>
      </c>
      <c r="O140" s="51" t="s">
        <v>149</v>
      </c>
      <c r="P140" s="51">
        <f>HEX2DEC(RIGHT(Table1323212714[[#This Row],[h1]],8))</f>
        <v>0</v>
      </c>
      <c r="Q140" s="51" t="s">
        <v>149</v>
      </c>
      <c r="R140" s="51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691</v>
      </c>
      <c r="F141" s="22"/>
      <c r="G141" s="36">
        <v>0</v>
      </c>
      <c r="J141" s="24">
        <v>50000</v>
      </c>
      <c r="M141" s="24">
        <v>50000</v>
      </c>
      <c r="O141" s="51" t="s">
        <v>149</v>
      </c>
      <c r="P141" s="51">
        <f>HEX2DEC(RIGHT(Table1323212714[[#This Row],[h1]],8))</f>
        <v>0</v>
      </c>
      <c r="Q141" s="51" t="s">
        <v>149</v>
      </c>
      <c r="R141" s="51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1" t="s">
        <v>149</v>
      </c>
      <c r="P142" s="51">
        <f>HEX2DEC(RIGHT(Table1323212714[[#This Row],[h1]],8))</f>
        <v>0</v>
      </c>
      <c r="Q142" s="51" t="s">
        <v>149</v>
      </c>
      <c r="R142" s="51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692</v>
      </c>
      <c r="F143" s="22"/>
      <c r="G143" s="32">
        <v>0</v>
      </c>
      <c r="J143" s="24">
        <v>50000</v>
      </c>
      <c r="M143" s="24">
        <v>50000</v>
      </c>
      <c r="O143" s="51" t="s">
        <v>149</v>
      </c>
      <c r="P143" s="51">
        <f>HEX2DEC(RIGHT(Table1323212714[[#This Row],[h1]],8))</f>
        <v>0</v>
      </c>
      <c r="Q143" s="51" t="s">
        <v>149</v>
      </c>
      <c r="R143" s="51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693</v>
      </c>
      <c r="F144" s="22"/>
      <c r="G144" s="32">
        <v>0</v>
      </c>
      <c r="J144" s="24">
        <v>50000</v>
      </c>
      <c r="M144" s="24">
        <v>50000</v>
      </c>
      <c r="O144" s="51" t="s">
        <v>149</v>
      </c>
      <c r="P144" s="51">
        <f>HEX2DEC(RIGHT(Table1323212714[[#This Row],[h1]],8))</f>
        <v>0</v>
      </c>
      <c r="Q144" s="51" t="s">
        <v>149</v>
      </c>
      <c r="R144" s="51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694</v>
      </c>
      <c r="F145" s="22"/>
      <c r="G145" s="32">
        <v>0</v>
      </c>
      <c r="J145" s="24">
        <v>50000</v>
      </c>
      <c r="M145" s="24">
        <v>50000</v>
      </c>
      <c r="O145" s="51" t="s">
        <v>149</v>
      </c>
      <c r="P145" s="51">
        <f>HEX2DEC(RIGHT(Table1323212714[[#This Row],[h1]],8))</f>
        <v>0</v>
      </c>
      <c r="Q145" s="51" t="s">
        <v>149</v>
      </c>
      <c r="R145" s="51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1" t="s">
        <v>149</v>
      </c>
      <c r="P146" s="51">
        <f>HEX2DEC(RIGHT(Table1323212714[[#This Row],[h1]],8))</f>
        <v>0</v>
      </c>
      <c r="Q146" s="51" t="s">
        <v>149</v>
      </c>
      <c r="R146" s="51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695</v>
      </c>
      <c r="F147" s="22"/>
      <c r="G147" s="32">
        <v>1</v>
      </c>
      <c r="J147" s="24">
        <v>50000</v>
      </c>
      <c r="M147" s="24">
        <v>50000</v>
      </c>
      <c r="O147" s="51" t="s">
        <v>149</v>
      </c>
      <c r="P147" s="51">
        <f>HEX2DEC(RIGHT(Table1323212714[[#This Row],[h1]],8))</f>
        <v>0</v>
      </c>
      <c r="Q147" s="51" t="s">
        <v>149</v>
      </c>
      <c r="R147" s="51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696</v>
      </c>
      <c r="F148" s="22"/>
      <c r="G148" s="32">
        <v>1</v>
      </c>
      <c r="J148" s="24">
        <v>50000</v>
      </c>
      <c r="M148" s="24">
        <v>50000</v>
      </c>
      <c r="O148" s="51" t="s">
        <v>149</v>
      </c>
      <c r="P148" s="51">
        <f>HEX2DEC(RIGHT(Table1323212714[[#This Row],[h1]],8))</f>
        <v>0</v>
      </c>
      <c r="Q148" s="51" t="s">
        <v>149</v>
      </c>
      <c r="R148" s="51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697</v>
      </c>
      <c r="F149" s="22"/>
      <c r="G149" s="32">
        <v>1</v>
      </c>
      <c r="J149" s="24">
        <v>50000</v>
      </c>
      <c r="M149" s="24">
        <v>50000</v>
      </c>
      <c r="O149" s="51" t="s">
        <v>149</v>
      </c>
      <c r="P149" s="51">
        <f>HEX2DEC(RIGHT(Table1323212714[[#This Row],[h1]],8))</f>
        <v>0</v>
      </c>
      <c r="Q149" s="51" t="s">
        <v>149</v>
      </c>
      <c r="R149" s="51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51" t="s">
        <v>149</v>
      </c>
      <c r="P150" s="51">
        <f>HEX2DEC(RIGHT(Table1323212714[[#This Row],[h1]],8))</f>
        <v>0</v>
      </c>
      <c r="Q150" s="51" t="s">
        <v>149</v>
      </c>
      <c r="R150" s="51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51" t="s">
        <v>149</v>
      </c>
      <c r="P151" s="51">
        <f>HEX2DEC(RIGHT(Table1323212714[[#This Row],[h1]],8))</f>
        <v>0</v>
      </c>
      <c r="Q151" s="51" t="s">
        <v>149</v>
      </c>
      <c r="R151" s="51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51" t="s">
        <v>149</v>
      </c>
      <c r="P152" s="51">
        <f>HEX2DEC(RIGHT(Table1323212714[[#This Row],[h1]],8))</f>
        <v>0</v>
      </c>
      <c r="Q152" s="51" t="s">
        <v>149</v>
      </c>
      <c r="R152" s="51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51" t="s">
        <v>149</v>
      </c>
      <c r="P153" s="51">
        <f>HEX2DEC(RIGHT(Table1323212714[[#This Row],[h1]],8))</f>
        <v>0</v>
      </c>
      <c r="Q153" s="51" t="s">
        <v>149</v>
      </c>
      <c r="R153" s="51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51" t="s">
        <v>149</v>
      </c>
      <c r="P154" s="51">
        <f>HEX2DEC(RIGHT(Table1323212714[[#This Row],[h1]],8))</f>
        <v>0</v>
      </c>
      <c r="Q154" s="51" t="s">
        <v>149</v>
      </c>
      <c r="R154" s="51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51" t="s">
        <v>149</v>
      </c>
      <c r="P155" s="51">
        <f>HEX2DEC(RIGHT(Table1323212714[[#This Row],[h1]],8))</f>
        <v>0</v>
      </c>
      <c r="Q155" s="51" t="s">
        <v>149</v>
      </c>
      <c r="R155" s="51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160</v>
      </c>
      <c r="G156" s="33">
        <v>0</v>
      </c>
      <c r="J156" s="24">
        <v>50000</v>
      </c>
      <c r="M156" s="24">
        <v>50000</v>
      </c>
      <c r="O156" s="51" t="s">
        <v>149</v>
      </c>
      <c r="P156" s="51">
        <f>HEX2DEC(RIGHT(Table1323212714[[#This Row],[h1]],8))</f>
        <v>0</v>
      </c>
      <c r="Q156" s="51" t="s">
        <v>149</v>
      </c>
      <c r="R156" s="51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161</v>
      </c>
      <c r="G157" s="33">
        <v>1</v>
      </c>
      <c r="J157" s="24">
        <v>50000</v>
      </c>
      <c r="M157" s="24">
        <v>50000</v>
      </c>
      <c r="O157" s="51" t="s">
        <v>149</v>
      </c>
      <c r="P157" s="51">
        <f>HEX2DEC(RIGHT(Table1323212714[[#This Row],[h1]],8))</f>
        <v>0</v>
      </c>
      <c r="Q157" s="51" t="s">
        <v>149</v>
      </c>
      <c r="R157" s="51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162</v>
      </c>
      <c r="G158" s="33">
        <v>1</v>
      </c>
      <c r="J158" s="24">
        <v>50000</v>
      </c>
      <c r="M158" s="24">
        <v>50000</v>
      </c>
      <c r="O158" s="51" t="s">
        <v>149</v>
      </c>
      <c r="P158" s="51">
        <f>HEX2DEC(RIGHT(Table1323212714[[#This Row],[h1]],8))</f>
        <v>0</v>
      </c>
      <c r="Q158" s="51" t="s">
        <v>149</v>
      </c>
      <c r="R158" s="51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163</v>
      </c>
      <c r="G159" s="33">
        <v>1</v>
      </c>
      <c r="J159" s="24">
        <v>50000</v>
      </c>
      <c r="M159" s="24">
        <v>50000</v>
      </c>
      <c r="O159" s="51" t="s">
        <v>149</v>
      </c>
      <c r="P159" s="51">
        <f>HEX2DEC(RIGHT(Table1323212714[[#This Row],[h1]],8))</f>
        <v>0</v>
      </c>
      <c r="Q159" s="51" t="s">
        <v>149</v>
      </c>
      <c r="R159" s="51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158</v>
      </c>
      <c r="J160" s="24">
        <v>50000</v>
      </c>
      <c r="M160" s="24">
        <v>50000</v>
      </c>
      <c r="O160" s="51" t="s">
        <v>149</v>
      </c>
      <c r="P160" s="51">
        <f>HEX2DEC(RIGHT(Table1323212714[[#This Row],[h1]],8))</f>
        <v>0</v>
      </c>
      <c r="Q160" s="51" t="s">
        <v>149</v>
      </c>
      <c r="R160" s="51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51" t="s">
        <v>149</v>
      </c>
      <c r="P161" s="51">
        <f>HEX2DEC(RIGHT(Table1323212714[[#This Row],[h1]],8))</f>
        <v>0</v>
      </c>
      <c r="Q161" s="51" t="s">
        <v>149</v>
      </c>
      <c r="R161" s="51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51" t="s">
        <v>149</v>
      </c>
      <c r="P162" s="51">
        <f>HEX2DEC(RIGHT(Table1323212714[[#This Row],[h1]],8))</f>
        <v>0</v>
      </c>
      <c r="Q162" s="51" t="s">
        <v>149</v>
      </c>
      <c r="R162" s="51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698</v>
      </c>
      <c r="E163" s="38"/>
      <c r="F163" s="38"/>
      <c r="G163" s="38"/>
      <c r="J163" s="24">
        <v>50000</v>
      </c>
      <c r="M163" s="24">
        <v>50000</v>
      </c>
      <c r="O163" s="51" t="s">
        <v>149</v>
      </c>
      <c r="P163" s="51">
        <f>HEX2DEC(RIGHT(Table1323212714[[#This Row],[h1]],8))</f>
        <v>0</v>
      </c>
      <c r="Q163" s="51" t="s">
        <v>149</v>
      </c>
      <c r="R163" s="51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51" t="s">
        <v>149</v>
      </c>
      <c r="P164" s="51">
        <f>HEX2DEC(RIGHT(Table1323212714[[#This Row],[h1]],8))</f>
        <v>0</v>
      </c>
      <c r="Q164" s="51" t="s">
        <v>149</v>
      </c>
      <c r="R164" s="51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344</v>
      </c>
      <c r="E165" s="56">
        <v>1</v>
      </c>
      <c r="F165" s="57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51" t="s">
        <v>149</v>
      </c>
      <c r="P165" s="51">
        <f>HEX2DEC(RIGHT(Table1323212714[[#This Row],[h1]],8))</f>
        <v>0</v>
      </c>
      <c r="Q165" s="51" t="s">
        <v>149</v>
      </c>
      <c r="R165" s="51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345</v>
      </c>
      <c r="E166" s="56">
        <v>10</v>
      </c>
      <c r="F166" s="57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51" t="s">
        <v>149</v>
      </c>
      <c r="P166" s="51">
        <f>HEX2DEC(RIGHT(Table1323212714[[#This Row],[h1]],8))</f>
        <v>0</v>
      </c>
      <c r="Q166" s="51" t="s">
        <v>149</v>
      </c>
      <c r="R166" s="51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346</v>
      </c>
      <c r="E167" s="56">
        <v>100</v>
      </c>
      <c r="F167" s="57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51" t="s">
        <v>149</v>
      </c>
      <c r="P167" s="51">
        <f>HEX2DEC(RIGHT(Table1323212714[[#This Row],[h1]],8))</f>
        <v>0</v>
      </c>
      <c r="Q167" s="51" t="s">
        <v>149</v>
      </c>
      <c r="R167" s="51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347</v>
      </c>
      <c r="E168" s="56">
        <v>1000</v>
      </c>
      <c r="F168" s="57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51" t="s">
        <v>149</v>
      </c>
      <c r="P168" s="51">
        <f>HEX2DEC(RIGHT(Table1323212714[[#This Row],[h1]],8))</f>
        <v>0</v>
      </c>
      <c r="Q168" s="51" t="s">
        <v>149</v>
      </c>
      <c r="R168" s="51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348</v>
      </c>
      <c r="E169" s="56">
        <v>10000</v>
      </c>
      <c r="F169" s="57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51" t="s">
        <v>149</v>
      </c>
      <c r="P169" s="51">
        <f>HEX2DEC(RIGHT(Table1323212714[[#This Row],[h1]],8))</f>
        <v>0</v>
      </c>
      <c r="Q169" s="51" t="s">
        <v>149</v>
      </c>
      <c r="R169" s="51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349</v>
      </c>
      <c r="E170" s="56">
        <v>100000</v>
      </c>
      <c r="F170" s="57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51" t="s">
        <v>149</v>
      </c>
      <c r="P170" s="51">
        <f>HEX2DEC(RIGHT(Table1323212714[[#This Row],[h1]],8))</f>
        <v>0</v>
      </c>
      <c r="Q170" s="51" t="s">
        <v>149</v>
      </c>
      <c r="R170" s="51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350</v>
      </c>
      <c r="E171" s="56">
        <v>200000</v>
      </c>
      <c r="F171" s="57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51" t="s">
        <v>149</v>
      </c>
      <c r="P171" s="51">
        <f>HEX2DEC(RIGHT(Table1323212714[[#This Row],[h1]],8))</f>
        <v>0</v>
      </c>
      <c r="Q171" s="51" t="s">
        <v>149</v>
      </c>
      <c r="R171" s="51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351</v>
      </c>
      <c r="E172" s="56">
        <v>300000</v>
      </c>
      <c r="F172" s="57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51" t="s">
        <v>149</v>
      </c>
      <c r="P172" s="51">
        <f>HEX2DEC(RIGHT(Table1323212714[[#This Row],[h1]],8))</f>
        <v>0</v>
      </c>
      <c r="Q172" s="51" t="s">
        <v>149</v>
      </c>
      <c r="R172" s="51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352</v>
      </c>
      <c r="E173" s="56">
        <v>400000</v>
      </c>
      <c r="F173" s="57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51" t="s">
        <v>149</v>
      </c>
      <c r="P173" s="51">
        <f>HEX2DEC(RIGHT(Table1323212714[[#This Row],[h1]],8))</f>
        <v>0</v>
      </c>
      <c r="Q173" s="51" t="s">
        <v>149</v>
      </c>
      <c r="R173" s="51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353</v>
      </c>
      <c r="E174" s="56">
        <v>500000</v>
      </c>
      <c r="F174" s="57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51" t="s">
        <v>149</v>
      </c>
      <c r="P174" s="51">
        <f>HEX2DEC(RIGHT(Table1323212714[[#This Row],[h1]],8))</f>
        <v>0</v>
      </c>
      <c r="Q174" s="51" t="s">
        <v>149</v>
      </c>
      <c r="R174" s="51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354</v>
      </c>
      <c r="E175" s="56">
        <v>600000</v>
      </c>
      <c r="F175" s="57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51" t="s">
        <v>149</v>
      </c>
      <c r="P175" s="51">
        <f>HEX2DEC(RIGHT(Table1323212714[[#This Row],[h1]],8))</f>
        <v>0</v>
      </c>
      <c r="Q175" s="51" t="s">
        <v>149</v>
      </c>
      <c r="R175" s="51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355</v>
      </c>
      <c r="E176" s="56">
        <v>700000</v>
      </c>
      <c r="F176" s="57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51" t="s">
        <v>149</v>
      </c>
      <c r="P176" s="51">
        <f>HEX2DEC(RIGHT(Table1323212714[[#This Row],[h1]],8))</f>
        <v>0</v>
      </c>
      <c r="Q176" s="51" t="s">
        <v>149</v>
      </c>
      <c r="R176" s="51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356</v>
      </c>
      <c r="E177" s="56">
        <v>800000</v>
      </c>
      <c r="F177" s="57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51" t="s">
        <v>149</v>
      </c>
      <c r="P177" s="51">
        <f>HEX2DEC(RIGHT(Table1323212714[[#This Row],[h1]],8))</f>
        <v>0</v>
      </c>
      <c r="Q177" s="51" t="s">
        <v>149</v>
      </c>
      <c r="R177" s="51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357</v>
      </c>
      <c r="E178" s="56">
        <v>900000</v>
      </c>
      <c r="F178" s="57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51" t="s">
        <v>149</v>
      </c>
      <c r="P178" s="51">
        <f>HEX2DEC(RIGHT(Table1323212714[[#This Row],[h1]],8))</f>
        <v>0</v>
      </c>
      <c r="Q178" s="51" t="s">
        <v>149</v>
      </c>
      <c r="R178" s="51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51" t="s">
        <v>149</v>
      </c>
      <c r="P179" s="51">
        <f>HEX2DEC(RIGHT(Table1323212714[[#This Row],[h1]],8))</f>
        <v>0</v>
      </c>
      <c r="Q179" s="51" t="s">
        <v>149</v>
      </c>
      <c r="R179" s="51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358</v>
      </c>
      <c r="G180" s="51" t="s">
        <v>94</v>
      </c>
      <c r="J180" s="24">
        <v>50000</v>
      </c>
      <c r="M180" s="24">
        <v>50000</v>
      </c>
      <c r="O180" s="51" t="s">
        <v>149</v>
      </c>
      <c r="P180" s="51">
        <f>HEX2DEC(RIGHT(Table1323212714[[#This Row],[h1]],8))</f>
        <v>0</v>
      </c>
      <c r="Q180" s="51" t="s">
        <v>149</v>
      </c>
      <c r="R180" s="51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359</v>
      </c>
      <c r="G181" s="51" t="s">
        <v>94</v>
      </c>
      <c r="J181" s="24">
        <v>50000</v>
      </c>
      <c r="M181" s="24">
        <v>50000</v>
      </c>
      <c r="O181" s="51" t="s">
        <v>149</v>
      </c>
      <c r="P181" s="51">
        <f>HEX2DEC(RIGHT(Table1323212714[[#This Row],[h1]],8))</f>
        <v>0</v>
      </c>
      <c r="Q181" s="51" t="s">
        <v>149</v>
      </c>
      <c r="R181" s="51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360</v>
      </c>
      <c r="G182" s="51" t="s">
        <v>94</v>
      </c>
      <c r="J182" s="24">
        <v>50000</v>
      </c>
      <c r="M182" s="24">
        <v>50000</v>
      </c>
      <c r="O182" s="51" t="s">
        <v>149</v>
      </c>
      <c r="P182" s="51">
        <f>HEX2DEC(RIGHT(Table1323212714[[#This Row],[h1]],8))</f>
        <v>0</v>
      </c>
      <c r="Q182" s="51" t="s">
        <v>149</v>
      </c>
      <c r="R182" s="51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361</v>
      </c>
      <c r="G183" s="51" t="s">
        <v>94</v>
      </c>
      <c r="J183" s="24">
        <v>50000</v>
      </c>
      <c r="M183" s="24">
        <v>50000</v>
      </c>
      <c r="O183" s="51" t="s">
        <v>149</v>
      </c>
      <c r="P183" s="51">
        <f>HEX2DEC(RIGHT(Table1323212714[[#This Row],[h1]],8))</f>
        <v>0</v>
      </c>
      <c r="Q183" s="51" t="s">
        <v>149</v>
      </c>
      <c r="R183" s="51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362</v>
      </c>
      <c r="G184" s="51" t="s">
        <v>94</v>
      </c>
      <c r="J184" s="24">
        <v>50000</v>
      </c>
      <c r="M184" s="24">
        <v>50000</v>
      </c>
      <c r="O184" s="51" t="s">
        <v>149</v>
      </c>
      <c r="P184" s="51">
        <f>HEX2DEC(RIGHT(Table1323212714[[#This Row],[h1]],8))</f>
        <v>0</v>
      </c>
      <c r="Q184" s="51" t="s">
        <v>149</v>
      </c>
      <c r="R184" s="51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363</v>
      </c>
      <c r="G185" s="51" t="s">
        <v>94</v>
      </c>
      <c r="J185" s="24">
        <v>50000</v>
      </c>
      <c r="M185" s="24">
        <v>50000</v>
      </c>
      <c r="O185" s="51" t="s">
        <v>149</v>
      </c>
      <c r="P185" s="51">
        <f>HEX2DEC(RIGHT(Table1323212714[[#This Row],[h1]],8))</f>
        <v>0</v>
      </c>
      <c r="Q185" s="51" t="s">
        <v>149</v>
      </c>
      <c r="R185" s="51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364</v>
      </c>
      <c r="G186" s="51" t="s">
        <v>94</v>
      </c>
      <c r="J186" s="24">
        <v>50000</v>
      </c>
      <c r="M186" s="24">
        <v>50000</v>
      </c>
      <c r="O186" s="51" t="s">
        <v>149</v>
      </c>
      <c r="P186" s="51">
        <f>HEX2DEC(RIGHT(Table1323212714[[#This Row],[h1]],8))</f>
        <v>0</v>
      </c>
      <c r="Q186" s="51" t="s">
        <v>149</v>
      </c>
      <c r="R186" s="51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365</v>
      </c>
      <c r="G187" s="51" t="s">
        <v>94</v>
      </c>
      <c r="J187" s="24">
        <v>50000</v>
      </c>
      <c r="M187" s="24">
        <v>50000</v>
      </c>
      <c r="O187" s="51" t="s">
        <v>149</v>
      </c>
      <c r="P187" s="51">
        <f>HEX2DEC(RIGHT(Table1323212714[[#This Row],[h1]],8))</f>
        <v>0</v>
      </c>
      <c r="Q187" s="51" t="s">
        <v>149</v>
      </c>
      <c r="R187" s="51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51"/>
      <c r="J188" s="24">
        <v>50000</v>
      </c>
      <c r="M188" s="24">
        <v>50000</v>
      </c>
      <c r="O188" s="51" t="s">
        <v>149</v>
      </c>
      <c r="P188" s="51">
        <f>HEX2DEC(RIGHT(Table1323212714[[#This Row],[h1]],8))</f>
        <v>0</v>
      </c>
      <c r="Q188" s="51" t="s">
        <v>149</v>
      </c>
      <c r="R188" s="51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366</v>
      </c>
      <c r="G189" s="51" t="s">
        <v>94</v>
      </c>
      <c r="J189" s="24">
        <v>50000</v>
      </c>
      <c r="M189" s="24">
        <v>50000</v>
      </c>
      <c r="O189" s="51" t="s">
        <v>149</v>
      </c>
      <c r="P189" s="51">
        <f>HEX2DEC(RIGHT(Table1323212714[[#This Row],[h1]],8))</f>
        <v>0</v>
      </c>
      <c r="Q189" s="51" t="s">
        <v>149</v>
      </c>
      <c r="R189" s="51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367</v>
      </c>
      <c r="G190" s="51" t="s">
        <v>94</v>
      </c>
      <c r="J190" s="24">
        <v>50000</v>
      </c>
      <c r="M190" s="24">
        <v>50000</v>
      </c>
      <c r="O190" s="51" t="s">
        <v>149</v>
      </c>
      <c r="P190" s="51">
        <f>HEX2DEC(RIGHT(Table1323212714[[#This Row],[h1]],8))</f>
        <v>0</v>
      </c>
      <c r="Q190" s="51" t="s">
        <v>149</v>
      </c>
      <c r="R190" s="51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368</v>
      </c>
      <c r="G191" s="51" t="s">
        <v>94</v>
      </c>
      <c r="J191" s="24">
        <v>50000</v>
      </c>
      <c r="M191" s="24">
        <v>50000</v>
      </c>
      <c r="O191" s="51" t="s">
        <v>149</v>
      </c>
      <c r="P191" s="51">
        <f>HEX2DEC(RIGHT(Table1323212714[[#This Row],[h1]],8))</f>
        <v>0</v>
      </c>
      <c r="Q191" s="51" t="s">
        <v>149</v>
      </c>
      <c r="R191" s="51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369</v>
      </c>
      <c r="G192" s="51" t="s">
        <v>94</v>
      </c>
      <c r="J192" s="24">
        <v>50000</v>
      </c>
      <c r="M192" s="24">
        <v>50000</v>
      </c>
      <c r="O192" s="51" t="s">
        <v>149</v>
      </c>
      <c r="P192" s="51">
        <f>HEX2DEC(RIGHT(Table1323212714[[#This Row],[h1]],8))</f>
        <v>0</v>
      </c>
      <c r="Q192" s="51" t="s">
        <v>149</v>
      </c>
      <c r="R192" s="51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370</v>
      </c>
      <c r="G193" s="51" t="s">
        <v>94</v>
      </c>
      <c r="J193" s="24">
        <v>50000</v>
      </c>
      <c r="M193" s="24">
        <v>50000</v>
      </c>
      <c r="O193" s="51" t="s">
        <v>149</v>
      </c>
      <c r="P193" s="51">
        <f>HEX2DEC(RIGHT(Table1323212714[[#This Row],[h1]],8))</f>
        <v>0</v>
      </c>
      <c r="Q193" s="51" t="s">
        <v>149</v>
      </c>
      <c r="R193" s="51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371</v>
      </c>
      <c r="G194" s="51" t="s">
        <v>94</v>
      </c>
      <c r="J194" s="24">
        <v>50000</v>
      </c>
      <c r="M194" s="24">
        <v>50000</v>
      </c>
      <c r="O194" s="51" t="s">
        <v>149</v>
      </c>
      <c r="P194" s="51">
        <f>HEX2DEC(RIGHT(Table1323212714[[#This Row],[h1]],8))</f>
        <v>0</v>
      </c>
      <c r="Q194" s="51" t="s">
        <v>149</v>
      </c>
      <c r="R194" s="51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372</v>
      </c>
      <c r="G195" s="51" t="s">
        <v>94</v>
      </c>
      <c r="J195" s="24">
        <v>50000</v>
      </c>
      <c r="M195" s="24">
        <v>50000</v>
      </c>
      <c r="O195" s="51" t="s">
        <v>149</v>
      </c>
      <c r="P195" s="51">
        <f>HEX2DEC(RIGHT(Table1323212714[[#This Row],[h1]],8))</f>
        <v>0</v>
      </c>
      <c r="Q195" s="51" t="s">
        <v>149</v>
      </c>
      <c r="R195" s="51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373</v>
      </c>
      <c r="G196" s="51" t="s">
        <v>94</v>
      </c>
      <c r="J196" s="24">
        <v>50000</v>
      </c>
      <c r="M196" s="24">
        <v>50000</v>
      </c>
      <c r="O196" s="51" t="s">
        <v>149</v>
      </c>
      <c r="P196" s="51">
        <f>HEX2DEC(RIGHT(Table1323212714[[#This Row],[h1]],8))</f>
        <v>0</v>
      </c>
      <c r="Q196" s="51" t="s">
        <v>149</v>
      </c>
      <c r="R196" s="51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374</v>
      </c>
      <c r="G197" s="51" t="s">
        <v>94</v>
      </c>
      <c r="J197" s="24">
        <v>50000</v>
      </c>
      <c r="M197" s="24">
        <v>50000</v>
      </c>
      <c r="O197" s="51" t="s">
        <v>149</v>
      </c>
      <c r="P197" s="51">
        <f>HEX2DEC(RIGHT(Table1323212714[[#This Row],[h1]],8))</f>
        <v>0</v>
      </c>
      <c r="Q197" s="51" t="s">
        <v>149</v>
      </c>
      <c r="R197" s="51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375</v>
      </c>
      <c r="G198" s="51" t="s">
        <v>94</v>
      </c>
      <c r="J198" s="24">
        <v>50000</v>
      </c>
      <c r="M198" s="24">
        <v>50000</v>
      </c>
      <c r="O198" s="51" t="s">
        <v>149</v>
      </c>
      <c r="P198" s="51">
        <f>HEX2DEC(RIGHT(Table1323212714[[#This Row],[h1]],8))</f>
        <v>0</v>
      </c>
      <c r="Q198" s="51" t="s">
        <v>149</v>
      </c>
      <c r="R198" s="51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376</v>
      </c>
      <c r="G199" s="51" t="s">
        <v>94</v>
      </c>
      <c r="J199" s="24">
        <v>50000</v>
      </c>
      <c r="M199" s="24">
        <v>50000</v>
      </c>
      <c r="O199" s="51" t="s">
        <v>149</v>
      </c>
      <c r="P199" s="51">
        <f>HEX2DEC(RIGHT(Table1323212714[[#This Row],[h1]],8))</f>
        <v>0</v>
      </c>
      <c r="Q199" s="51" t="s">
        <v>149</v>
      </c>
      <c r="R199" s="51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377</v>
      </c>
      <c r="G200" s="51" t="s">
        <v>94</v>
      </c>
      <c r="J200" s="24">
        <v>50000</v>
      </c>
      <c r="M200" s="24">
        <v>50000</v>
      </c>
      <c r="O200" s="51" t="s">
        <v>149</v>
      </c>
      <c r="P200" s="51">
        <f>HEX2DEC(RIGHT(Table1323212714[[#This Row],[h1]],8))</f>
        <v>0</v>
      </c>
      <c r="Q200" s="51" t="s">
        <v>149</v>
      </c>
      <c r="R200" s="51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378</v>
      </c>
      <c r="G201" s="51" t="s">
        <v>94</v>
      </c>
      <c r="J201" s="24">
        <v>50000</v>
      </c>
      <c r="M201" s="24">
        <v>50000</v>
      </c>
      <c r="O201" s="51" t="s">
        <v>149</v>
      </c>
      <c r="P201" s="51">
        <f>HEX2DEC(RIGHT(Table1323212714[[#This Row],[h1]],8))</f>
        <v>0</v>
      </c>
      <c r="Q201" s="51" t="s">
        <v>149</v>
      </c>
      <c r="R201" s="51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379</v>
      </c>
      <c r="G202" s="51" t="s">
        <v>94</v>
      </c>
      <c r="J202" s="24">
        <v>50000</v>
      </c>
      <c r="M202" s="24">
        <v>50000</v>
      </c>
      <c r="O202" s="51" t="s">
        <v>149</v>
      </c>
      <c r="P202" s="51">
        <f>HEX2DEC(RIGHT(Table1323212714[[#This Row],[h1]],8))</f>
        <v>0</v>
      </c>
      <c r="Q202" s="51" t="s">
        <v>149</v>
      </c>
      <c r="R202" s="51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380</v>
      </c>
      <c r="G203" s="51" t="s">
        <v>94</v>
      </c>
      <c r="J203" s="24">
        <v>50000</v>
      </c>
      <c r="M203" s="24">
        <v>50000</v>
      </c>
      <c r="O203" s="51" t="s">
        <v>149</v>
      </c>
      <c r="P203" s="51">
        <f>HEX2DEC(RIGHT(Table1323212714[[#This Row],[h1]],8))</f>
        <v>0</v>
      </c>
      <c r="Q203" s="51" t="s">
        <v>149</v>
      </c>
      <c r="R203" s="51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381</v>
      </c>
      <c r="E204" s="27"/>
      <c r="F204" s="27"/>
      <c r="G204" s="51" t="s">
        <v>94</v>
      </c>
      <c r="J204" s="24">
        <v>50000</v>
      </c>
      <c r="M204" s="24">
        <v>50000</v>
      </c>
      <c r="O204" s="51" t="s">
        <v>149</v>
      </c>
      <c r="P204" s="51">
        <f>HEX2DEC(RIGHT(Table1323212714[[#This Row],[h1]],8))</f>
        <v>0</v>
      </c>
      <c r="Q204" s="51" t="s">
        <v>149</v>
      </c>
      <c r="R204" s="51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382</v>
      </c>
      <c r="G205" s="51" t="s">
        <v>94</v>
      </c>
      <c r="J205" s="24">
        <v>50000</v>
      </c>
      <c r="M205" s="24">
        <v>50000</v>
      </c>
      <c r="O205" s="51" t="s">
        <v>149</v>
      </c>
      <c r="P205" s="51">
        <f>HEX2DEC(RIGHT(Table1323212714[[#This Row],[h1]],8))</f>
        <v>0</v>
      </c>
      <c r="Q205" s="51" t="s">
        <v>149</v>
      </c>
      <c r="R205" s="51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383</v>
      </c>
      <c r="G206" s="51" t="s">
        <v>94</v>
      </c>
      <c r="J206" s="24">
        <v>50000</v>
      </c>
      <c r="M206" s="24">
        <v>50000</v>
      </c>
      <c r="O206" s="51" t="s">
        <v>149</v>
      </c>
      <c r="P206" s="51">
        <f>HEX2DEC(RIGHT(Table1323212714[[#This Row],[h1]],8))</f>
        <v>0</v>
      </c>
      <c r="Q206" s="51" t="s">
        <v>149</v>
      </c>
      <c r="R206" s="51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384</v>
      </c>
      <c r="G207" s="51" t="s">
        <v>94</v>
      </c>
      <c r="J207" s="24">
        <v>50000</v>
      </c>
      <c r="M207" s="24">
        <v>50000</v>
      </c>
      <c r="O207" s="51" t="s">
        <v>149</v>
      </c>
      <c r="P207" s="51">
        <f>HEX2DEC(RIGHT(Table1323212714[[#This Row],[h1]],8))</f>
        <v>0</v>
      </c>
      <c r="Q207" s="51" t="s">
        <v>149</v>
      </c>
      <c r="R207" s="51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385</v>
      </c>
      <c r="G208" s="51" t="s">
        <v>94</v>
      </c>
      <c r="J208" s="24">
        <v>50000</v>
      </c>
      <c r="M208" s="24">
        <v>50000</v>
      </c>
      <c r="O208" s="51" t="s">
        <v>149</v>
      </c>
      <c r="P208" s="51">
        <f>HEX2DEC(RIGHT(Table1323212714[[#This Row],[h1]],8))</f>
        <v>0</v>
      </c>
      <c r="Q208" s="51" t="s">
        <v>149</v>
      </c>
      <c r="R208" s="51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386</v>
      </c>
      <c r="G209" s="51" t="s">
        <v>94</v>
      </c>
      <c r="J209" s="24">
        <v>50000</v>
      </c>
      <c r="M209" s="24">
        <v>50000</v>
      </c>
      <c r="O209" s="51" t="s">
        <v>149</v>
      </c>
      <c r="P209" s="51">
        <f>HEX2DEC(RIGHT(Table1323212714[[#This Row],[h1]],8))</f>
        <v>0</v>
      </c>
      <c r="Q209" s="51" t="s">
        <v>149</v>
      </c>
      <c r="R209" s="51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387</v>
      </c>
      <c r="G210" s="51" t="s">
        <v>94</v>
      </c>
      <c r="J210" s="24">
        <v>50000</v>
      </c>
      <c r="M210" s="24">
        <v>50000</v>
      </c>
      <c r="O210" s="51" t="s">
        <v>149</v>
      </c>
      <c r="P210" s="51">
        <f>HEX2DEC(RIGHT(Table1323212714[[#This Row],[h1]],8))</f>
        <v>0</v>
      </c>
      <c r="Q210" s="51" t="s">
        <v>149</v>
      </c>
      <c r="R210" s="51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388</v>
      </c>
      <c r="G211" s="51" t="s">
        <v>94</v>
      </c>
      <c r="J211" s="24">
        <v>50000</v>
      </c>
      <c r="M211" s="24">
        <v>50000</v>
      </c>
      <c r="O211" s="51" t="s">
        <v>149</v>
      </c>
      <c r="P211" s="51">
        <f>HEX2DEC(RIGHT(Table1323212714[[#This Row],[h1]],8))</f>
        <v>0</v>
      </c>
      <c r="Q211" s="51" t="s">
        <v>149</v>
      </c>
      <c r="R211" s="51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389</v>
      </c>
      <c r="G212" s="51" t="s">
        <v>94</v>
      </c>
      <c r="J212" s="24">
        <v>50000</v>
      </c>
      <c r="M212" s="24">
        <v>50000</v>
      </c>
      <c r="O212" s="51" t="s">
        <v>149</v>
      </c>
      <c r="P212" s="51">
        <f>HEX2DEC(RIGHT(Table1323212714[[#This Row],[h1]],8))</f>
        <v>0</v>
      </c>
      <c r="Q212" s="51" t="s">
        <v>149</v>
      </c>
      <c r="R212" s="51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390</v>
      </c>
      <c r="G213" s="51" t="s">
        <v>94</v>
      </c>
      <c r="J213" s="24">
        <v>50000</v>
      </c>
      <c r="M213" s="24">
        <v>50000</v>
      </c>
      <c r="O213" s="51" t="s">
        <v>149</v>
      </c>
      <c r="P213" s="51">
        <f>HEX2DEC(RIGHT(Table1323212714[[#This Row],[h1]],8))</f>
        <v>0</v>
      </c>
      <c r="Q213" s="51" t="s">
        <v>149</v>
      </c>
      <c r="R213" s="51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391</v>
      </c>
      <c r="G214" s="51" t="s">
        <v>94</v>
      </c>
      <c r="J214" s="24">
        <v>50000</v>
      </c>
      <c r="M214" s="24">
        <v>50000</v>
      </c>
      <c r="O214" s="51" t="s">
        <v>149</v>
      </c>
      <c r="P214" s="51">
        <f>HEX2DEC(RIGHT(Table1323212714[[#This Row],[h1]],8))</f>
        <v>0</v>
      </c>
      <c r="Q214" s="51" t="s">
        <v>149</v>
      </c>
      <c r="R214" s="51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392</v>
      </c>
      <c r="G215" s="51" t="s">
        <v>94</v>
      </c>
      <c r="J215" s="24">
        <v>50000</v>
      </c>
      <c r="M215" s="24">
        <v>50000</v>
      </c>
      <c r="O215" s="51" t="s">
        <v>149</v>
      </c>
      <c r="P215" s="51">
        <f>HEX2DEC(RIGHT(Table1323212714[[#This Row],[h1]],8))</f>
        <v>0</v>
      </c>
      <c r="Q215" s="51" t="s">
        <v>149</v>
      </c>
      <c r="R215" s="51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393</v>
      </c>
      <c r="G216" s="51" t="s">
        <v>94</v>
      </c>
      <c r="J216" s="24">
        <v>50000</v>
      </c>
      <c r="M216" s="24">
        <v>50000</v>
      </c>
      <c r="O216" s="51" t="s">
        <v>149</v>
      </c>
      <c r="P216" s="51">
        <f>HEX2DEC(RIGHT(Table1323212714[[#This Row],[h1]],8))</f>
        <v>0</v>
      </c>
      <c r="Q216" s="51" t="s">
        <v>149</v>
      </c>
      <c r="R216" s="51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394</v>
      </c>
      <c r="G217" s="51" t="s">
        <v>94</v>
      </c>
      <c r="J217" s="24">
        <v>50000</v>
      </c>
      <c r="M217" s="24">
        <v>50000</v>
      </c>
      <c r="O217" s="51" t="s">
        <v>149</v>
      </c>
      <c r="P217" s="51">
        <f>HEX2DEC(RIGHT(Table1323212714[[#This Row],[h1]],8))</f>
        <v>0</v>
      </c>
      <c r="Q217" s="51" t="s">
        <v>149</v>
      </c>
      <c r="R217" s="51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395</v>
      </c>
      <c r="G218" s="51" t="s">
        <v>94</v>
      </c>
      <c r="J218" s="24">
        <v>50000</v>
      </c>
      <c r="M218" s="24">
        <v>50000</v>
      </c>
      <c r="O218" s="51" t="s">
        <v>149</v>
      </c>
      <c r="P218" s="51">
        <f>HEX2DEC(RIGHT(Table1323212714[[#This Row],[h1]],8))</f>
        <v>0</v>
      </c>
      <c r="Q218" s="51" t="s">
        <v>149</v>
      </c>
      <c r="R218" s="51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396</v>
      </c>
      <c r="G219" s="51" t="s">
        <v>94</v>
      </c>
      <c r="J219" s="24">
        <v>50000</v>
      </c>
      <c r="M219" s="24">
        <v>50000</v>
      </c>
      <c r="O219" s="51" t="s">
        <v>149</v>
      </c>
      <c r="P219" s="51">
        <f>HEX2DEC(RIGHT(Table1323212714[[#This Row],[h1]],8))</f>
        <v>0</v>
      </c>
      <c r="Q219" s="51" t="s">
        <v>149</v>
      </c>
      <c r="R219" s="51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51" t="s">
        <v>149</v>
      </c>
      <c r="P220" s="51">
        <f>HEX2DEC(RIGHT(Table1323212714[[#This Row],[h1]],8))</f>
        <v>0</v>
      </c>
      <c r="Q220" s="51" t="s">
        <v>149</v>
      </c>
      <c r="R220" s="51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397</v>
      </c>
      <c r="G221" s="51">
        <v>0</v>
      </c>
      <c r="J221" s="24">
        <v>50000</v>
      </c>
      <c r="M221" s="24">
        <v>50000</v>
      </c>
      <c r="O221" s="51" t="s">
        <v>149</v>
      </c>
      <c r="P221" s="51">
        <f>HEX2DEC(RIGHT(Table1323212714[[#This Row],[h1]],8))</f>
        <v>0</v>
      </c>
      <c r="Q221" s="51" t="s">
        <v>149</v>
      </c>
      <c r="R221" s="51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398</v>
      </c>
      <c r="G222" s="51">
        <v>0</v>
      </c>
      <c r="J222" s="24">
        <v>50000</v>
      </c>
      <c r="M222" s="24">
        <v>50000</v>
      </c>
      <c r="O222" s="51" t="s">
        <v>149</v>
      </c>
      <c r="P222" s="51">
        <f>HEX2DEC(RIGHT(Table1323212714[[#This Row],[h1]],8))</f>
        <v>0</v>
      </c>
      <c r="Q222" s="51" t="s">
        <v>149</v>
      </c>
      <c r="R222" s="51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399</v>
      </c>
      <c r="G223" s="51">
        <v>0</v>
      </c>
      <c r="J223" s="24">
        <v>50000</v>
      </c>
      <c r="M223" s="24">
        <v>50000</v>
      </c>
      <c r="O223" s="51" t="s">
        <v>149</v>
      </c>
      <c r="P223" s="51">
        <f>HEX2DEC(RIGHT(Table1323212714[[#This Row],[h1]],8))</f>
        <v>0</v>
      </c>
      <c r="Q223" s="51" t="s">
        <v>149</v>
      </c>
      <c r="R223" s="51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400</v>
      </c>
      <c r="G224" s="51">
        <v>0</v>
      </c>
      <c r="J224" s="24">
        <v>50000</v>
      </c>
      <c r="M224" s="24">
        <v>50000</v>
      </c>
      <c r="O224" s="51" t="s">
        <v>149</v>
      </c>
      <c r="P224" s="51">
        <f>HEX2DEC(RIGHT(Table1323212714[[#This Row],[h1]],8))</f>
        <v>0</v>
      </c>
      <c r="Q224" s="51" t="s">
        <v>149</v>
      </c>
      <c r="R224" s="51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401</v>
      </c>
      <c r="G225" s="51">
        <v>0</v>
      </c>
      <c r="J225" s="24">
        <v>50000</v>
      </c>
      <c r="M225" s="24">
        <v>50000</v>
      </c>
      <c r="O225" s="51" t="s">
        <v>149</v>
      </c>
      <c r="P225" s="51">
        <f>HEX2DEC(RIGHT(Table1323212714[[#This Row],[h1]],8))</f>
        <v>0</v>
      </c>
      <c r="Q225" s="51" t="s">
        <v>149</v>
      </c>
      <c r="R225" s="51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402</v>
      </c>
      <c r="G226" s="51">
        <v>0</v>
      </c>
      <c r="J226" s="24">
        <v>50000</v>
      </c>
      <c r="M226" s="24">
        <v>50000</v>
      </c>
      <c r="O226" s="51" t="s">
        <v>149</v>
      </c>
      <c r="P226" s="51">
        <f>HEX2DEC(RIGHT(Table1323212714[[#This Row],[h1]],8))</f>
        <v>0</v>
      </c>
      <c r="Q226" s="51" t="s">
        <v>149</v>
      </c>
      <c r="R226" s="51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403</v>
      </c>
      <c r="G227" s="51">
        <v>0</v>
      </c>
      <c r="J227" s="24">
        <v>50000</v>
      </c>
      <c r="M227" s="24">
        <v>50000</v>
      </c>
      <c r="O227" s="51" t="s">
        <v>149</v>
      </c>
      <c r="P227" s="51">
        <f>HEX2DEC(RIGHT(Table1323212714[[#This Row],[h1]],8))</f>
        <v>0</v>
      </c>
      <c r="Q227" s="51" t="s">
        <v>149</v>
      </c>
      <c r="R227" s="51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404</v>
      </c>
      <c r="G228" s="51">
        <v>0</v>
      </c>
      <c r="J228" s="24">
        <v>50000</v>
      </c>
      <c r="M228" s="24">
        <v>50000</v>
      </c>
      <c r="O228" s="51" t="s">
        <v>149</v>
      </c>
      <c r="P228" s="51">
        <f>HEX2DEC(RIGHT(Table1323212714[[#This Row],[h1]],8))</f>
        <v>0</v>
      </c>
      <c r="Q228" s="51" t="s">
        <v>149</v>
      </c>
      <c r="R228" s="51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405</v>
      </c>
      <c r="G229" s="51">
        <v>0</v>
      </c>
      <c r="J229" s="24">
        <v>50000</v>
      </c>
      <c r="M229" s="24">
        <v>50000</v>
      </c>
      <c r="O229" s="51" t="s">
        <v>149</v>
      </c>
      <c r="P229" s="51">
        <f>HEX2DEC(RIGHT(Table1323212714[[#This Row],[h1]],8))</f>
        <v>0</v>
      </c>
      <c r="Q229" s="51" t="s">
        <v>149</v>
      </c>
      <c r="R229" s="51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406</v>
      </c>
      <c r="G230" s="51">
        <v>0</v>
      </c>
      <c r="J230" s="24">
        <v>50000</v>
      </c>
      <c r="M230" s="24">
        <v>50000</v>
      </c>
      <c r="O230" s="51" t="s">
        <v>149</v>
      </c>
      <c r="P230" s="51">
        <f>HEX2DEC(RIGHT(Table1323212714[[#This Row],[h1]],8))</f>
        <v>0</v>
      </c>
      <c r="Q230" s="51" t="s">
        <v>149</v>
      </c>
      <c r="R230" s="51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407</v>
      </c>
      <c r="G231" s="51">
        <v>0</v>
      </c>
      <c r="J231" s="24">
        <v>50000</v>
      </c>
      <c r="M231" s="24">
        <v>50000</v>
      </c>
      <c r="O231" s="51" t="s">
        <v>149</v>
      </c>
      <c r="P231" s="51">
        <f>HEX2DEC(RIGHT(Table1323212714[[#This Row],[h1]],8))</f>
        <v>0</v>
      </c>
      <c r="Q231" s="51" t="s">
        <v>149</v>
      </c>
      <c r="R231" s="51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408</v>
      </c>
      <c r="G232" s="51">
        <v>0</v>
      </c>
      <c r="J232" s="24">
        <v>50000</v>
      </c>
      <c r="M232" s="24">
        <v>50000</v>
      </c>
      <c r="O232" s="51" t="s">
        <v>149</v>
      </c>
      <c r="P232" s="51">
        <f>HEX2DEC(RIGHT(Table1323212714[[#This Row],[h1]],8))</f>
        <v>0</v>
      </c>
      <c r="Q232" s="51" t="s">
        <v>149</v>
      </c>
      <c r="R232" s="51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409</v>
      </c>
      <c r="G233" s="51">
        <v>0</v>
      </c>
      <c r="J233" s="24">
        <v>50000</v>
      </c>
      <c r="M233" s="24">
        <v>50000</v>
      </c>
      <c r="O233" s="51" t="s">
        <v>149</v>
      </c>
      <c r="P233" s="51">
        <f>HEX2DEC(RIGHT(Table1323212714[[#This Row],[h1]],8))</f>
        <v>0</v>
      </c>
      <c r="Q233" s="51" t="s">
        <v>149</v>
      </c>
      <c r="R233" s="51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410</v>
      </c>
      <c r="G234" s="51">
        <v>0</v>
      </c>
      <c r="J234" s="24">
        <v>50000</v>
      </c>
      <c r="M234" s="24">
        <v>50000</v>
      </c>
      <c r="O234" s="51" t="s">
        <v>149</v>
      </c>
      <c r="P234" s="51">
        <f>HEX2DEC(RIGHT(Table1323212714[[#This Row],[h1]],8))</f>
        <v>0</v>
      </c>
      <c r="Q234" s="51" t="s">
        <v>149</v>
      </c>
      <c r="R234" s="51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411</v>
      </c>
      <c r="G235" s="51">
        <v>0</v>
      </c>
      <c r="J235" s="24">
        <v>50000</v>
      </c>
      <c r="M235" s="24">
        <v>50000</v>
      </c>
      <c r="O235" s="51" t="s">
        <v>149</v>
      </c>
      <c r="P235" s="51">
        <f>HEX2DEC(RIGHT(Table1323212714[[#This Row],[h1]],8))</f>
        <v>0</v>
      </c>
      <c r="Q235" s="51" t="s">
        <v>149</v>
      </c>
      <c r="R235" s="51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412</v>
      </c>
      <c r="G236" s="51">
        <v>0</v>
      </c>
      <c r="J236" s="24">
        <v>50000</v>
      </c>
      <c r="M236" s="24">
        <v>50000</v>
      </c>
      <c r="O236" s="51" t="s">
        <v>149</v>
      </c>
      <c r="P236" s="51">
        <f>HEX2DEC(RIGHT(Table1323212714[[#This Row],[h1]],8))</f>
        <v>0</v>
      </c>
      <c r="Q236" s="51" t="s">
        <v>149</v>
      </c>
      <c r="R236" s="51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413</v>
      </c>
      <c r="G237" s="51">
        <v>0</v>
      </c>
      <c r="J237" s="24">
        <v>50000</v>
      </c>
      <c r="M237" s="24">
        <v>50000</v>
      </c>
      <c r="O237" s="51" t="s">
        <v>149</v>
      </c>
      <c r="P237" s="51">
        <f>HEX2DEC(RIGHT(Table1323212714[[#This Row],[h1]],8))</f>
        <v>0</v>
      </c>
      <c r="Q237" s="51" t="s">
        <v>149</v>
      </c>
      <c r="R237" s="51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414</v>
      </c>
      <c r="G238" s="51">
        <v>0</v>
      </c>
      <c r="J238" s="24">
        <v>50000</v>
      </c>
      <c r="M238" s="24">
        <v>50000</v>
      </c>
      <c r="O238" s="51" t="s">
        <v>149</v>
      </c>
      <c r="P238" s="51">
        <f>HEX2DEC(RIGHT(Table1323212714[[#This Row],[h1]],8))</f>
        <v>0</v>
      </c>
      <c r="Q238" s="51" t="s">
        <v>149</v>
      </c>
      <c r="R238" s="51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415</v>
      </c>
      <c r="G239" s="51">
        <v>0</v>
      </c>
      <c r="J239" s="24">
        <v>50000</v>
      </c>
      <c r="M239" s="24">
        <v>50000</v>
      </c>
      <c r="O239" s="51" t="s">
        <v>149</v>
      </c>
      <c r="P239" s="51">
        <f>HEX2DEC(RIGHT(Table1323212714[[#This Row],[h1]],8))</f>
        <v>0</v>
      </c>
      <c r="Q239" s="51" t="s">
        <v>149</v>
      </c>
      <c r="R239" s="51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416</v>
      </c>
      <c r="G240" s="51">
        <v>0</v>
      </c>
      <c r="J240" s="24">
        <v>50000</v>
      </c>
      <c r="M240" s="24">
        <v>50000</v>
      </c>
      <c r="O240" s="51" t="s">
        <v>149</v>
      </c>
      <c r="P240" s="51">
        <f>HEX2DEC(RIGHT(Table1323212714[[#This Row],[h1]],8))</f>
        <v>0</v>
      </c>
      <c r="Q240" s="51" t="s">
        <v>149</v>
      </c>
      <c r="R240" s="51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417</v>
      </c>
      <c r="G241" s="51">
        <v>0</v>
      </c>
      <c r="J241" s="24">
        <v>50000</v>
      </c>
      <c r="M241" s="24">
        <v>50000</v>
      </c>
      <c r="O241" s="51" t="s">
        <v>149</v>
      </c>
      <c r="P241" s="51">
        <f>HEX2DEC(RIGHT(Table1323212714[[#This Row],[h1]],8))</f>
        <v>0</v>
      </c>
      <c r="Q241" s="51" t="s">
        <v>149</v>
      </c>
      <c r="R241" s="51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418</v>
      </c>
      <c r="G242" s="51">
        <v>0</v>
      </c>
      <c r="J242" s="24">
        <v>50000</v>
      </c>
      <c r="M242" s="24">
        <v>50000</v>
      </c>
      <c r="O242" s="51" t="s">
        <v>149</v>
      </c>
      <c r="P242" s="51">
        <f>HEX2DEC(RIGHT(Table1323212714[[#This Row],[h1]],8))</f>
        <v>0</v>
      </c>
      <c r="Q242" s="51" t="s">
        <v>149</v>
      </c>
      <c r="R242" s="51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419</v>
      </c>
      <c r="G243" s="51">
        <v>0</v>
      </c>
      <c r="J243" s="24">
        <v>50000</v>
      </c>
      <c r="M243" s="24">
        <v>50000</v>
      </c>
      <c r="O243" s="51" t="s">
        <v>149</v>
      </c>
      <c r="P243" s="51">
        <f>HEX2DEC(RIGHT(Table1323212714[[#This Row],[h1]],8))</f>
        <v>0</v>
      </c>
      <c r="Q243" s="51" t="s">
        <v>149</v>
      </c>
      <c r="R243" s="51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420</v>
      </c>
      <c r="G244" s="51">
        <v>0</v>
      </c>
      <c r="J244" s="24">
        <v>50000</v>
      </c>
      <c r="M244" s="24">
        <v>50000</v>
      </c>
      <c r="O244" s="51" t="s">
        <v>149</v>
      </c>
      <c r="P244" s="51">
        <f>HEX2DEC(RIGHT(Table1323212714[[#This Row],[h1]],8))</f>
        <v>0</v>
      </c>
      <c r="Q244" s="51" t="s">
        <v>149</v>
      </c>
      <c r="R244" s="51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421</v>
      </c>
      <c r="G245" s="51">
        <v>0</v>
      </c>
      <c r="J245" s="24">
        <v>50000</v>
      </c>
      <c r="M245" s="24">
        <v>50000</v>
      </c>
      <c r="O245" s="51" t="s">
        <v>149</v>
      </c>
      <c r="P245" s="51">
        <f>HEX2DEC(RIGHT(Table1323212714[[#This Row],[h1]],8))</f>
        <v>0</v>
      </c>
      <c r="Q245" s="51" t="s">
        <v>149</v>
      </c>
      <c r="R245" s="51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422</v>
      </c>
      <c r="G246" s="51">
        <v>0</v>
      </c>
      <c r="J246" s="24">
        <v>50000</v>
      </c>
      <c r="M246" s="24">
        <v>50000</v>
      </c>
      <c r="O246" s="51" t="s">
        <v>149</v>
      </c>
      <c r="P246" s="51">
        <f>HEX2DEC(RIGHT(Table1323212714[[#This Row],[h1]],8))</f>
        <v>0</v>
      </c>
      <c r="Q246" s="51" t="s">
        <v>149</v>
      </c>
      <c r="R246" s="51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423</v>
      </c>
      <c r="G247" s="51">
        <v>0</v>
      </c>
      <c r="J247" s="24">
        <v>50000</v>
      </c>
      <c r="M247" s="24">
        <v>50000</v>
      </c>
      <c r="O247" s="51" t="s">
        <v>149</v>
      </c>
      <c r="P247" s="51">
        <f>HEX2DEC(RIGHT(Table1323212714[[#This Row],[h1]],8))</f>
        <v>0</v>
      </c>
      <c r="Q247" s="51" t="s">
        <v>149</v>
      </c>
      <c r="R247" s="51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424</v>
      </c>
      <c r="G248" s="51">
        <v>0</v>
      </c>
      <c r="J248" s="24">
        <v>50000</v>
      </c>
      <c r="M248" s="24">
        <v>50000</v>
      </c>
      <c r="O248" s="51" t="s">
        <v>149</v>
      </c>
      <c r="P248" s="51">
        <f>HEX2DEC(RIGHT(Table1323212714[[#This Row],[h1]],8))</f>
        <v>0</v>
      </c>
      <c r="Q248" s="51" t="s">
        <v>149</v>
      </c>
      <c r="R248" s="51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425</v>
      </c>
      <c r="G249" s="51">
        <v>0</v>
      </c>
      <c r="J249" s="24">
        <v>50000</v>
      </c>
      <c r="M249" s="24">
        <v>50000</v>
      </c>
      <c r="O249" s="51" t="s">
        <v>149</v>
      </c>
      <c r="P249" s="51">
        <f>HEX2DEC(RIGHT(Table1323212714[[#This Row],[h1]],8))</f>
        <v>0</v>
      </c>
      <c r="Q249" s="51" t="s">
        <v>149</v>
      </c>
      <c r="R249" s="51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426</v>
      </c>
      <c r="G250" s="51">
        <v>0</v>
      </c>
      <c r="J250" s="24">
        <v>50000</v>
      </c>
      <c r="M250" s="24">
        <v>50000</v>
      </c>
      <c r="O250" s="51" t="s">
        <v>149</v>
      </c>
      <c r="P250" s="51">
        <f>HEX2DEC(RIGHT(Table1323212714[[#This Row],[h1]],8))</f>
        <v>0</v>
      </c>
      <c r="Q250" s="51" t="s">
        <v>149</v>
      </c>
      <c r="R250" s="51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427</v>
      </c>
      <c r="G251" s="51">
        <v>0</v>
      </c>
      <c r="J251" s="24">
        <v>50000</v>
      </c>
      <c r="M251" s="24">
        <v>50000</v>
      </c>
      <c r="O251" s="51" t="s">
        <v>149</v>
      </c>
      <c r="P251" s="51">
        <f>HEX2DEC(RIGHT(Table1323212714[[#This Row],[h1]],8))</f>
        <v>0</v>
      </c>
      <c r="Q251" s="51" t="s">
        <v>149</v>
      </c>
      <c r="R251" s="51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51" t="s">
        <v>149</v>
      </c>
      <c r="P252" s="51">
        <f>HEX2DEC(RIGHT(Table1323212714[[#This Row],[h1]],8))</f>
        <v>0</v>
      </c>
      <c r="Q252" s="51" t="s">
        <v>149</v>
      </c>
      <c r="R252" s="51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51" t="s">
        <v>149</v>
      </c>
      <c r="P253" s="51">
        <f>HEX2DEC(RIGHT(Table1323212714[[#This Row],[h1]],8))</f>
        <v>0</v>
      </c>
      <c r="Q253" s="51" t="s">
        <v>149</v>
      </c>
      <c r="R253" s="51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46</v>
      </c>
      <c r="J254" s="24">
        <v>50000</v>
      </c>
      <c r="M254" s="24">
        <v>50000</v>
      </c>
      <c r="O254" s="51" t="s">
        <v>149</v>
      </c>
      <c r="P254" s="51">
        <f>HEX2DEC(RIGHT(Table1323212714[[#This Row],[h1]],8))</f>
        <v>0</v>
      </c>
      <c r="Q254" s="51" t="s">
        <v>149</v>
      </c>
      <c r="R254" s="51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101</v>
      </c>
      <c r="J255" s="24">
        <v>50000</v>
      </c>
      <c r="M255" s="24">
        <v>50000</v>
      </c>
      <c r="O255" s="51" t="s">
        <v>149</v>
      </c>
      <c r="P255" s="51">
        <f>HEX2DEC(RIGHT(Table1323212714[[#This Row],[h1]],8))</f>
        <v>0</v>
      </c>
      <c r="Q255" s="51" t="s">
        <v>149</v>
      </c>
      <c r="R255" s="51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428</v>
      </c>
      <c r="F256" s="26"/>
      <c r="G256" s="15">
        <v>-1</v>
      </c>
      <c r="J256" s="24">
        <v>50000</v>
      </c>
      <c r="M256" s="24">
        <v>50000</v>
      </c>
      <c r="O256" s="51" t="s">
        <v>149</v>
      </c>
      <c r="P256" s="51">
        <f>HEX2DEC(RIGHT(Table1323212714[[#This Row],[h1]],8))</f>
        <v>0</v>
      </c>
      <c r="Q256" s="51" t="s">
        <v>149</v>
      </c>
      <c r="R256" s="51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429</v>
      </c>
      <c r="G257" s="15">
        <v>1000</v>
      </c>
      <c r="J257" s="24">
        <v>50000</v>
      </c>
      <c r="M257" s="24">
        <v>50000</v>
      </c>
      <c r="O257" s="51" t="s">
        <v>149</v>
      </c>
      <c r="P257" s="51">
        <f>HEX2DEC(RIGHT(Table1323212714[[#This Row],[h1]],8))</f>
        <v>0</v>
      </c>
      <c r="Q257" s="51" t="s">
        <v>149</v>
      </c>
      <c r="R257" s="51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51" t="s">
        <v>149</v>
      </c>
      <c r="P258" s="51">
        <f>HEX2DEC(RIGHT(Table1323212714[[#This Row],[h1]],8))</f>
        <v>0</v>
      </c>
      <c r="Q258" s="51" t="s">
        <v>149</v>
      </c>
      <c r="R258" s="51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51" t="s">
        <v>149</v>
      </c>
      <c r="P259" s="51">
        <f>HEX2DEC(RIGHT(Table1323212714[[#This Row],[h1]],8))</f>
        <v>0</v>
      </c>
      <c r="Q259" s="51" t="s">
        <v>149</v>
      </c>
      <c r="R259" s="51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430</v>
      </c>
      <c r="G260" s="15" t="s">
        <v>154</v>
      </c>
      <c r="J260" s="24">
        <v>50000</v>
      </c>
      <c r="M260" s="24">
        <v>50000</v>
      </c>
      <c r="O260" s="51" t="s">
        <v>149</v>
      </c>
      <c r="P260" s="51">
        <f>HEX2DEC(RIGHT(Table1323212714[[#This Row],[h1]],8))</f>
        <v>0</v>
      </c>
      <c r="Q260" s="51" t="s">
        <v>149</v>
      </c>
      <c r="R260" s="51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431</v>
      </c>
      <c r="G261" s="15" t="s">
        <v>146</v>
      </c>
      <c r="J261" s="24">
        <v>50000</v>
      </c>
      <c r="M261" s="24">
        <v>50000</v>
      </c>
      <c r="O261" s="51" t="s">
        <v>149</v>
      </c>
      <c r="P261" s="51">
        <f>HEX2DEC(RIGHT(Table1323212714[[#This Row],[h1]],8))</f>
        <v>0</v>
      </c>
      <c r="Q261" s="51" t="s">
        <v>149</v>
      </c>
      <c r="R261" s="51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51" t="s">
        <v>149</v>
      </c>
      <c r="P262" s="51">
        <f>HEX2DEC(RIGHT(Table1323212714[[#This Row],[h1]],8))</f>
        <v>0</v>
      </c>
      <c r="Q262" s="51" t="s">
        <v>149</v>
      </c>
      <c r="R262" s="51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51" t="s">
        <v>149</v>
      </c>
      <c r="P263" s="51">
        <f>HEX2DEC(RIGHT(Table1323212714[[#This Row],[h1]],8))</f>
        <v>0</v>
      </c>
      <c r="Q263" s="51" t="s">
        <v>149</v>
      </c>
      <c r="R263" s="51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45</v>
      </c>
      <c r="J264" s="24">
        <v>50000</v>
      </c>
      <c r="M264" s="24">
        <v>50000</v>
      </c>
      <c r="O264" s="51" t="s">
        <v>149</v>
      </c>
      <c r="P264" s="51">
        <f>HEX2DEC(RIGHT(Table1323212714[[#This Row],[h1]],8))</f>
        <v>0</v>
      </c>
      <c r="Q264" s="51" t="s">
        <v>149</v>
      </c>
      <c r="R264" s="51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432</v>
      </c>
      <c r="E265" s="15" t="s">
        <v>106</v>
      </c>
      <c r="G265" s="15">
        <f>IF(Table13192512[[#This Row],[dec val]]="",0,1)</f>
        <v>0</v>
      </c>
      <c r="J265" s="24">
        <v>50000</v>
      </c>
      <c r="M265" s="24">
        <v>50000</v>
      </c>
      <c r="O265" s="51" t="s">
        <v>149</v>
      </c>
      <c r="P265" s="51">
        <f>HEX2DEC(RIGHT(Table1323212714[[#This Row],[h1]],8))</f>
        <v>0</v>
      </c>
      <c r="Q265" s="51" t="s">
        <v>149</v>
      </c>
      <c r="R265" s="51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433</v>
      </c>
      <c r="E266" s="15" t="s">
        <v>107</v>
      </c>
      <c r="G266" s="15">
        <f>IF(Table13192512[[#This Row],[dec val]]="",0,1)</f>
        <v>0</v>
      </c>
      <c r="J266" s="24">
        <v>50000</v>
      </c>
      <c r="M266" s="24">
        <v>50000</v>
      </c>
      <c r="O266" s="51" t="s">
        <v>149</v>
      </c>
      <c r="P266" s="51">
        <f>HEX2DEC(RIGHT(Table1323212714[[#This Row],[h1]],8))</f>
        <v>0</v>
      </c>
      <c r="Q266" s="51" t="s">
        <v>149</v>
      </c>
      <c r="R266" s="51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434</v>
      </c>
      <c r="E267" s="15" t="s">
        <v>108</v>
      </c>
      <c r="G267" s="15">
        <f>IF(Table13192512[[#This Row],[dec val]]="",0,1)</f>
        <v>0</v>
      </c>
      <c r="J267" s="24">
        <v>50000</v>
      </c>
      <c r="M267" s="24">
        <v>50000</v>
      </c>
      <c r="O267" s="51" t="s">
        <v>149</v>
      </c>
      <c r="P267" s="51">
        <f>HEX2DEC(RIGHT(Table1323212714[[#This Row],[h1]],8))</f>
        <v>0</v>
      </c>
      <c r="Q267" s="51" t="s">
        <v>149</v>
      </c>
      <c r="R267" s="51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435</v>
      </c>
      <c r="E268" s="15" t="s">
        <v>109</v>
      </c>
      <c r="G268" s="15">
        <f>IF(Table13192512[[#This Row],[dec val]]="",0,1)</f>
        <v>0</v>
      </c>
      <c r="J268" s="24">
        <v>50000</v>
      </c>
      <c r="M268" s="24">
        <v>50000</v>
      </c>
      <c r="O268" s="51" t="s">
        <v>149</v>
      </c>
      <c r="P268" s="51">
        <f>HEX2DEC(RIGHT(Table1323212714[[#This Row],[h1]],8))</f>
        <v>0</v>
      </c>
      <c r="Q268" s="51" t="s">
        <v>149</v>
      </c>
      <c r="R268" s="51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436</v>
      </c>
      <c r="E269" s="15" t="s">
        <v>110</v>
      </c>
      <c r="G269" s="15">
        <f>IF(Table13192512[[#This Row],[dec val]]="",0,1)</f>
        <v>0</v>
      </c>
      <c r="J269" s="24">
        <v>50000</v>
      </c>
      <c r="M269" s="24">
        <v>50000</v>
      </c>
      <c r="O269" s="51" t="s">
        <v>149</v>
      </c>
      <c r="P269" s="51">
        <f>HEX2DEC(RIGHT(Table1323212714[[#This Row],[h1]],8))</f>
        <v>0</v>
      </c>
      <c r="Q269" s="51" t="s">
        <v>149</v>
      </c>
      <c r="R269" s="51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437</v>
      </c>
      <c r="E270" s="15" t="s">
        <v>111</v>
      </c>
      <c r="G270" s="15">
        <f>IF(Table13192512[[#This Row],[dec val]]="",0,1)</f>
        <v>0</v>
      </c>
      <c r="J270" s="24">
        <v>50000</v>
      </c>
      <c r="M270" s="24">
        <v>50000</v>
      </c>
      <c r="O270" s="51" t="s">
        <v>149</v>
      </c>
      <c r="P270" s="51">
        <f>HEX2DEC(RIGHT(Table1323212714[[#This Row],[h1]],8))</f>
        <v>0</v>
      </c>
      <c r="Q270" s="51" t="s">
        <v>149</v>
      </c>
      <c r="R270" s="51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438</v>
      </c>
      <c r="E271" s="15" t="s">
        <v>112</v>
      </c>
      <c r="G271" s="15">
        <f>IF(Table13192512[[#This Row],[dec val]]="",0,1)</f>
        <v>0</v>
      </c>
      <c r="J271" s="24">
        <v>50000</v>
      </c>
      <c r="M271" s="24">
        <v>50000</v>
      </c>
      <c r="O271" s="51" t="s">
        <v>149</v>
      </c>
      <c r="P271" s="51">
        <f>HEX2DEC(RIGHT(Table1323212714[[#This Row],[h1]],8))</f>
        <v>0</v>
      </c>
      <c r="Q271" s="51" t="s">
        <v>149</v>
      </c>
      <c r="R271" s="51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439</v>
      </c>
      <c r="E272" s="15" t="s">
        <v>113</v>
      </c>
      <c r="G272" s="15">
        <f>IF(Table13192512[[#This Row],[dec val]]="",0,1)</f>
        <v>0</v>
      </c>
      <c r="J272" s="24">
        <v>50000</v>
      </c>
      <c r="M272" s="24">
        <v>50000</v>
      </c>
      <c r="O272" s="51" t="s">
        <v>149</v>
      </c>
      <c r="P272" s="51">
        <f>HEX2DEC(RIGHT(Table1323212714[[#This Row],[h1]],8))</f>
        <v>0</v>
      </c>
      <c r="Q272" s="51" t="s">
        <v>149</v>
      </c>
      <c r="R272" s="51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440</v>
      </c>
      <c r="E273" s="15" t="s">
        <v>114</v>
      </c>
      <c r="G273" s="15">
        <f>IF(Table13192512[[#This Row],[dec val]]="",0,1)</f>
        <v>0</v>
      </c>
      <c r="J273" s="24">
        <v>50000</v>
      </c>
      <c r="M273" s="24">
        <v>50000</v>
      </c>
      <c r="O273" s="51" t="s">
        <v>149</v>
      </c>
      <c r="P273" s="51">
        <f>HEX2DEC(RIGHT(Table1323212714[[#This Row],[h1]],8))</f>
        <v>0</v>
      </c>
      <c r="Q273" s="51" t="s">
        <v>149</v>
      </c>
      <c r="R273" s="51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441</v>
      </c>
      <c r="E274" s="15" t="s">
        <v>115</v>
      </c>
      <c r="G274" s="15">
        <f>IF(Table13192512[[#This Row],[dec val]]="",0,1)</f>
        <v>0</v>
      </c>
      <c r="J274" s="24">
        <v>50000</v>
      </c>
      <c r="M274" s="24">
        <v>50000</v>
      </c>
      <c r="O274" s="51" t="s">
        <v>149</v>
      </c>
      <c r="P274" s="51">
        <f>HEX2DEC(RIGHT(Table1323212714[[#This Row],[h1]],8))</f>
        <v>0</v>
      </c>
      <c r="Q274" s="51" t="s">
        <v>149</v>
      </c>
      <c r="R274" s="51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442</v>
      </c>
      <c r="E275" s="15" t="s">
        <v>116</v>
      </c>
      <c r="G275" s="15">
        <f>IF(Table13192512[[#This Row],[dec val]]="",0,1)</f>
        <v>0</v>
      </c>
      <c r="J275" s="24">
        <v>50000</v>
      </c>
      <c r="M275" s="24">
        <v>50000</v>
      </c>
      <c r="O275" s="51" t="s">
        <v>149</v>
      </c>
      <c r="P275" s="51">
        <f>HEX2DEC(RIGHT(Table1323212714[[#This Row],[h1]],8))</f>
        <v>0</v>
      </c>
      <c r="Q275" s="51" t="s">
        <v>149</v>
      </c>
      <c r="R275" s="51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443</v>
      </c>
      <c r="E276" s="15" t="s">
        <v>117</v>
      </c>
      <c r="G276" s="15">
        <f>IF(Table13192512[[#This Row],[dec val]]="",0,1)</f>
        <v>0</v>
      </c>
      <c r="J276" s="24">
        <v>50000</v>
      </c>
      <c r="M276" s="24">
        <v>50000</v>
      </c>
      <c r="O276" s="51" t="s">
        <v>149</v>
      </c>
      <c r="P276" s="51">
        <f>HEX2DEC(RIGHT(Table1323212714[[#This Row],[h1]],8))</f>
        <v>0</v>
      </c>
      <c r="Q276" s="51" t="s">
        <v>149</v>
      </c>
      <c r="R276" s="51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444</v>
      </c>
      <c r="E277" s="15" t="s">
        <v>118</v>
      </c>
      <c r="G277" s="15">
        <f>IF(Table13192512[[#This Row],[dec val]]="",0,1)</f>
        <v>0</v>
      </c>
      <c r="J277" s="24">
        <v>50000</v>
      </c>
      <c r="M277" s="24">
        <v>50000</v>
      </c>
      <c r="O277" s="51" t="s">
        <v>149</v>
      </c>
      <c r="P277" s="51">
        <f>HEX2DEC(RIGHT(Table1323212714[[#This Row],[h1]],8))</f>
        <v>0</v>
      </c>
      <c r="Q277" s="51" t="s">
        <v>149</v>
      </c>
      <c r="R277" s="51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445</v>
      </c>
      <c r="E278" s="15" t="s">
        <v>119</v>
      </c>
      <c r="G278" s="15">
        <f>IF(Table13192512[[#This Row],[dec val]]="",0,1)</f>
        <v>0</v>
      </c>
      <c r="J278" s="24">
        <v>50000</v>
      </c>
      <c r="M278" s="24">
        <v>50000</v>
      </c>
      <c r="O278" s="51" t="s">
        <v>149</v>
      </c>
      <c r="P278" s="51">
        <f>HEX2DEC(RIGHT(Table1323212714[[#This Row],[h1]],8))</f>
        <v>0</v>
      </c>
      <c r="Q278" s="51" t="s">
        <v>149</v>
      </c>
      <c r="R278" s="51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446</v>
      </c>
      <c r="E279" s="15" t="s">
        <v>120</v>
      </c>
      <c r="G279" s="15">
        <f>IF(Table13192512[[#This Row],[dec val]]="",0,1)</f>
        <v>0</v>
      </c>
      <c r="J279" s="24">
        <v>50000</v>
      </c>
      <c r="M279" s="24">
        <v>50000</v>
      </c>
      <c r="O279" s="51" t="s">
        <v>149</v>
      </c>
      <c r="P279" s="51">
        <f>HEX2DEC(RIGHT(Table1323212714[[#This Row],[h1]],8))</f>
        <v>0</v>
      </c>
      <c r="Q279" s="51" t="s">
        <v>149</v>
      </c>
      <c r="R279" s="51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447</v>
      </c>
      <c r="E280" s="15" t="s">
        <v>121</v>
      </c>
      <c r="G280" s="15">
        <f>IF(Table13192512[[#This Row],[dec val]]="",0,1)</f>
        <v>0</v>
      </c>
      <c r="J280" s="24">
        <v>50000</v>
      </c>
      <c r="M280" s="24">
        <v>50000</v>
      </c>
      <c r="O280" s="51" t="s">
        <v>149</v>
      </c>
      <c r="P280" s="51">
        <f>HEX2DEC(RIGHT(Table1323212714[[#This Row],[h1]],8))</f>
        <v>0</v>
      </c>
      <c r="Q280" s="51" t="s">
        <v>149</v>
      </c>
      <c r="R280" s="51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448</v>
      </c>
      <c r="E281" s="15" t="s">
        <v>122</v>
      </c>
      <c r="G281" s="15">
        <f>IF(Table13192512[[#This Row],[dec val]]="",0,1)</f>
        <v>0</v>
      </c>
      <c r="J281" s="24">
        <v>50000</v>
      </c>
      <c r="M281" s="24">
        <v>50000</v>
      </c>
      <c r="O281" s="51" t="s">
        <v>149</v>
      </c>
      <c r="P281" s="51">
        <f>HEX2DEC(RIGHT(Table1323212714[[#This Row],[h1]],8))</f>
        <v>0</v>
      </c>
      <c r="Q281" s="51" t="s">
        <v>149</v>
      </c>
      <c r="R281" s="51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449</v>
      </c>
      <c r="E282" s="15" t="s">
        <v>123</v>
      </c>
      <c r="G282" s="15">
        <f>IF(Table13192512[[#This Row],[dec val]]="",0,1)</f>
        <v>0</v>
      </c>
      <c r="J282" s="24">
        <v>50000</v>
      </c>
      <c r="M282" s="24">
        <v>50000</v>
      </c>
      <c r="O282" s="51" t="s">
        <v>149</v>
      </c>
      <c r="P282" s="51">
        <f>HEX2DEC(RIGHT(Table1323212714[[#This Row],[h1]],8))</f>
        <v>0</v>
      </c>
      <c r="Q282" s="51" t="s">
        <v>149</v>
      </c>
      <c r="R282" s="51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450</v>
      </c>
      <c r="E283" s="15" t="s">
        <v>124</v>
      </c>
      <c r="G283" s="15">
        <f>IF(Table13192512[[#This Row],[dec val]]="",0,1)</f>
        <v>0</v>
      </c>
      <c r="J283" s="24">
        <v>50000</v>
      </c>
      <c r="M283" s="24">
        <v>50000</v>
      </c>
      <c r="O283" s="51" t="s">
        <v>149</v>
      </c>
      <c r="P283" s="51">
        <f>HEX2DEC(RIGHT(Table1323212714[[#This Row],[h1]],8))</f>
        <v>0</v>
      </c>
      <c r="Q283" s="51" t="s">
        <v>149</v>
      </c>
      <c r="R283" s="51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451</v>
      </c>
      <c r="E284" s="15" t="s">
        <v>125</v>
      </c>
      <c r="G284" s="15">
        <f>IF(Table13192512[[#This Row],[dec val]]="",0,1)</f>
        <v>0</v>
      </c>
      <c r="J284" s="24">
        <v>50000</v>
      </c>
      <c r="M284" s="24">
        <v>50000</v>
      </c>
      <c r="O284" s="51" t="s">
        <v>149</v>
      </c>
      <c r="P284" s="51">
        <f>HEX2DEC(RIGHT(Table1323212714[[#This Row],[h1]],8))</f>
        <v>0</v>
      </c>
      <c r="Q284" s="51" t="s">
        <v>149</v>
      </c>
      <c r="R284" s="51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452</v>
      </c>
      <c r="E285" s="15" t="s">
        <v>126</v>
      </c>
      <c r="G285" s="15">
        <f>IF(Table13192512[[#This Row],[dec val]]="",0,1)</f>
        <v>0</v>
      </c>
      <c r="J285" s="24">
        <v>50000</v>
      </c>
      <c r="M285" s="24">
        <v>50000</v>
      </c>
      <c r="O285" s="51" t="s">
        <v>149</v>
      </c>
      <c r="P285" s="51">
        <f>HEX2DEC(RIGHT(Table1323212714[[#This Row],[h1]],8))</f>
        <v>0</v>
      </c>
      <c r="Q285" s="51" t="s">
        <v>149</v>
      </c>
      <c r="R285" s="51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453</v>
      </c>
      <c r="E286" s="15" t="s">
        <v>127</v>
      </c>
      <c r="G286" s="15">
        <f>IF(Table13192512[[#This Row],[dec val]]="",0,1)</f>
        <v>0</v>
      </c>
      <c r="J286" s="24">
        <v>50000</v>
      </c>
      <c r="M286" s="24">
        <v>50000</v>
      </c>
      <c r="O286" s="51" t="s">
        <v>149</v>
      </c>
      <c r="P286" s="51">
        <f>HEX2DEC(RIGHT(Table1323212714[[#This Row],[h1]],8))</f>
        <v>0</v>
      </c>
      <c r="Q286" s="51" t="s">
        <v>149</v>
      </c>
      <c r="R286" s="51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454</v>
      </c>
      <c r="E287" s="15" t="s">
        <v>128</v>
      </c>
      <c r="G287" s="15">
        <f>IF(Table13192512[[#This Row],[dec val]]="",0,1)</f>
        <v>0</v>
      </c>
      <c r="J287" s="24">
        <v>50000</v>
      </c>
      <c r="M287" s="24">
        <v>50000</v>
      </c>
      <c r="O287" s="51" t="s">
        <v>149</v>
      </c>
      <c r="P287" s="51">
        <f>HEX2DEC(RIGHT(Table1323212714[[#This Row],[h1]],8))</f>
        <v>0</v>
      </c>
      <c r="Q287" s="51" t="s">
        <v>149</v>
      </c>
      <c r="R287" s="51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455</v>
      </c>
      <c r="E288" s="15" t="s">
        <v>129</v>
      </c>
      <c r="G288" s="15">
        <f>IF(Table13192512[[#This Row],[dec val]]="",0,1)</f>
        <v>0</v>
      </c>
      <c r="J288" s="24">
        <v>50000</v>
      </c>
      <c r="M288" s="24">
        <v>50000</v>
      </c>
      <c r="O288" s="51" t="s">
        <v>149</v>
      </c>
      <c r="P288" s="51">
        <f>HEX2DEC(RIGHT(Table1323212714[[#This Row],[h1]],8))</f>
        <v>0</v>
      </c>
      <c r="Q288" s="51" t="s">
        <v>149</v>
      </c>
      <c r="R288" s="51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456</v>
      </c>
      <c r="E289" s="15" t="s">
        <v>130</v>
      </c>
      <c r="G289" s="15">
        <f>IF(Table13192512[[#This Row],[dec val]]="",0,1)</f>
        <v>0</v>
      </c>
      <c r="J289" s="24">
        <v>50000</v>
      </c>
      <c r="M289" s="24">
        <v>50000</v>
      </c>
      <c r="O289" s="51" t="s">
        <v>149</v>
      </c>
      <c r="P289" s="51">
        <f>HEX2DEC(RIGHT(Table1323212714[[#This Row],[h1]],8))</f>
        <v>0</v>
      </c>
      <c r="Q289" s="51" t="s">
        <v>149</v>
      </c>
      <c r="R289" s="51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457</v>
      </c>
      <c r="E290" s="15" t="s">
        <v>131</v>
      </c>
      <c r="G290" s="15">
        <f>IF(Table13192512[[#This Row],[dec val]]="",0,1)</f>
        <v>0</v>
      </c>
      <c r="J290" s="24">
        <v>50000</v>
      </c>
      <c r="M290" s="24">
        <v>50000</v>
      </c>
      <c r="O290" s="51" t="s">
        <v>149</v>
      </c>
      <c r="P290" s="51">
        <f>HEX2DEC(RIGHT(Table1323212714[[#This Row],[h1]],8))</f>
        <v>0</v>
      </c>
      <c r="Q290" s="51" t="s">
        <v>149</v>
      </c>
      <c r="R290" s="51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458</v>
      </c>
      <c r="E291" s="15" t="s">
        <v>132</v>
      </c>
      <c r="G291" s="15">
        <f>IF(Table13192512[[#This Row],[dec val]]="",0,1)</f>
        <v>0</v>
      </c>
      <c r="J291" s="24">
        <v>50000</v>
      </c>
      <c r="M291" s="24">
        <v>50000</v>
      </c>
      <c r="O291" s="51" t="s">
        <v>149</v>
      </c>
      <c r="P291" s="51">
        <f>HEX2DEC(RIGHT(Table1323212714[[#This Row],[h1]],8))</f>
        <v>0</v>
      </c>
      <c r="Q291" s="51" t="s">
        <v>149</v>
      </c>
      <c r="R291" s="51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459</v>
      </c>
      <c r="E292" s="15" t="s">
        <v>133</v>
      </c>
      <c r="G292" s="15">
        <f>IF(Table13192512[[#This Row],[dec val]]="",0,1)</f>
        <v>0</v>
      </c>
      <c r="J292" s="24">
        <v>50000</v>
      </c>
      <c r="M292" s="24">
        <v>50000</v>
      </c>
      <c r="O292" s="51" t="s">
        <v>149</v>
      </c>
      <c r="P292" s="51">
        <f>HEX2DEC(RIGHT(Table1323212714[[#This Row],[h1]],8))</f>
        <v>0</v>
      </c>
      <c r="Q292" s="51" t="s">
        <v>149</v>
      </c>
      <c r="R292" s="51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460</v>
      </c>
      <c r="E293" s="15" t="s">
        <v>134</v>
      </c>
      <c r="G293" s="15">
        <f>IF(Table13192512[[#This Row],[dec val]]="",0,1)</f>
        <v>0</v>
      </c>
      <c r="J293" s="24">
        <v>50000</v>
      </c>
      <c r="M293" s="24">
        <v>50000</v>
      </c>
      <c r="O293" s="51" t="s">
        <v>149</v>
      </c>
      <c r="P293" s="51">
        <f>HEX2DEC(RIGHT(Table1323212714[[#This Row],[h1]],8))</f>
        <v>0</v>
      </c>
      <c r="Q293" s="51" t="s">
        <v>149</v>
      </c>
      <c r="R293" s="51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461</v>
      </c>
      <c r="E294" s="15" t="s">
        <v>135</v>
      </c>
      <c r="G294" s="15">
        <f>IF(Table13192512[[#This Row],[dec val]]="",0,1)</f>
        <v>0</v>
      </c>
      <c r="J294" s="24">
        <v>50000</v>
      </c>
      <c r="M294" s="24">
        <v>50000</v>
      </c>
      <c r="O294" s="51" t="s">
        <v>149</v>
      </c>
      <c r="P294" s="51">
        <f>HEX2DEC(RIGHT(Table1323212714[[#This Row],[h1]],8))</f>
        <v>0</v>
      </c>
      <c r="Q294" s="51" t="s">
        <v>149</v>
      </c>
      <c r="R294" s="51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462</v>
      </c>
      <c r="E295" s="15" t="s">
        <v>136</v>
      </c>
      <c r="G295" s="15">
        <f>IF(Table13192512[[#This Row],[dec val]]="",0,1)</f>
        <v>0</v>
      </c>
      <c r="J295" s="24">
        <v>50000</v>
      </c>
      <c r="M295" s="24">
        <v>50000</v>
      </c>
      <c r="O295" s="51" t="s">
        <v>149</v>
      </c>
      <c r="P295" s="51">
        <f>HEX2DEC(RIGHT(Table1323212714[[#This Row],[h1]],8))</f>
        <v>0</v>
      </c>
      <c r="Q295" s="51" t="s">
        <v>149</v>
      </c>
      <c r="R295" s="51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51" t="s">
        <v>149</v>
      </c>
      <c r="P296" s="51">
        <f>HEX2DEC(RIGHT(Table1323212714[[#This Row],[h1]],8))</f>
        <v>0</v>
      </c>
      <c r="Q296" s="51" t="s">
        <v>149</v>
      </c>
      <c r="R296" s="51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463</v>
      </c>
      <c r="E297" s="15" t="s">
        <v>106</v>
      </c>
      <c r="G297" s="15">
        <f>IF(Table13192512[[#This Row],[dec val]]="",0,1)</f>
        <v>0</v>
      </c>
      <c r="J297" s="24">
        <v>50000</v>
      </c>
      <c r="M297" s="24">
        <v>50000</v>
      </c>
      <c r="O297" s="51" t="s">
        <v>149</v>
      </c>
      <c r="P297" s="51">
        <f>HEX2DEC(RIGHT(Table1323212714[[#This Row],[h1]],8))</f>
        <v>0</v>
      </c>
      <c r="Q297" s="51" t="s">
        <v>149</v>
      </c>
      <c r="R297" s="51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464</v>
      </c>
      <c r="E298" s="15" t="s">
        <v>107</v>
      </c>
      <c r="G298" s="15">
        <f>IF(Table13192512[[#This Row],[dec val]]="",0,1)</f>
        <v>0</v>
      </c>
      <c r="J298" s="24">
        <v>50000</v>
      </c>
      <c r="M298" s="24">
        <v>50000</v>
      </c>
      <c r="O298" s="51" t="s">
        <v>149</v>
      </c>
      <c r="P298" s="51">
        <f>HEX2DEC(RIGHT(Table1323212714[[#This Row],[h1]],8))</f>
        <v>0</v>
      </c>
      <c r="Q298" s="51" t="s">
        <v>149</v>
      </c>
      <c r="R298" s="51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465</v>
      </c>
      <c r="E299" s="15" t="s">
        <v>108</v>
      </c>
      <c r="G299" s="15">
        <f>IF(Table13192512[[#This Row],[dec val]]="",0,1)</f>
        <v>0</v>
      </c>
      <c r="J299" s="24">
        <v>50000</v>
      </c>
      <c r="M299" s="24">
        <v>50000</v>
      </c>
      <c r="O299" s="51" t="s">
        <v>149</v>
      </c>
      <c r="P299" s="51">
        <f>HEX2DEC(RIGHT(Table1323212714[[#This Row],[h1]],8))</f>
        <v>0</v>
      </c>
      <c r="Q299" s="51" t="s">
        <v>149</v>
      </c>
      <c r="R299" s="51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466</v>
      </c>
      <c r="E300" s="15" t="s">
        <v>109</v>
      </c>
      <c r="G300" s="15">
        <f>IF(Table13192512[[#This Row],[dec val]]="",0,1)</f>
        <v>0</v>
      </c>
      <c r="J300" s="24">
        <v>50000</v>
      </c>
      <c r="M300" s="24">
        <v>50000</v>
      </c>
      <c r="O300" s="51" t="s">
        <v>149</v>
      </c>
      <c r="P300" s="51">
        <f>HEX2DEC(RIGHT(Table1323212714[[#This Row],[h1]],8))</f>
        <v>0</v>
      </c>
      <c r="Q300" s="51" t="s">
        <v>149</v>
      </c>
      <c r="R300" s="51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467</v>
      </c>
      <c r="E301" s="15" t="s">
        <v>110</v>
      </c>
      <c r="G301" s="15">
        <f>IF(Table13192512[[#This Row],[dec val]]="",0,1)</f>
        <v>0</v>
      </c>
      <c r="J301" s="24">
        <v>50000</v>
      </c>
      <c r="M301" s="24">
        <v>50000</v>
      </c>
      <c r="O301" s="51" t="s">
        <v>149</v>
      </c>
      <c r="P301" s="51">
        <f>HEX2DEC(RIGHT(Table1323212714[[#This Row],[h1]],8))</f>
        <v>0</v>
      </c>
      <c r="Q301" s="51" t="s">
        <v>149</v>
      </c>
      <c r="R301" s="51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468</v>
      </c>
      <c r="E302" s="15" t="s">
        <v>111</v>
      </c>
      <c r="G302" s="15">
        <f>IF(Table13192512[[#This Row],[dec val]]="",0,1)</f>
        <v>0</v>
      </c>
      <c r="J302" s="24">
        <v>50000</v>
      </c>
      <c r="M302" s="24">
        <v>50000</v>
      </c>
      <c r="O302" s="51" t="s">
        <v>149</v>
      </c>
      <c r="P302" s="51">
        <f>HEX2DEC(RIGHT(Table1323212714[[#This Row],[h1]],8))</f>
        <v>0</v>
      </c>
      <c r="Q302" s="51" t="s">
        <v>149</v>
      </c>
      <c r="R302" s="51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469</v>
      </c>
      <c r="E303" s="15" t="s">
        <v>112</v>
      </c>
      <c r="G303" s="15">
        <f>IF(Table13192512[[#This Row],[dec val]]="",0,1)</f>
        <v>0</v>
      </c>
      <c r="J303" s="24">
        <v>50000</v>
      </c>
      <c r="M303" s="24">
        <v>50000</v>
      </c>
      <c r="O303" s="51" t="s">
        <v>149</v>
      </c>
      <c r="P303" s="51">
        <f>HEX2DEC(RIGHT(Table1323212714[[#This Row],[h1]],8))</f>
        <v>0</v>
      </c>
      <c r="Q303" s="51" t="s">
        <v>149</v>
      </c>
      <c r="R303" s="51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470</v>
      </c>
      <c r="E304" s="15" t="s">
        <v>113</v>
      </c>
      <c r="G304" s="15">
        <f>IF(Table13192512[[#This Row],[dec val]]="",0,1)</f>
        <v>0</v>
      </c>
      <c r="J304" s="24">
        <v>50000</v>
      </c>
      <c r="M304" s="24">
        <v>50000</v>
      </c>
      <c r="O304" s="51" t="s">
        <v>149</v>
      </c>
      <c r="P304" s="51">
        <f>HEX2DEC(RIGHT(Table1323212714[[#This Row],[h1]],8))</f>
        <v>0</v>
      </c>
      <c r="Q304" s="51" t="s">
        <v>149</v>
      </c>
      <c r="R304" s="51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471</v>
      </c>
      <c r="E305" s="15" t="s">
        <v>114</v>
      </c>
      <c r="G305" s="15">
        <f>IF(Table13192512[[#This Row],[dec val]]="",0,1)</f>
        <v>0</v>
      </c>
      <c r="J305" s="24">
        <v>50000</v>
      </c>
      <c r="M305" s="24">
        <v>50000</v>
      </c>
      <c r="O305" s="51" t="s">
        <v>149</v>
      </c>
      <c r="P305" s="51">
        <f>HEX2DEC(RIGHT(Table1323212714[[#This Row],[h1]],8))</f>
        <v>0</v>
      </c>
      <c r="Q305" s="51" t="s">
        <v>149</v>
      </c>
      <c r="R305" s="51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472</v>
      </c>
      <c r="E306" s="15" t="s">
        <v>115</v>
      </c>
      <c r="G306" s="15">
        <f>IF(Table13192512[[#This Row],[dec val]]="",0,1)</f>
        <v>0</v>
      </c>
      <c r="J306" s="24">
        <v>50000</v>
      </c>
      <c r="M306" s="24">
        <v>50000</v>
      </c>
      <c r="O306" s="51" t="s">
        <v>149</v>
      </c>
      <c r="P306" s="51">
        <f>HEX2DEC(RIGHT(Table1323212714[[#This Row],[h1]],8))</f>
        <v>0</v>
      </c>
      <c r="Q306" s="51" t="s">
        <v>149</v>
      </c>
      <c r="R306" s="51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473</v>
      </c>
      <c r="E307" s="15" t="s">
        <v>116</v>
      </c>
      <c r="G307" s="15">
        <f>IF(Table13192512[[#This Row],[dec val]]="",0,1)</f>
        <v>0</v>
      </c>
      <c r="J307" s="24">
        <v>50000</v>
      </c>
      <c r="M307" s="24">
        <v>50000</v>
      </c>
      <c r="O307" s="51" t="s">
        <v>149</v>
      </c>
      <c r="P307" s="51">
        <f>HEX2DEC(RIGHT(Table1323212714[[#This Row],[h1]],8))</f>
        <v>0</v>
      </c>
      <c r="Q307" s="51" t="s">
        <v>149</v>
      </c>
      <c r="R307" s="51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474</v>
      </c>
      <c r="E308" s="15" t="s">
        <v>117</v>
      </c>
      <c r="G308" s="15">
        <f>IF(Table13192512[[#This Row],[dec val]]="",0,1)</f>
        <v>0</v>
      </c>
      <c r="J308" s="24">
        <v>50000</v>
      </c>
      <c r="M308" s="24">
        <v>50000</v>
      </c>
      <c r="O308" s="51" t="s">
        <v>149</v>
      </c>
      <c r="P308" s="51">
        <f>HEX2DEC(RIGHT(Table1323212714[[#This Row],[h1]],8))</f>
        <v>0</v>
      </c>
      <c r="Q308" s="51" t="s">
        <v>149</v>
      </c>
      <c r="R308" s="51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475</v>
      </c>
      <c r="E309" s="15" t="s">
        <v>118</v>
      </c>
      <c r="G309" s="15">
        <f>IF(Table13192512[[#This Row],[dec val]]="",0,1)</f>
        <v>0</v>
      </c>
      <c r="J309" s="24">
        <v>50000</v>
      </c>
      <c r="M309" s="24">
        <v>50000</v>
      </c>
      <c r="O309" s="51" t="s">
        <v>149</v>
      </c>
      <c r="P309" s="51">
        <f>HEX2DEC(RIGHT(Table1323212714[[#This Row],[h1]],8))</f>
        <v>0</v>
      </c>
      <c r="Q309" s="51" t="s">
        <v>149</v>
      </c>
      <c r="R309" s="51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476</v>
      </c>
      <c r="E310" s="15" t="s">
        <v>119</v>
      </c>
      <c r="G310" s="15">
        <f>IF(Table13192512[[#This Row],[dec val]]="",0,1)</f>
        <v>0</v>
      </c>
      <c r="J310" s="24">
        <v>50000</v>
      </c>
      <c r="M310" s="24">
        <v>50000</v>
      </c>
      <c r="O310" s="51" t="s">
        <v>149</v>
      </c>
      <c r="P310" s="51">
        <f>HEX2DEC(RIGHT(Table1323212714[[#This Row],[h1]],8))</f>
        <v>0</v>
      </c>
      <c r="Q310" s="51" t="s">
        <v>149</v>
      </c>
      <c r="R310" s="51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477</v>
      </c>
      <c r="E311" s="15" t="s">
        <v>120</v>
      </c>
      <c r="G311" s="15">
        <f>IF(Table13192512[[#This Row],[dec val]]="",0,1)</f>
        <v>0</v>
      </c>
      <c r="J311" s="24">
        <v>50000</v>
      </c>
      <c r="M311" s="24">
        <v>50000</v>
      </c>
      <c r="O311" s="51" t="s">
        <v>149</v>
      </c>
      <c r="P311" s="51">
        <f>HEX2DEC(RIGHT(Table1323212714[[#This Row],[h1]],8))</f>
        <v>0</v>
      </c>
      <c r="Q311" s="51" t="s">
        <v>149</v>
      </c>
      <c r="R311" s="51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478</v>
      </c>
      <c r="E312" s="15" t="s">
        <v>121</v>
      </c>
      <c r="G312" s="15">
        <f>IF(Table13192512[[#This Row],[dec val]]="",0,1)</f>
        <v>0</v>
      </c>
      <c r="J312" s="24">
        <v>50000</v>
      </c>
      <c r="M312" s="24">
        <v>50000</v>
      </c>
      <c r="O312" s="51" t="s">
        <v>149</v>
      </c>
      <c r="P312" s="51">
        <f>HEX2DEC(RIGHT(Table1323212714[[#This Row],[h1]],8))</f>
        <v>0</v>
      </c>
      <c r="Q312" s="51" t="s">
        <v>149</v>
      </c>
      <c r="R312" s="51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479</v>
      </c>
      <c r="E313" s="15" t="s">
        <v>122</v>
      </c>
      <c r="G313" s="15">
        <f>IF(Table13192512[[#This Row],[dec val]]="",0,1)</f>
        <v>0</v>
      </c>
      <c r="J313" s="24">
        <v>50000</v>
      </c>
      <c r="M313" s="24">
        <v>50000</v>
      </c>
      <c r="O313" s="51" t="s">
        <v>149</v>
      </c>
      <c r="P313" s="51">
        <f>HEX2DEC(RIGHT(Table1323212714[[#This Row],[h1]],8))</f>
        <v>0</v>
      </c>
      <c r="Q313" s="51" t="s">
        <v>149</v>
      </c>
      <c r="R313" s="51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480</v>
      </c>
      <c r="E314" s="15" t="s">
        <v>123</v>
      </c>
      <c r="G314" s="15">
        <f>IF(Table13192512[[#This Row],[dec val]]="",0,1)</f>
        <v>0</v>
      </c>
      <c r="J314" s="24">
        <v>50000</v>
      </c>
      <c r="M314" s="24">
        <v>50000</v>
      </c>
      <c r="O314" s="51" t="s">
        <v>149</v>
      </c>
      <c r="P314" s="51">
        <f>HEX2DEC(RIGHT(Table1323212714[[#This Row],[h1]],8))</f>
        <v>0</v>
      </c>
      <c r="Q314" s="51" t="s">
        <v>149</v>
      </c>
      <c r="R314" s="51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481</v>
      </c>
      <c r="E315" s="15" t="s">
        <v>124</v>
      </c>
      <c r="G315" s="15">
        <f>IF(Table13192512[[#This Row],[dec val]]="",0,1)</f>
        <v>0</v>
      </c>
      <c r="J315" s="24">
        <v>50000</v>
      </c>
      <c r="M315" s="24">
        <v>50000</v>
      </c>
      <c r="O315" s="51" t="s">
        <v>149</v>
      </c>
      <c r="P315" s="51">
        <f>HEX2DEC(RIGHT(Table1323212714[[#This Row],[h1]],8))</f>
        <v>0</v>
      </c>
      <c r="Q315" s="51" t="s">
        <v>149</v>
      </c>
      <c r="R315" s="51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482</v>
      </c>
      <c r="E316" s="15" t="s">
        <v>125</v>
      </c>
      <c r="G316" s="15">
        <f>IF(Table13192512[[#This Row],[dec val]]="",0,1)</f>
        <v>0</v>
      </c>
      <c r="J316" s="24">
        <v>50000</v>
      </c>
      <c r="M316" s="24">
        <v>50000</v>
      </c>
      <c r="O316" s="51" t="s">
        <v>149</v>
      </c>
      <c r="P316" s="51">
        <f>HEX2DEC(RIGHT(Table1323212714[[#This Row],[h1]],8))</f>
        <v>0</v>
      </c>
      <c r="Q316" s="51" t="s">
        <v>149</v>
      </c>
      <c r="R316" s="51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483</v>
      </c>
      <c r="E317" s="15" t="s">
        <v>126</v>
      </c>
      <c r="G317" s="15">
        <f>IF(Table13192512[[#This Row],[dec val]]="",0,1)</f>
        <v>0</v>
      </c>
      <c r="J317" s="24">
        <v>50000</v>
      </c>
      <c r="M317" s="24">
        <v>50000</v>
      </c>
      <c r="O317" s="51" t="s">
        <v>149</v>
      </c>
      <c r="P317" s="51">
        <f>HEX2DEC(RIGHT(Table1323212714[[#This Row],[h1]],8))</f>
        <v>0</v>
      </c>
      <c r="Q317" s="51" t="s">
        <v>149</v>
      </c>
      <c r="R317" s="51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484</v>
      </c>
      <c r="E318" s="15" t="s">
        <v>127</v>
      </c>
      <c r="G318" s="15">
        <f>IF(Table13192512[[#This Row],[dec val]]="",0,1)</f>
        <v>0</v>
      </c>
      <c r="J318" s="24">
        <v>50000</v>
      </c>
      <c r="M318" s="24">
        <v>50000</v>
      </c>
      <c r="O318" s="51" t="s">
        <v>149</v>
      </c>
      <c r="P318" s="51">
        <f>HEX2DEC(RIGHT(Table1323212714[[#This Row],[h1]],8))</f>
        <v>0</v>
      </c>
      <c r="Q318" s="51" t="s">
        <v>149</v>
      </c>
      <c r="R318" s="51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485</v>
      </c>
      <c r="E319" s="15" t="s">
        <v>128</v>
      </c>
      <c r="G319" s="15">
        <f>IF(Table13192512[[#This Row],[dec val]]="",0,1)</f>
        <v>0</v>
      </c>
      <c r="J319" s="24">
        <v>50000</v>
      </c>
      <c r="M319" s="24">
        <v>50000</v>
      </c>
      <c r="O319" s="51" t="s">
        <v>149</v>
      </c>
      <c r="P319" s="51">
        <f>HEX2DEC(RIGHT(Table1323212714[[#This Row],[h1]],8))</f>
        <v>0</v>
      </c>
      <c r="Q319" s="51" t="s">
        <v>149</v>
      </c>
      <c r="R319" s="51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486</v>
      </c>
      <c r="E320" s="15" t="s">
        <v>129</v>
      </c>
      <c r="G320" s="15">
        <f>IF(Table13192512[[#This Row],[dec val]]="",0,1)</f>
        <v>0</v>
      </c>
      <c r="J320" s="24">
        <v>50000</v>
      </c>
      <c r="M320" s="24">
        <v>50000</v>
      </c>
      <c r="O320" s="51" t="s">
        <v>149</v>
      </c>
      <c r="P320" s="51">
        <f>HEX2DEC(RIGHT(Table1323212714[[#This Row],[h1]],8))</f>
        <v>0</v>
      </c>
      <c r="Q320" s="51" t="s">
        <v>149</v>
      </c>
      <c r="R320" s="51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487</v>
      </c>
      <c r="E321" s="15" t="s">
        <v>130</v>
      </c>
      <c r="G321" s="15">
        <f>IF(Table13192512[[#This Row],[dec val]]="",0,1)</f>
        <v>0</v>
      </c>
      <c r="J321" s="24">
        <v>50000</v>
      </c>
      <c r="M321" s="24">
        <v>50000</v>
      </c>
      <c r="O321" s="51" t="s">
        <v>149</v>
      </c>
      <c r="P321" s="51">
        <f>HEX2DEC(RIGHT(Table1323212714[[#This Row],[h1]],8))</f>
        <v>0</v>
      </c>
      <c r="Q321" s="51" t="s">
        <v>149</v>
      </c>
      <c r="R321" s="51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488</v>
      </c>
      <c r="E322" s="15" t="s">
        <v>131</v>
      </c>
      <c r="G322" s="15">
        <f>IF(Table13192512[[#This Row],[dec val]]="",0,1)</f>
        <v>0</v>
      </c>
      <c r="J322" s="24">
        <v>50000</v>
      </c>
      <c r="M322" s="24">
        <v>50000</v>
      </c>
      <c r="O322" s="51" t="s">
        <v>149</v>
      </c>
      <c r="P322" s="51">
        <f>HEX2DEC(RIGHT(Table1323212714[[#This Row],[h1]],8))</f>
        <v>0</v>
      </c>
      <c r="Q322" s="51" t="s">
        <v>149</v>
      </c>
      <c r="R322" s="51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489</v>
      </c>
      <c r="E323" s="15" t="s">
        <v>132</v>
      </c>
      <c r="G323" s="15">
        <f>IF(Table13192512[[#This Row],[dec val]]="",0,1)</f>
        <v>0</v>
      </c>
      <c r="J323" s="24">
        <v>50000</v>
      </c>
      <c r="M323" s="24">
        <v>50000</v>
      </c>
      <c r="O323" s="51" t="s">
        <v>149</v>
      </c>
      <c r="P323" s="51">
        <f>HEX2DEC(RIGHT(Table1323212714[[#This Row],[h1]],8))</f>
        <v>0</v>
      </c>
      <c r="Q323" s="51" t="s">
        <v>149</v>
      </c>
      <c r="R323" s="51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490</v>
      </c>
      <c r="E324" s="15" t="s">
        <v>133</v>
      </c>
      <c r="G324" s="15">
        <f>IF(Table13192512[[#This Row],[dec val]]="",0,1)</f>
        <v>0</v>
      </c>
      <c r="J324" s="24">
        <v>50000</v>
      </c>
      <c r="M324" s="24">
        <v>50000</v>
      </c>
      <c r="O324" s="51" t="s">
        <v>149</v>
      </c>
      <c r="P324" s="51">
        <f>HEX2DEC(RIGHT(Table1323212714[[#This Row],[h1]],8))</f>
        <v>0</v>
      </c>
      <c r="Q324" s="51" t="s">
        <v>149</v>
      </c>
      <c r="R324" s="51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491</v>
      </c>
      <c r="E325" s="15" t="s">
        <v>134</v>
      </c>
      <c r="G325" s="15">
        <f>IF(Table13192512[[#This Row],[dec val]]="",0,1)</f>
        <v>0</v>
      </c>
      <c r="J325" s="24">
        <v>50000</v>
      </c>
      <c r="M325" s="24">
        <v>50000</v>
      </c>
      <c r="O325" s="51" t="s">
        <v>149</v>
      </c>
      <c r="P325" s="51">
        <f>HEX2DEC(RIGHT(Table1323212714[[#This Row],[h1]],8))</f>
        <v>0</v>
      </c>
      <c r="Q325" s="51" t="s">
        <v>149</v>
      </c>
      <c r="R325" s="51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492</v>
      </c>
      <c r="E326" s="15" t="s">
        <v>135</v>
      </c>
      <c r="G326" s="15">
        <f>IF(Table13192512[[#This Row],[dec val]]="",0,1)</f>
        <v>0</v>
      </c>
      <c r="J326" s="24">
        <v>50000</v>
      </c>
      <c r="M326" s="24">
        <v>50000</v>
      </c>
      <c r="O326" s="51" t="s">
        <v>149</v>
      </c>
      <c r="P326" s="51">
        <f>HEX2DEC(RIGHT(Table1323212714[[#This Row],[h1]],8))</f>
        <v>0</v>
      </c>
      <c r="Q326" s="51" t="s">
        <v>149</v>
      </c>
      <c r="R326" s="51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493</v>
      </c>
      <c r="E327" s="15" t="s">
        <v>136</v>
      </c>
      <c r="G327" s="15">
        <f>IF(Table13192512[[#This Row],[dec val]]="",0,1)</f>
        <v>0</v>
      </c>
      <c r="J327" s="24">
        <v>50000</v>
      </c>
      <c r="M327" s="24">
        <v>50000</v>
      </c>
      <c r="O327" s="51" t="s">
        <v>149</v>
      </c>
      <c r="P327" s="51">
        <f>HEX2DEC(RIGHT(Table1323212714[[#This Row],[h1]],8))</f>
        <v>0</v>
      </c>
      <c r="Q327" s="51" t="s">
        <v>149</v>
      </c>
      <c r="R327" s="51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51" t="s">
        <v>149</v>
      </c>
      <c r="P328" s="51">
        <f>HEX2DEC(RIGHT(Table1323212714[[#This Row],[h1]],8))</f>
        <v>0</v>
      </c>
      <c r="Q328" s="51" t="s">
        <v>149</v>
      </c>
      <c r="R328" s="51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494</v>
      </c>
      <c r="E329" s="15" t="s">
        <v>106</v>
      </c>
      <c r="G329" s="15">
        <f>IF(Table13192512[[#This Row],[dec val]]="",0,1)</f>
        <v>0</v>
      </c>
      <c r="J329" s="24">
        <v>50000</v>
      </c>
      <c r="M329" s="24">
        <v>50000</v>
      </c>
      <c r="O329" s="51" t="s">
        <v>149</v>
      </c>
      <c r="P329" s="51">
        <f>HEX2DEC(RIGHT(Table1323212714[[#This Row],[h1]],8))</f>
        <v>0</v>
      </c>
      <c r="Q329" s="51" t="s">
        <v>149</v>
      </c>
      <c r="R329" s="51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495</v>
      </c>
      <c r="E330" s="15" t="s">
        <v>107</v>
      </c>
      <c r="G330" s="15">
        <f>IF(Table13192512[[#This Row],[dec val]]="",0,1)</f>
        <v>0</v>
      </c>
      <c r="J330" s="24">
        <v>50000</v>
      </c>
      <c r="M330" s="24">
        <v>50000</v>
      </c>
      <c r="O330" s="51" t="s">
        <v>149</v>
      </c>
      <c r="P330" s="51">
        <f>HEX2DEC(RIGHT(Table1323212714[[#This Row],[h1]],8))</f>
        <v>0</v>
      </c>
      <c r="Q330" s="51" t="s">
        <v>149</v>
      </c>
      <c r="R330" s="51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496</v>
      </c>
      <c r="E331" s="15" t="s">
        <v>108</v>
      </c>
      <c r="G331" s="15">
        <f>IF(Table13192512[[#This Row],[dec val]]="",0,1)</f>
        <v>0</v>
      </c>
      <c r="J331" s="24">
        <v>50000</v>
      </c>
      <c r="M331" s="24">
        <v>50000</v>
      </c>
      <c r="O331" s="51" t="s">
        <v>149</v>
      </c>
      <c r="P331" s="51">
        <f>HEX2DEC(RIGHT(Table1323212714[[#This Row],[h1]],8))</f>
        <v>0</v>
      </c>
      <c r="Q331" s="51" t="s">
        <v>149</v>
      </c>
      <c r="R331" s="51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497</v>
      </c>
      <c r="E332" s="15" t="s">
        <v>109</v>
      </c>
      <c r="G332" s="15">
        <f>IF(Table13192512[[#This Row],[dec val]]="",0,1)</f>
        <v>0</v>
      </c>
      <c r="J332" s="24">
        <v>50000</v>
      </c>
      <c r="M332" s="24">
        <v>50000</v>
      </c>
      <c r="O332" s="51" t="s">
        <v>149</v>
      </c>
      <c r="P332" s="51">
        <f>HEX2DEC(RIGHT(Table1323212714[[#This Row],[h1]],8))</f>
        <v>0</v>
      </c>
      <c r="Q332" s="51" t="s">
        <v>149</v>
      </c>
      <c r="R332" s="51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498</v>
      </c>
      <c r="E333" s="15" t="s">
        <v>110</v>
      </c>
      <c r="G333" s="15">
        <f>IF(Table13192512[[#This Row],[dec val]]="",0,1)</f>
        <v>0</v>
      </c>
      <c r="J333" s="24">
        <v>50000</v>
      </c>
      <c r="M333" s="24">
        <v>50000</v>
      </c>
      <c r="O333" s="51" t="s">
        <v>149</v>
      </c>
      <c r="P333" s="51">
        <f>HEX2DEC(RIGHT(Table1323212714[[#This Row],[h1]],8))</f>
        <v>0</v>
      </c>
      <c r="Q333" s="51" t="s">
        <v>149</v>
      </c>
      <c r="R333" s="51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499</v>
      </c>
      <c r="E334" s="15" t="s">
        <v>111</v>
      </c>
      <c r="G334" s="15">
        <f>IF(Table13192512[[#This Row],[dec val]]="",0,1)</f>
        <v>0</v>
      </c>
      <c r="J334" s="24">
        <v>50000</v>
      </c>
      <c r="M334" s="24">
        <v>50000</v>
      </c>
      <c r="O334" s="51" t="s">
        <v>149</v>
      </c>
      <c r="P334" s="51">
        <f>HEX2DEC(RIGHT(Table1323212714[[#This Row],[h1]],8))</f>
        <v>0</v>
      </c>
      <c r="Q334" s="51" t="s">
        <v>149</v>
      </c>
      <c r="R334" s="51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500</v>
      </c>
      <c r="E335" s="15" t="s">
        <v>112</v>
      </c>
      <c r="G335" s="15">
        <f>IF(Table13192512[[#This Row],[dec val]]="",0,1)</f>
        <v>0</v>
      </c>
      <c r="J335" s="24">
        <v>50000</v>
      </c>
      <c r="M335" s="24">
        <v>50000</v>
      </c>
      <c r="O335" s="51" t="s">
        <v>149</v>
      </c>
      <c r="P335" s="51">
        <f>HEX2DEC(RIGHT(Table1323212714[[#This Row],[h1]],8))</f>
        <v>0</v>
      </c>
      <c r="Q335" s="51" t="s">
        <v>149</v>
      </c>
      <c r="R335" s="51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501</v>
      </c>
      <c r="E336" s="15" t="s">
        <v>113</v>
      </c>
      <c r="G336" s="15">
        <f>IF(Table13192512[[#This Row],[dec val]]="",0,1)</f>
        <v>0</v>
      </c>
      <c r="J336" s="24">
        <v>50000</v>
      </c>
      <c r="M336" s="24">
        <v>50000</v>
      </c>
      <c r="O336" s="51" t="s">
        <v>149</v>
      </c>
      <c r="P336" s="51">
        <f>HEX2DEC(RIGHT(Table1323212714[[#This Row],[h1]],8))</f>
        <v>0</v>
      </c>
      <c r="Q336" s="51" t="s">
        <v>149</v>
      </c>
      <c r="R336" s="51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502</v>
      </c>
      <c r="E337" s="15" t="s">
        <v>114</v>
      </c>
      <c r="G337" s="15">
        <f>IF(Table13192512[[#This Row],[dec val]]="",0,1)</f>
        <v>0</v>
      </c>
      <c r="J337" s="24">
        <v>50000</v>
      </c>
      <c r="M337" s="24">
        <v>50000</v>
      </c>
      <c r="O337" s="51" t="s">
        <v>149</v>
      </c>
      <c r="P337" s="51">
        <f>HEX2DEC(RIGHT(Table1323212714[[#This Row],[h1]],8))</f>
        <v>0</v>
      </c>
      <c r="Q337" s="51" t="s">
        <v>149</v>
      </c>
      <c r="R337" s="51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503</v>
      </c>
      <c r="E338" s="15" t="s">
        <v>115</v>
      </c>
      <c r="G338" s="15">
        <f>IF(Table13192512[[#This Row],[dec val]]="",0,1)</f>
        <v>0</v>
      </c>
      <c r="J338" s="24">
        <v>50000</v>
      </c>
      <c r="M338" s="24">
        <v>50000</v>
      </c>
      <c r="O338" s="51" t="s">
        <v>149</v>
      </c>
      <c r="P338" s="51">
        <f>HEX2DEC(RIGHT(Table1323212714[[#This Row],[h1]],8))</f>
        <v>0</v>
      </c>
      <c r="Q338" s="51" t="s">
        <v>149</v>
      </c>
      <c r="R338" s="51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504</v>
      </c>
      <c r="E339" s="15" t="s">
        <v>116</v>
      </c>
      <c r="G339" s="15">
        <f>IF(Table13192512[[#This Row],[dec val]]="",0,1)</f>
        <v>0</v>
      </c>
      <c r="J339" s="24">
        <v>50000</v>
      </c>
      <c r="M339" s="24">
        <v>50000</v>
      </c>
      <c r="O339" s="51" t="s">
        <v>149</v>
      </c>
      <c r="P339" s="51">
        <f>HEX2DEC(RIGHT(Table1323212714[[#This Row],[h1]],8))</f>
        <v>0</v>
      </c>
      <c r="Q339" s="51" t="s">
        <v>149</v>
      </c>
      <c r="R339" s="51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505</v>
      </c>
      <c r="E340" s="15" t="s">
        <v>117</v>
      </c>
      <c r="G340" s="15">
        <f>IF(Table13192512[[#This Row],[dec val]]="",0,1)</f>
        <v>0</v>
      </c>
      <c r="J340" s="24">
        <v>50000</v>
      </c>
      <c r="M340" s="24">
        <v>50000</v>
      </c>
      <c r="O340" s="51" t="s">
        <v>149</v>
      </c>
      <c r="P340" s="51">
        <f>HEX2DEC(RIGHT(Table1323212714[[#This Row],[h1]],8))</f>
        <v>0</v>
      </c>
      <c r="Q340" s="51" t="s">
        <v>149</v>
      </c>
      <c r="R340" s="51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506</v>
      </c>
      <c r="E341" s="15" t="s">
        <v>118</v>
      </c>
      <c r="G341" s="15">
        <f>IF(Table13192512[[#This Row],[dec val]]="",0,1)</f>
        <v>0</v>
      </c>
      <c r="J341" s="24">
        <v>50000</v>
      </c>
      <c r="M341" s="24">
        <v>50000</v>
      </c>
      <c r="O341" s="51" t="s">
        <v>149</v>
      </c>
      <c r="P341" s="51">
        <f>HEX2DEC(RIGHT(Table1323212714[[#This Row],[h1]],8))</f>
        <v>0</v>
      </c>
      <c r="Q341" s="51" t="s">
        <v>149</v>
      </c>
      <c r="R341" s="51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507</v>
      </c>
      <c r="E342" s="15" t="s">
        <v>119</v>
      </c>
      <c r="G342" s="15">
        <f>IF(Table13192512[[#This Row],[dec val]]="",0,1)</f>
        <v>0</v>
      </c>
      <c r="J342" s="24">
        <v>50000</v>
      </c>
      <c r="M342" s="24">
        <v>50000</v>
      </c>
      <c r="O342" s="51" t="s">
        <v>149</v>
      </c>
      <c r="P342" s="51">
        <f>HEX2DEC(RIGHT(Table1323212714[[#This Row],[h1]],8))</f>
        <v>0</v>
      </c>
      <c r="Q342" s="51" t="s">
        <v>149</v>
      </c>
      <c r="R342" s="51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508</v>
      </c>
      <c r="E343" s="15" t="s">
        <v>120</v>
      </c>
      <c r="G343" s="15">
        <f>IF(Table13192512[[#This Row],[dec val]]="",0,1)</f>
        <v>0</v>
      </c>
      <c r="J343" s="24">
        <v>50000</v>
      </c>
      <c r="M343" s="24">
        <v>50000</v>
      </c>
      <c r="O343" s="51" t="s">
        <v>149</v>
      </c>
      <c r="P343" s="51">
        <f>HEX2DEC(RIGHT(Table1323212714[[#This Row],[h1]],8))</f>
        <v>0</v>
      </c>
      <c r="Q343" s="51" t="s">
        <v>149</v>
      </c>
      <c r="R343" s="51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509</v>
      </c>
      <c r="E344" s="15" t="s">
        <v>121</v>
      </c>
      <c r="G344" s="15">
        <f>IF(Table13192512[[#This Row],[dec val]]="",0,1)</f>
        <v>0</v>
      </c>
      <c r="J344" s="24">
        <v>50000</v>
      </c>
      <c r="M344" s="24">
        <v>50000</v>
      </c>
      <c r="O344" s="51" t="s">
        <v>149</v>
      </c>
      <c r="P344" s="51">
        <f>HEX2DEC(RIGHT(Table1323212714[[#This Row],[h1]],8))</f>
        <v>0</v>
      </c>
      <c r="Q344" s="51" t="s">
        <v>149</v>
      </c>
      <c r="R344" s="51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510</v>
      </c>
      <c r="E345" s="15" t="s">
        <v>122</v>
      </c>
      <c r="G345" s="15">
        <f>IF(Table13192512[[#This Row],[dec val]]="",0,1)</f>
        <v>0</v>
      </c>
      <c r="J345" s="24">
        <v>50000</v>
      </c>
      <c r="M345" s="24">
        <v>50000</v>
      </c>
      <c r="O345" s="51" t="s">
        <v>149</v>
      </c>
      <c r="P345" s="51">
        <f>HEX2DEC(RIGHT(Table1323212714[[#This Row],[h1]],8))</f>
        <v>0</v>
      </c>
      <c r="Q345" s="51" t="s">
        <v>149</v>
      </c>
      <c r="R345" s="51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511</v>
      </c>
      <c r="E346" s="15" t="s">
        <v>123</v>
      </c>
      <c r="G346" s="15">
        <f>IF(Table13192512[[#This Row],[dec val]]="",0,1)</f>
        <v>0</v>
      </c>
      <c r="J346" s="24">
        <v>50000</v>
      </c>
      <c r="M346" s="24">
        <v>50000</v>
      </c>
      <c r="O346" s="51" t="s">
        <v>149</v>
      </c>
      <c r="P346" s="51">
        <f>HEX2DEC(RIGHT(Table1323212714[[#This Row],[h1]],8))</f>
        <v>0</v>
      </c>
      <c r="Q346" s="51" t="s">
        <v>149</v>
      </c>
      <c r="R346" s="51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512</v>
      </c>
      <c r="E347" s="15" t="s">
        <v>124</v>
      </c>
      <c r="G347" s="15">
        <f>IF(Table13192512[[#This Row],[dec val]]="",0,1)</f>
        <v>0</v>
      </c>
      <c r="J347" s="24">
        <v>50000</v>
      </c>
      <c r="M347" s="24">
        <v>50000</v>
      </c>
      <c r="O347" s="51" t="s">
        <v>149</v>
      </c>
      <c r="P347" s="51">
        <f>HEX2DEC(RIGHT(Table1323212714[[#This Row],[h1]],8))</f>
        <v>0</v>
      </c>
      <c r="Q347" s="51" t="s">
        <v>149</v>
      </c>
      <c r="R347" s="51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513</v>
      </c>
      <c r="E348" s="15" t="s">
        <v>125</v>
      </c>
      <c r="G348" s="15">
        <f>IF(Table13192512[[#This Row],[dec val]]="",0,1)</f>
        <v>0</v>
      </c>
      <c r="J348" s="24">
        <v>50000</v>
      </c>
      <c r="M348" s="24">
        <v>50000</v>
      </c>
      <c r="O348" s="51" t="s">
        <v>149</v>
      </c>
      <c r="P348" s="51">
        <f>HEX2DEC(RIGHT(Table1323212714[[#This Row],[h1]],8))</f>
        <v>0</v>
      </c>
      <c r="Q348" s="51" t="s">
        <v>149</v>
      </c>
      <c r="R348" s="51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514</v>
      </c>
      <c r="E349" s="15" t="s">
        <v>126</v>
      </c>
      <c r="G349" s="15">
        <f>IF(Table13192512[[#This Row],[dec val]]="",0,1)</f>
        <v>0</v>
      </c>
      <c r="J349" s="24">
        <v>50000</v>
      </c>
      <c r="M349" s="24">
        <v>50000</v>
      </c>
      <c r="O349" s="51" t="s">
        <v>149</v>
      </c>
      <c r="P349" s="51">
        <f>HEX2DEC(RIGHT(Table1323212714[[#This Row],[h1]],8))</f>
        <v>0</v>
      </c>
      <c r="Q349" s="51" t="s">
        <v>149</v>
      </c>
      <c r="R349" s="51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515</v>
      </c>
      <c r="E350" s="15" t="s">
        <v>127</v>
      </c>
      <c r="G350" s="15">
        <f>IF(Table13192512[[#This Row],[dec val]]="",0,1)</f>
        <v>0</v>
      </c>
      <c r="J350" s="24">
        <v>50000</v>
      </c>
      <c r="M350" s="24">
        <v>50000</v>
      </c>
      <c r="O350" s="51" t="s">
        <v>149</v>
      </c>
      <c r="P350" s="51">
        <f>HEX2DEC(RIGHT(Table1323212714[[#This Row],[h1]],8))</f>
        <v>0</v>
      </c>
      <c r="Q350" s="51" t="s">
        <v>149</v>
      </c>
      <c r="R350" s="51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516</v>
      </c>
      <c r="E351" s="15" t="s">
        <v>128</v>
      </c>
      <c r="G351" s="15">
        <f>IF(Table13192512[[#This Row],[dec val]]="",0,1)</f>
        <v>0</v>
      </c>
      <c r="J351" s="24">
        <v>50000</v>
      </c>
      <c r="M351" s="24">
        <v>50000</v>
      </c>
      <c r="O351" s="51" t="s">
        <v>149</v>
      </c>
      <c r="P351" s="51">
        <f>HEX2DEC(RIGHT(Table1323212714[[#This Row],[h1]],8))</f>
        <v>0</v>
      </c>
      <c r="Q351" s="51" t="s">
        <v>149</v>
      </c>
      <c r="R351" s="51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517</v>
      </c>
      <c r="E352" s="15" t="s">
        <v>129</v>
      </c>
      <c r="G352" s="15">
        <f>IF(Table13192512[[#This Row],[dec val]]="",0,1)</f>
        <v>0</v>
      </c>
      <c r="J352" s="24">
        <v>50000</v>
      </c>
      <c r="M352" s="24">
        <v>50000</v>
      </c>
      <c r="O352" s="51" t="s">
        <v>149</v>
      </c>
      <c r="P352" s="51">
        <f>HEX2DEC(RIGHT(Table1323212714[[#This Row],[h1]],8))</f>
        <v>0</v>
      </c>
      <c r="Q352" s="51" t="s">
        <v>149</v>
      </c>
      <c r="R352" s="51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518</v>
      </c>
      <c r="E353" s="15" t="s">
        <v>130</v>
      </c>
      <c r="G353" s="15">
        <f>IF(Table13192512[[#This Row],[dec val]]="",0,1)</f>
        <v>0</v>
      </c>
      <c r="J353" s="24">
        <v>50000</v>
      </c>
      <c r="M353" s="24">
        <v>50000</v>
      </c>
      <c r="O353" s="51" t="s">
        <v>149</v>
      </c>
      <c r="P353" s="51">
        <f>HEX2DEC(RIGHT(Table1323212714[[#This Row],[h1]],8))</f>
        <v>0</v>
      </c>
      <c r="Q353" s="51" t="s">
        <v>149</v>
      </c>
      <c r="R353" s="51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519</v>
      </c>
      <c r="E354" s="15" t="s">
        <v>131</v>
      </c>
      <c r="G354" s="15">
        <f>IF(Table13192512[[#This Row],[dec val]]="",0,1)</f>
        <v>0</v>
      </c>
      <c r="J354" s="24">
        <v>50000</v>
      </c>
      <c r="M354" s="24">
        <v>50000</v>
      </c>
      <c r="O354" s="51" t="s">
        <v>149</v>
      </c>
      <c r="P354" s="51">
        <f>HEX2DEC(RIGHT(Table1323212714[[#This Row],[h1]],8))</f>
        <v>0</v>
      </c>
      <c r="Q354" s="51" t="s">
        <v>149</v>
      </c>
      <c r="R354" s="51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520</v>
      </c>
      <c r="E355" s="15" t="s">
        <v>132</v>
      </c>
      <c r="G355" s="15">
        <f>IF(Table13192512[[#This Row],[dec val]]="",0,1)</f>
        <v>0</v>
      </c>
      <c r="J355" s="24">
        <v>50000</v>
      </c>
      <c r="M355" s="24">
        <v>50000</v>
      </c>
      <c r="O355" s="51" t="s">
        <v>149</v>
      </c>
      <c r="P355" s="51">
        <f>HEX2DEC(RIGHT(Table1323212714[[#This Row],[h1]],8))</f>
        <v>0</v>
      </c>
      <c r="Q355" s="51" t="s">
        <v>149</v>
      </c>
      <c r="R355" s="51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521</v>
      </c>
      <c r="E356" s="15" t="s">
        <v>133</v>
      </c>
      <c r="G356" s="15">
        <f>IF(Table13192512[[#This Row],[dec val]]="",0,1)</f>
        <v>0</v>
      </c>
      <c r="J356" s="24">
        <v>50000</v>
      </c>
      <c r="M356" s="24">
        <v>50000</v>
      </c>
      <c r="O356" s="51" t="s">
        <v>149</v>
      </c>
      <c r="P356" s="51">
        <f>HEX2DEC(RIGHT(Table1323212714[[#This Row],[h1]],8))</f>
        <v>0</v>
      </c>
      <c r="Q356" s="51" t="s">
        <v>149</v>
      </c>
      <c r="R356" s="51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522</v>
      </c>
      <c r="E357" s="15" t="s">
        <v>134</v>
      </c>
      <c r="G357" s="15">
        <f>IF(Table13192512[[#This Row],[dec val]]="",0,1)</f>
        <v>0</v>
      </c>
      <c r="J357" s="24">
        <v>50000</v>
      </c>
      <c r="M357" s="24">
        <v>50000</v>
      </c>
      <c r="O357" s="51" t="s">
        <v>149</v>
      </c>
      <c r="P357" s="51">
        <f>HEX2DEC(RIGHT(Table1323212714[[#This Row],[h1]],8))</f>
        <v>0</v>
      </c>
      <c r="Q357" s="51" t="s">
        <v>149</v>
      </c>
      <c r="R357" s="51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523</v>
      </c>
      <c r="E358" s="15" t="s">
        <v>135</v>
      </c>
      <c r="G358" s="15">
        <f>IF(Table13192512[[#This Row],[dec val]]="",0,1)</f>
        <v>0</v>
      </c>
      <c r="J358" s="24">
        <v>50000</v>
      </c>
      <c r="M358" s="24">
        <v>50000</v>
      </c>
      <c r="O358" s="51" t="s">
        <v>149</v>
      </c>
      <c r="P358" s="51">
        <f>HEX2DEC(RIGHT(Table1323212714[[#This Row],[h1]],8))</f>
        <v>0</v>
      </c>
      <c r="Q358" s="51" t="s">
        <v>149</v>
      </c>
      <c r="R358" s="51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524</v>
      </c>
      <c r="E359" s="15" t="s">
        <v>136</v>
      </c>
      <c r="G359" s="15">
        <f>IF(Table13192512[[#This Row],[dec val]]="",0,1)</f>
        <v>0</v>
      </c>
      <c r="J359" s="24">
        <v>50000</v>
      </c>
      <c r="M359" s="24">
        <v>50000</v>
      </c>
      <c r="O359" s="51" t="s">
        <v>149</v>
      </c>
      <c r="P359" s="51">
        <f>HEX2DEC(RIGHT(Table1323212714[[#This Row],[h1]],8))</f>
        <v>0</v>
      </c>
      <c r="Q359" s="51" t="s">
        <v>149</v>
      </c>
      <c r="R359" s="51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51" t="s">
        <v>149</v>
      </c>
      <c r="P360" s="51">
        <f>HEX2DEC(RIGHT(Table1323212714[[#This Row],[h1]],8))</f>
        <v>0</v>
      </c>
      <c r="Q360" s="51" t="s">
        <v>149</v>
      </c>
      <c r="R360" s="51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525</v>
      </c>
      <c r="E361" s="15" t="s">
        <v>106</v>
      </c>
      <c r="G361" s="15">
        <f>IF(Table13192512[[#This Row],[dec val]]="",0,1)</f>
        <v>0</v>
      </c>
      <c r="J361" s="24">
        <v>50000</v>
      </c>
      <c r="M361" s="24">
        <v>50000</v>
      </c>
      <c r="O361" s="51" t="s">
        <v>149</v>
      </c>
      <c r="P361" s="51">
        <f>HEX2DEC(RIGHT(Table1323212714[[#This Row],[h1]],8))</f>
        <v>0</v>
      </c>
      <c r="Q361" s="51" t="s">
        <v>149</v>
      </c>
      <c r="R361" s="51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526</v>
      </c>
      <c r="E362" s="15" t="s">
        <v>107</v>
      </c>
      <c r="G362" s="15">
        <f>IF(Table13192512[[#This Row],[dec val]]="",0,1)</f>
        <v>0</v>
      </c>
      <c r="J362" s="24">
        <v>50000</v>
      </c>
      <c r="M362" s="24">
        <v>50000</v>
      </c>
      <c r="O362" s="51" t="s">
        <v>149</v>
      </c>
      <c r="P362" s="51">
        <f>HEX2DEC(RIGHT(Table1323212714[[#This Row],[h1]],8))</f>
        <v>0</v>
      </c>
      <c r="Q362" s="51" t="s">
        <v>149</v>
      </c>
      <c r="R362" s="51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527</v>
      </c>
      <c r="E363" s="15" t="s">
        <v>108</v>
      </c>
      <c r="G363" s="15">
        <f>IF(Table13192512[[#This Row],[dec val]]="",0,1)</f>
        <v>0</v>
      </c>
      <c r="J363" s="24">
        <v>50000</v>
      </c>
      <c r="M363" s="24">
        <v>50000</v>
      </c>
      <c r="O363" s="51" t="s">
        <v>149</v>
      </c>
      <c r="P363" s="51">
        <f>HEX2DEC(RIGHT(Table1323212714[[#This Row],[h1]],8))</f>
        <v>0</v>
      </c>
      <c r="Q363" s="51" t="s">
        <v>149</v>
      </c>
      <c r="R363" s="51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528</v>
      </c>
      <c r="E364" s="15" t="s">
        <v>109</v>
      </c>
      <c r="G364" s="15">
        <f>IF(Table13192512[[#This Row],[dec val]]="",0,1)</f>
        <v>0</v>
      </c>
      <c r="J364" s="24">
        <v>50000</v>
      </c>
      <c r="M364" s="24">
        <v>50000</v>
      </c>
      <c r="O364" s="51" t="s">
        <v>149</v>
      </c>
      <c r="P364" s="51">
        <f>HEX2DEC(RIGHT(Table1323212714[[#This Row],[h1]],8))</f>
        <v>0</v>
      </c>
      <c r="Q364" s="51" t="s">
        <v>149</v>
      </c>
      <c r="R364" s="51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529</v>
      </c>
      <c r="E365" s="15" t="s">
        <v>110</v>
      </c>
      <c r="G365" s="15">
        <f>IF(Table13192512[[#This Row],[dec val]]="",0,1)</f>
        <v>0</v>
      </c>
      <c r="J365" s="24">
        <v>50000</v>
      </c>
      <c r="M365" s="24">
        <v>50000</v>
      </c>
      <c r="O365" s="51" t="s">
        <v>149</v>
      </c>
      <c r="P365" s="51">
        <f>HEX2DEC(RIGHT(Table1323212714[[#This Row],[h1]],8))</f>
        <v>0</v>
      </c>
      <c r="Q365" s="51" t="s">
        <v>149</v>
      </c>
      <c r="R365" s="51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530</v>
      </c>
      <c r="E366" s="15" t="s">
        <v>111</v>
      </c>
      <c r="G366" s="15">
        <f>IF(Table13192512[[#This Row],[dec val]]="",0,1)</f>
        <v>0</v>
      </c>
      <c r="J366" s="24">
        <v>50000</v>
      </c>
      <c r="M366" s="24">
        <v>50000</v>
      </c>
      <c r="O366" s="51" t="s">
        <v>149</v>
      </c>
      <c r="P366" s="51">
        <f>HEX2DEC(RIGHT(Table1323212714[[#This Row],[h1]],8))</f>
        <v>0</v>
      </c>
      <c r="Q366" s="51" t="s">
        <v>149</v>
      </c>
      <c r="R366" s="51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531</v>
      </c>
      <c r="E367" s="15" t="s">
        <v>112</v>
      </c>
      <c r="G367" s="15">
        <f>IF(Table13192512[[#This Row],[dec val]]="",0,1)</f>
        <v>0</v>
      </c>
      <c r="J367" s="24">
        <v>50000</v>
      </c>
      <c r="M367" s="24">
        <v>50000</v>
      </c>
      <c r="O367" s="51" t="s">
        <v>149</v>
      </c>
      <c r="P367" s="51">
        <f>HEX2DEC(RIGHT(Table1323212714[[#This Row],[h1]],8))</f>
        <v>0</v>
      </c>
      <c r="Q367" s="51" t="s">
        <v>149</v>
      </c>
      <c r="R367" s="51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532</v>
      </c>
      <c r="E368" s="15" t="s">
        <v>113</v>
      </c>
      <c r="G368" s="15">
        <f>IF(Table13192512[[#This Row],[dec val]]="",0,1)</f>
        <v>0</v>
      </c>
      <c r="J368" s="24">
        <v>50000</v>
      </c>
      <c r="M368" s="24">
        <v>50000</v>
      </c>
      <c r="O368" s="51" t="s">
        <v>149</v>
      </c>
      <c r="P368" s="51">
        <f>HEX2DEC(RIGHT(Table1323212714[[#This Row],[h1]],8))</f>
        <v>0</v>
      </c>
      <c r="Q368" s="51" t="s">
        <v>149</v>
      </c>
      <c r="R368" s="51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533</v>
      </c>
      <c r="E369" s="15" t="s">
        <v>114</v>
      </c>
      <c r="G369" s="15">
        <f>IF(Table13192512[[#This Row],[dec val]]="",0,1)</f>
        <v>0</v>
      </c>
      <c r="J369" s="24">
        <v>50000</v>
      </c>
      <c r="M369" s="24">
        <v>50000</v>
      </c>
      <c r="O369" s="51" t="s">
        <v>149</v>
      </c>
      <c r="P369" s="51">
        <f>HEX2DEC(RIGHT(Table1323212714[[#This Row],[h1]],8))</f>
        <v>0</v>
      </c>
      <c r="Q369" s="51" t="s">
        <v>149</v>
      </c>
      <c r="R369" s="51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534</v>
      </c>
      <c r="E370" s="15" t="s">
        <v>115</v>
      </c>
      <c r="G370" s="15">
        <f>IF(Table13192512[[#This Row],[dec val]]="",0,1)</f>
        <v>0</v>
      </c>
      <c r="J370" s="24">
        <v>50000</v>
      </c>
      <c r="M370" s="24">
        <v>50000</v>
      </c>
      <c r="O370" s="51" t="s">
        <v>149</v>
      </c>
      <c r="P370" s="51">
        <f>HEX2DEC(RIGHT(Table1323212714[[#This Row],[h1]],8))</f>
        <v>0</v>
      </c>
      <c r="Q370" s="51" t="s">
        <v>149</v>
      </c>
      <c r="R370" s="51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535</v>
      </c>
      <c r="E371" s="15" t="s">
        <v>116</v>
      </c>
      <c r="G371" s="15">
        <f>IF(Table13192512[[#This Row],[dec val]]="",0,1)</f>
        <v>0</v>
      </c>
      <c r="J371" s="24">
        <v>50000</v>
      </c>
      <c r="M371" s="24">
        <v>50000</v>
      </c>
      <c r="O371" s="51" t="s">
        <v>149</v>
      </c>
      <c r="P371" s="51">
        <f>HEX2DEC(RIGHT(Table1323212714[[#This Row],[h1]],8))</f>
        <v>0</v>
      </c>
      <c r="Q371" s="51" t="s">
        <v>149</v>
      </c>
      <c r="R371" s="51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536</v>
      </c>
      <c r="E372" s="15" t="s">
        <v>117</v>
      </c>
      <c r="G372" s="15">
        <f>IF(Table13192512[[#This Row],[dec val]]="",0,1)</f>
        <v>0</v>
      </c>
      <c r="J372" s="24">
        <v>50000</v>
      </c>
      <c r="M372" s="24">
        <v>50000</v>
      </c>
      <c r="O372" s="51" t="s">
        <v>149</v>
      </c>
      <c r="P372" s="51">
        <f>HEX2DEC(RIGHT(Table1323212714[[#This Row],[h1]],8))</f>
        <v>0</v>
      </c>
      <c r="Q372" s="51" t="s">
        <v>149</v>
      </c>
      <c r="R372" s="51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537</v>
      </c>
      <c r="E373" s="15" t="s">
        <v>118</v>
      </c>
      <c r="G373" s="15">
        <f>IF(Table13192512[[#This Row],[dec val]]="",0,1)</f>
        <v>0</v>
      </c>
      <c r="J373" s="24">
        <v>50000</v>
      </c>
      <c r="M373" s="24">
        <v>50000</v>
      </c>
      <c r="O373" s="51" t="s">
        <v>149</v>
      </c>
      <c r="P373" s="51">
        <f>HEX2DEC(RIGHT(Table1323212714[[#This Row],[h1]],8))</f>
        <v>0</v>
      </c>
      <c r="Q373" s="51" t="s">
        <v>149</v>
      </c>
      <c r="R373" s="51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538</v>
      </c>
      <c r="E374" s="15" t="s">
        <v>119</v>
      </c>
      <c r="G374" s="15">
        <f>IF(Table13192512[[#This Row],[dec val]]="",0,1)</f>
        <v>0</v>
      </c>
      <c r="J374" s="24">
        <v>50000</v>
      </c>
      <c r="M374" s="24">
        <v>50000</v>
      </c>
      <c r="O374" s="51" t="s">
        <v>149</v>
      </c>
      <c r="P374" s="51">
        <f>HEX2DEC(RIGHT(Table1323212714[[#This Row],[h1]],8))</f>
        <v>0</v>
      </c>
      <c r="Q374" s="51" t="s">
        <v>149</v>
      </c>
      <c r="R374" s="51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539</v>
      </c>
      <c r="E375" s="15" t="s">
        <v>120</v>
      </c>
      <c r="G375" s="15">
        <f>IF(Table13192512[[#This Row],[dec val]]="",0,1)</f>
        <v>0</v>
      </c>
      <c r="J375" s="24">
        <v>50000</v>
      </c>
      <c r="M375" s="24">
        <v>50000</v>
      </c>
      <c r="O375" s="51" t="s">
        <v>149</v>
      </c>
      <c r="P375" s="51">
        <f>HEX2DEC(RIGHT(Table1323212714[[#This Row],[h1]],8))</f>
        <v>0</v>
      </c>
      <c r="Q375" s="51" t="s">
        <v>149</v>
      </c>
      <c r="R375" s="51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540</v>
      </c>
      <c r="E376" s="15" t="s">
        <v>121</v>
      </c>
      <c r="G376" s="15">
        <f>IF(Table13192512[[#This Row],[dec val]]="",0,1)</f>
        <v>0</v>
      </c>
      <c r="J376" s="24">
        <v>50000</v>
      </c>
      <c r="M376" s="24">
        <v>50000</v>
      </c>
      <c r="O376" s="51" t="s">
        <v>149</v>
      </c>
      <c r="P376" s="51">
        <f>HEX2DEC(RIGHT(Table1323212714[[#This Row],[h1]],8))</f>
        <v>0</v>
      </c>
      <c r="Q376" s="51" t="s">
        <v>149</v>
      </c>
      <c r="R376" s="51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541</v>
      </c>
      <c r="E377" s="15" t="s">
        <v>122</v>
      </c>
      <c r="G377" s="15">
        <f>IF(Table13192512[[#This Row],[dec val]]="",0,1)</f>
        <v>0</v>
      </c>
      <c r="J377" s="24">
        <v>50000</v>
      </c>
      <c r="M377" s="24">
        <v>50000</v>
      </c>
      <c r="O377" s="51" t="s">
        <v>149</v>
      </c>
      <c r="P377" s="51">
        <f>HEX2DEC(RIGHT(Table1323212714[[#This Row],[h1]],8))</f>
        <v>0</v>
      </c>
      <c r="Q377" s="51" t="s">
        <v>149</v>
      </c>
      <c r="R377" s="51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542</v>
      </c>
      <c r="E378" s="15" t="s">
        <v>123</v>
      </c>
      <c r="G378" s="15">
        <f>IF(Table13192512[[#This Row],[dec val]]="",0,1)</f>
        <v>0</v>
      </c>
      <c r="J378" s="24">
        <v>50000</v>
      </c>
      <c r="M378" s="24">
        <v>50000</v>
      </c>
      <c r="O378" s="51" t="s">
        <v>149</v>
      </c>
      <c r="P378" s="51">
        <f>HEX2DEC(RIGHT(Table1323212714[[#This Row],[h1]],8))</f>
        <v>0</v>
      </c>
      <c r="Q378" s="51" t="s">
        <v>149</v>
      </c>
      <c r="R378" s="51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543</v>
      </c>
      <c r="E379" s="15" t="s">
        <v>124</v>
      </c>
      <c r="G379" s="15">
        <f>IF(Table13192512[[#This Row],[dec val]]="",0,1)</f>
        <v>0</v>
      </c>
      <c r="J379" s="24">
        <v>50000</v>
      </c>
      <c r="M379" s="24">
        <v>50000</v>
      </c>
      <c r="O379" s="51" t="s">
        <v>149</v>
      </c>
      <c r="P379" s="51">
        <f>HEX2DEC(RIGHT(Table1323212714[[#This Row],[h1]],8))</f>
        <v>0</v>
      </c>
      <c r="Q379" s="51" t="s">
        <v>149</v>
      </c>
      <c r="R379" s="51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544</v>
      </c>
      <c r="E380" s="15" t="s">
        <v>125</v>
      </c>
      <c r="G380" s="15">
        <f>IF(Table13192512[[#This Row],[dec val]]="",0,1)</f>
        <v>0</v>
      </c>
      <c r="J380" s="24">
        <v>50000</v>
      </c>
      <c r="M380" s="24">
        <v>50000</v>
      </c>
      <c r="O380" s="51" t="s">
        <v>149</v>
      </c>
      <c r="P380" s="51">
        <f>HEX2DEC(RIGHT(Table1323212714[[#This Row],[h1]],8))</f>
        <v>0</v>
      </c>
      <c r="Q380" s="51" t="s">
        <v>149</v>
      </c>
      <c r="R380" s="51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545</v>
      </c>
      <c r="E381" s="15" t="s">
        <v>126</v>
      </c>
      <c r="G381" s="15">
        <f>IF(Table13192512[[#This Row],[dec val]]="",0,1)</f>
        <v>0</v>
      </c>
      <c r="J381" s="24">
        <v>50000</v>
      </c>
      <c r="M381" s="24">
        <v>50000</v>
      </c>
      <c r="O381" s="51" t="s">
        <v>149</v>
      </c>
      <c r="P381" s="51">
        <f>HEX2DEC(RIGHT(Table1323212714[[#This Row],[h1]],8))</f>
        <v>0</v>
      </c>
      <c r="Q381" s="51" t="s">
        <v>149</v>
      </c>
      <c r="R381" s="51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546</v>
      </c>
      <c r="E382" s="15" t="s">
        <v>127</v>
      </c>
      <c r="G382" s="15">
        <f>IF(Table13192512[[#This Row],[dec val]]="",0,1)</f>
        <v>0</v>
      </c>
      <c r="J382" s="24">
        <v>50000</v>
      </c>
      <c r="M382" s="24">
        <v>50000</v>
      </c>
      <c r="O382" s="51" t="s">
        <v>149</v>
      </c>
      <c r="P382" s="51">
        <f>HEX2DEC(RIGHT(Table1323212714[[#This Row],[h1]],8))</f>
        <v>0</v>
      </c>
      <c r="Q382" s="51" t="s">
        <v>149</v>
      </c>
      <c r="R382" s="51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547</v>
      </c>
      <c r="E383" s="15" t="s">
        <v>128</v>
      </c>
      <c r="G383" s="15">
        <f>IF(Table13192512[[#This Row],[dec val]]="",0,1)</f>
        <v>0</v>
      </c>
      <c r="J383" s="24">
        <v>50000</v>
      </c>
      <c r="M383" s="24">
        <v>50000</v>
      </c>
      <c r="O383" s="51" t="s">
        <v>149</v>
      </c>
      <c r="P383" s="51">
        <f>HEX2DEC(RIGHT(Table1323212714[[#This Row],[h1]],8))</f>
        <v>0</v>
      </c>
      <c r="Q383" s="51" t="s">
        <v>149</v>
      </c>
      <c r="R383" s="51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548</v>
      </c>
      <c r="E384" s="15" t="s">
        <v>129</v>
      </c>
      <c r="G384" s="15">
        <f>IF(Table13192512[[#This Row],[dec val]]="",0,1)</f>
        <v>0</v>
      </c>
      <c r="J384" s="24">
        <v>50000</v>
      </c>
      <c r="M384" s="24">
        <v>50000</v>
      </c>
      <c r="O384" s="51" t="s">
        <v>149</v>
      </c>
      <c r="P384" s="51">
        <f>HEX2DEC(RIGHT(Table1323212714[[#This Row],[h1]],8))</f>
        <v>0</v>
      </c>
      <c r="Q384" s="51" t="s">
        <v>149</v>
      </c>
      <c r="R384" s="51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549</v>
      </c>
      <c r="E385" s="15" t="s">
        <v>130</v>
      </c>
      <c r="G385" s="15">
        <f>IF(Table13192512[[#This Row],[dec val]]="",0,1)</f>
        <v>0</v>
      </c>
      <c r="J385" s="24">
        <v>50000</v>
      </c>
      <c r="M385" s="24">
        <v>50000</v>
      </c>
      <c r="O385" s="51" t="s">
        <v>149</v>
      </c>
      <c r="P385" s="51">
        <f>HEX2DEC(RIGHT(Table1323212714[[#This Row],[h1]],8))</f>
        <v>0</v>
      </c>
      <c r="Q385" s="51" t="s">
        <v>149</v>
      </c>
      <c r="R385" s="51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550</v>
      </c>
      <c r="E386" s="15" t="s">
        <v>131</v>
      </c>
      <c r="G386" s="15">
        <f>IF(Table13192512[[#This Row],[dec val]]="",0,1)</f>
        <v>0</v>
      </c>
      <c r="J386" s="24">
        <v>50000</v>
      </c>
      <c r="M386" s="24">
        <v>50000</v>
      </c>
      <c r="O386" s="51" t="s">
        <v>149</v>
      </c>
      <c r="P386" s="51">
        <f>HEX2DEC(RIGHT(Table1323212714[[#This Row],[h1]],8))</f>
        <v>0</v>
      </c>
      <c r="Q386" s="51" t="s">
        <v>149</v>
      </c>
      <c r="R386" s="51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551</v>
      </c>
      <c r="E387" s="15" t="s">
        <v>132</v>
      </c>
      <c r="G387" s="15">
        <f>IF(Table13192512[[#This Row],[dec val]]="",0,1)</f>
        <v>0</v>
      </c>
      <c r="J387" s="24">
        <v>50000</v>
      </c>
      <c r="M387" s="24">
        <v>50000</v>
      </c>
      <c r="O387" s="51" t="s">
        <v>149</v>
      </c>
      <c r="P387" s="51">
        <f>HEX2DEC(RIGHT(Table1323212714[[#This Row],[h1]],8))</f>
        <v>0</v>
      </c>
      <c r="Q387" s="51" t="s">
        <v>149</v>
      </c>
      <c r="R387" s="51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552</v>
      </c>
      <c r="E388" s="15" t="s">
        <v>133</v>
      </c>
      <c r="G388" s="15">
        <f>IF(Table13192512[[#This Row],[dec val]]="",0,1)</f>
        <v>0</v>
      </c>
      <c r="J388" s="24">
        <v>50000</v>
      </c>
      <c r="M388" s="24">
        <v>50000</v>
      </c>
      <c r="O388" s="51" t="s">
        <v>149</v>
      </c>
      <c r="P388" s="51">
        <f>HEX2DEC(RIGHT(Table1323212714[[#This Row],[h1]],8))</f>
        <v>0</v>
      </c>
      <c r="Q388" s="51" t="s">
        <v>149</v>
      </c>
      <c r="R388" s="51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553</v>
      </c>
      <c r="E389" s="15" t="s">
        <v>134</v>
      </c>
      <c r="G389" s="15">
        <f>IF(Table13192512[[#This Row],[dec val]]="",0,1)</f>
        <v>0</v>
      </c>
      <c r="J389" s="24">
        <v>50000</v>
      </c>
      <c r="M389" s="24">
        <v>50000</v>
      </c>
      <c r="O389" s="51" t="s">
        <v>149</v>
      </c>
      <c r="P389" s="51">
        <f>HEX2DEC(RIGHT(Table1323212714[[#This Row],[h1]],8))</f>
        <v>0</v>
      </c>
      <c r="Q389" s="51" t="s">
        <v>149</v>
      </c>
      <c r="R389" s="51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554</v>
      </c>
      <c r="E390" s="15" t="s">
        <v>135</v>
      </c>
      <c r="G390" s="15">
        <f>IF(Table13192512[[#This Row],[dec val]]="",0,1)</f>
        <v>0</v>
      </c>
      <c r="J390" s="24">
        <v>50000</v>
      </c>
      <c r="M390" s="24">
        <v>50000</v>
      </c>
      <c r="O390" s="51" t="s">
        <v>149</v>
      </c>
      <c r="P390" s="51">
        <f>HEX2DEC(RIGHT(Table1323212714[[#This Row],[h1]],8))</f>
        <v>0</v>
      </c>
      <c r="Q390" s="51" t="s">
        <v>149</v>
      </c>
      <c r="R390" s="51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555</v>
      </c>
      <c r="E391" s="15" t="s">
        <v>136</v>
      </c>
      <c r="G391" s="15">
        <f>IF(Table13192512[[#This Row],[dec val]]="",0,1)</f>
        <v>0</v>
      </c>
      <c r="J391" s="24">
        <v>50000</v>
      </c>
      <c r="M391" s="24">
        <v>50000</v>
      </c>
      <c r="O391" s="51" t="s">
        <v>149</v>
      </c>
      <c r="P391" s="51">
        <f>HEX2DEC(RIGHT(Table1323212714[[#This Row],[h1]],8))</f>
        <v>0</v>
      </c>
      <c r="Q391" s="51" t="s">
        <v>149</v>
      </c>
      <c r="R391" s="51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51" t="s">
        <v>149</v>
      </c>
      <c r="P392" s="51">
        <f>HEX2DEC(RIGHT(Table1323212714[[#This Row],[h1]],8))</f>
        <v>0</v>
      </c>
      <c r="Q392" s="51" t="s">
        <v>149</v>
      </c>
      <c r="R392" s="51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556</v>
      </c>
      <c r="G393" s="15">
        <v>0</v>
      </c>
      <c r="J393" s="24">
        <v>50000</v>
      </c>
      <c r="M393" s="24">
        <v>50000</v>
      </c>
      <c r="O393" s="51" t="s">
        <v>149</v>
      </c>
      <c r="P393" s="51">
        <f>HEX2DEC(RIGHT(Table1323212714[[#This Row],[h1]],8))</f>
        <v>0</v>
      </c>
      <c r="Q393" s="51" t="s">
        <v>149</v>
      </c>
      <c r="R393" s="51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557</v>
      </c>
      <c r="G394" s="15">
        <v>0</v>
      </c>
      <c r="J394" s="24">
        <v>50000</v>
      </c>
      <c r="M394" s="24">
        <v>50000</v>
      </c>
      <c r="O394" s="51" t="s">
        <v>149</v>
      </c>
      <c r="P394" s="51">
        <f>HEX2DEC(RIGHT(Table1323212714[[#This Row],[h1]],8))</f>
        <v>0</v>
      </c>
      <c r="Q394" s="51" t="s">
        <v>149</v>
      </c>
      <c r="R394" s="51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558</v>
      </c>
      <c r="G395" s="15">
        <v>0</v>
      </c>
      <c r="J395" s="24">
        <v>50000</v>
      </c>
      <c r="M395" s="24">
        <v>50000</v>
      </c>
      <c r="O395" s="51" t="s">
        <v>149</v>
      </c>
      <c r="P395" s="51">
        <f>HEX2DEC(RIGHT(Table1323212714[[#This Row],[h1]],8))</f>
        <v>0</v>
      </c>
      <c r="Q395" s="51" t="s">
        <v>149</v>
      </c>
      <c r="R395" s="51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559</v>
      </c>
      <c r="G396" s="15">
        <v>0</v>
      </c>
      <c r="J396" s="24">
        <v>50000</v>
      </c>
      <c r="M396" s="24">
        <v>50000</v>
      </c>
      <c r="O396" s="51" t="s">
        <v>149</v>
      </c>
      <c r="P396" s="51">
        <f>HEX2DEC(RIGHT(Table1323212714[[#This Row],[h1]],8))</f>
        <v>0</v>
      </c>
      <c r="Q396" s="51" t="s">
        <v>149</v>
      </c>
      <c r="R396" s="51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560</v>
      </c>
      <c r="G397" s="15">
        <v>0</v>
      </c>
      <c r="J397" s="24">
        <v>50000</v>
      </c>
      <c r="M397" s="24">
        <v>50000</v>
      </c>
      <c r="O397" s="51" t="s">
        <v>149</v>
      </c>
      <c r="P397" s="51">
        <f>HEX2DEC(RIGHT(Table1323212714[[#This Row],[h1]],8))</f>
        <v>0</v>
      </c>
      <c r="Q397" s="51" t="s">
        <v>149</v>
      </c>
      <c r="R397" s="51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561</v>
      </c>
      <c r="G398" s="15">
        <v>0</v>
      </c>
      <c r="J398" s="24">
        <v>50000</v>
      </c>
      <c r="M398" s="24">
        <v>50000</v>
      </c>
      <c r="O398" s="51" t="s">
        <v>149</v>
      </c>
      <c r="P398" s="51">
        <f>HEX2DEC(RIGHT(Table1323212714[[#This Row],[h1]],8))</f>
        <v>0</v>
      </c>
      <c r="Q398" s="51" t="s">
        <v>149</v>
      </c>
      <c r="R398" s="51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562</v>
      </c>
      <c r="G399" s="15">
        <v>0</v>
      </c>
      <c r="J399" s="24">
        <v>50000</v>
      </c>
      <c r="M399" s="24">
        <v>50000</v>
      </c>
      <c r="O399" s="51" t="s">
        <v>149</v>
      </c>
      <c r="P399" s="51">
        <f>HEX2DEC(RIGHT(Table1323212714[[#This Row],[h1]],8))</f>
        <v>0</v>
      </c>
      <c r="Q399" s="51" t="s">
        <v>149</v>
      </c>
      <c r="R399" s="51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51" t="s">
        <v>149</v>
      </c>
      <c r="P400" s="51">
        <f>HEX2DEC(RIGHT(Table1323212714[[#This Row],[h1]],8))</f>
        <v>0</v>
      </c>
      <c r="Q400" s="51" t="s">
        <v>149</v>
      </c>
      <c r="R400" s="51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165</v>
      </c>
      <c r="G401" s="33" t="s">
        <v>206</v>
      </c>
      <c r="J401" s="24">
        <v>50000</v>
      </c>
      <c r="M401" s="24">
        <v>50000</v>
      </c>
      <c r="O401" s="51" t="s">
        <v>149</v>
      </c>
      <c r="P401" s="51">
        <f>HEX2DEC(RIGHT(Table1323212714[[#This Row],[h1]],8))</f>
        <v>0</v>
      </c>
      <c r="Q401" s="51" t="s">
        <v>149</v>
      </c>
      <c r="R401" s="51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166</v>
      </c>
      <c r="G402" s="33" t="s">
        <v>207</v>
      </c>
      <c r="J402" s="24">
        <v>50000</v>
      </c>
      <c r="M402" s="24">
        <v>50000</v>
      </c>
      <c r="O402" s="51" t="s">
        <v>149</v>
      </c>
      <c r="P402" s="51">
        <f>HEX2DEC(RIGHT(Table1323212714[[#This Row],[h1]],8))</f>
        <v>0</v>
      </c>
      <c r="Q402" s="51" t="s">
        <v>149</v>
      </c>
      <c r="R402" s="51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167</v>
      </c>
      <c r="G403" s="33" t="s">
        <v>207</v>
      </c>
      <c r="J403" s="24">
        <v>50000</v>
      </c>
      <c r="M403" s="24">
        <v>50000</v>
      </c>
      <c r="O403" s="51" t="s">
        <v>149</v>
      </c>
      <c r="P403" s="51">
        <f>HEX2DEC(RIGHT(Table1323212714[[#This Row],[h1]],8))</f>
        <v>0</v>
      </c>
      <c r="Q403" s="51" t="s">
        <v>149</v>
      </c>
      <c r="R403" s="51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168</v>
      </c>
      <c r="G404" s="33" t="s">
        <v>207</v>
      </c>
      <c r="J404" s="24">
        <v>50000</v>
      </c>
      <c r="M404" s="24">
        <v>50000</v>
      </c>
      <c r="O404" s="51" t="s">
        <v>149</v>
      </c>
      <c r="P404" s="51">
        <f>HEX2DEC(RIGHT(Table1323212714[[#This Row],[h1]],8))</f>
        <v>0</v>
      </c>
      <c r="Q404" s="51" t="s">
        <v>149</v>
      </c>
      <c r="R404" s="51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169</v>
      </c>
      <c r="G405" s="33" t="s">
        <v>207</v>
      </c>
      <c r="J405" s="24">
        <v>50000</v>
      </c>
      <c r="M405" s="24">
        <v>50000</v>
      </c>
      <c r="O405" s="51" t="s">
        <v>149</v>
      </c>
      <c r="P405" s="51">
        <f>HEX2DEC(RIGHT(Table1323212714[[#This Row],[h1]],8))</f>
        <v>0</v>
      </c>
      <c r="Q405" s="51" t="s">
        <v>149</v>
      </c>
      <c r="R405" s="51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170</v>
      </c>
      <c r="G406" s="33" t="s">
        <v>207</v>
      </c>
      <c r="J406" s="24">
        <v>50000</v>
      </c>
      <c r="M406" s="24">
        <v>50000</v>
      </c>
      <c r="O406" s="51" t="s">
        <v>149</v>
      </c>
      <c r="P406" s="51">
        <f>HEX2DEC(RIGHT(Table1323212714[[#This Row],[h1]],8))</f>
        <v>0</v>
      </c>
      <c r="Q406" s="51" t="s">
        <v>149</v>
      </c>
      <c r="R406" s="51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171</v>
      </c>
      <c r="G407" s="33" t="s">
        <v>207</v>
      </c>
      <c r="J407" s="24">
        <v>50000</v>
      </c>
      <c r="M407" s="24">
        <v>50000</v>
      </c>
      <c r="O407" s="51" t="s">
        <v>149</v>
      </c>
      <c r="P407" s="51">
        <f>HEX2DEC(RIGHT(Table1323212714[[#This Row],[h1]],8))</f>
        <v>0</v>
      </c>
      <c r="Q407" s="51" t="s">
        <v>149</v>
      </c>
      <c r="R407" s="51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172</v>
      </c>
      <c r="G408" s="33" t="s">
        <v>204</v>
      </c>
      <c r="J408" s="24">
        <v>50000</v>
      </c>
      <c r="M408" s="24">
        <v>50000</v>
      </c>
      <c r="O408" s="51" t="s">
        <v>149</v>
      </c>
      <c r="P408" s="51">
        <f>HEX2DEC(RIGHT(Table1323212714[[#This Row],[h1]],8))</f>
        <v>0</v>
      </c>
      <c r="Q408" s="51" t="s">
        <v>149</v>
      </c>
      <c r="R408" s="51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173</v>
      </c>
      <c r="G409" s="33" t="s">
        <v>204</v>
      </c>
      <c r="J409" s="24">
        <v>50000</v>
      </c>
      <c r="M409" s="24">
        <v>50000</v>
      </c>
      <c r="O409" s="51" t="s">
        <v>149</v>
      </c>
      <c r="P409" s="51">
        <f>HEX2DEC(RIGHT(Table1323212714[[#This Row],[h1]],8))</f>
        <v>0</v>
      </c>
      <c r="Q409" s="51" t="s">
        <v>149</v>
      </c>
      <c r="R409" s="51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174</v>
      </c>
      <c r="G410" s="33" t="s">
        <v>204</v>
      </c>
      <c r="J410" s="24">
        <v>50000</v>
      </c>
      <c r="M410" s="24">
        <v>50000</v>
      </c>
      <c r="O410" s="51" t="s">
        <v>149</v>
      </c>
      <c r="P410" s="51">
        <f>HEX2DEC(RIGHT(Table1323212714[[#This Row],[h1]],8))</f>
        <v>0</v>
      </c>
      <c r="Q410" s="51" t="s">
        <v>149</v>
      </c>
      <c r="R410" s="51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175</v>
      </c>
      <c r="G411" s="33" t="s">
        <v>204</v>
      </c>
      <c r="J411" s="24">
        <v>50000</v>
      </c>
      <c r="M411" s="24">
        <v>50000</v>
      </c>
      <c r="O411" s="51" t="s">
        <v>149</v>
      </c>
      <c r="P411" s="51">
        <f>HEX2DEC(RIGHT(Table1323212714[[#This Row],[h1]],8))</f>
        <v>0</v>
      </c>
      <c r="Q411" s="51" t="s">
        <v>149</v>
      </c>
      <c r="R411" s="51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176</v>
      </c>
      <c r="G412" s="33" t="s">
        <v>204</v>
      </c>
      <c r="J412" s="24">
        <v>50000</v>
      </c>
      <c r="M412" s="24">
        <v>50000</v>
      </c>
      <c r="O412" s="51" t="s">
        <v>149</v>
      </c>
      <c r="P412" s="51">
        <f>HEX2DEC(RIGHT(Table1323212714[[#This Row],[h1]],8))</f>
        <v>0</v>
      </c>
      <c r="Q412" s="51" t="s">
        <v>149</v>
      </c>
      <c r="R412" s="51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177</v>
      </c>
      <c r="G413" s="33" t="s">
        <v>204</v>
      </c>
      <c r="J413" s="24">
        <v>50000</v>
      </c>
      <c r="M413" s="24">
        <v>50000</v>
      </c>
      <c r="O413" s="51" t="s">
        <v>149</v>
      </c>
      <c r="P413" s="51">
        <f>HEX2DEC(RIGHT(Table1323212714[[#This Row],[h1]],8))</f>
        <v>0</v>
      </c>
      <c r="Q413" s="51" t="s">
        <v>149</v>
      </c>
      <c r="R413" s="51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178</v>
      </c>
      <c r="G414" s="33" t="s">
        <v>204</v>
      </c>
      <c r="J414" s="24">
        <v>50000</v>
      </c>
      <c r="M414" s="24">
        <v>50000</v>
      </c>
      <c r="O414" s="51" t="s">
        <v>149</v>
      </c>
      <c r="P414" s="51">
        <f>HEX2DEC(RIGHT(Table1323212714[[#This Row],[h1]],8))</f>
        <v>0</v>
      </c>
      <c r="Q414" s="51" t="s">
        <v>149</v>
      </c>
      <c r="R414" s="51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179</v>
      </c>
      <c r="G415" s="33" t="s">
        <v>204</v>
      </c>
      <c r="J415" s="24">
        <v>50000</v>
      </c>
      <c r="M415" s="24">
        <v>50000</v>
      </c>
      <c r="O415" s="51" t="s">
        <v>149</v>
      </c>
      <c r="P415" s="51">
        <f>HEX2DEC(RIGHT(Table1323212714[[#This Row],[h1]],8))</f>
        <v>0</v>
      </c>
      <c r="Q415" s="51" t="s">
        <v>149</v>
      </c>
      <c r="R415" s="51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180</v>
      </c>
      <c r="G416" s="33" t="s">
        <v>204</v>
      </c>
      <c r="J416" s="24">
        <v>50000</v>
      </c>
      <c r="M416" s="24">
        <v>50000</v>
      </c>
      <c r="O416" s="51" t="s">
        <v>149</v>
      </c>
      <c r="P416" s="51">
        <f>HEX2DEC(RIGHT(Table1323212714[[#This Row],[h1]],8))</f>
        <v>0</v>
      </c>
      <c r="Q416" s="51" t="s">
        <v>149</v>
      </c>
      <c r="R416" s="51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181</v>
      </c>
      <c r="G417" s="33" t="s">
        <v>204</v>
      </c>
      <c r="J417" s="24">
        <v>50000</v>
      </c>
      <c r="M417" s="24">
        <v>50000</v>
      </c>
      <c r="O417" s="51" t="s">
        <v>149</v>
      </c>
      <c r="P417" s="51">
        <f>HEX2DEC(RIGHT(Table1323212714[[#This Row],[h1]],8))</f>
        <v>0</v>
      </c>
      <c r="Q417" s="51" t="s">
        <v>149</v>
      </c>
      <c r="R417" s="51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182</v>
      </c>
      <c r="G418" s="33" t="s">
        <v>204</v>
      </c>
      <c r="J418" s="24">
        <v>50000</v>
      </c>
      <c r="M418" s="24">
        <v>50000</v>
      </c>
      <c r="O418" s="51" t="s">
        <v>149</v>
      </c>
      <c r="P418" s="51">
        <f>HEX2DEC(RIGHT(Table1323212714[[#This Row],[h1]],8))</f>
        <v>0</v>
      </c>
      <c r="Q418" s="51" t="s">
        <v>149</v>
      </c>
      <c r="R418" s="51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183</v>
      </c>
      <c r="G419" s="33" t="s">
        <v>204</v>
      </c>
      <c r="J419" s="24">
        <v>50000</v>
      </c>
      <c r="M419" s="24">
        <v>50000</v>
      </c>
      <c r="O419" s="51" t="s">
        <v>149</v>
      </c>
      <c r="P419" s="51">
        <f>HEX2DEC(RIGHT(Table1323212714[[#This Row],[h1]],8))</f>
        <v>0</v>
      </c>
      <c r="Q419" s="51" t="s">
        <v>149</v>
      </c>
      <c r="R419" s="51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184</v>
      </c>
      <c r="G420" s="33" t="s">
        <v>204</v>
      </c>
      <c r="J420" s="24">
        <v>50000</v>
      </c>
      <c r="M420" s="24">
        <v>50000</v>
      </c>
      <c r="O420" s="51" t="s">
        <v>149</v>
      </c>
      <c r="P420" s="51">
        <f>HEX2DEC(RIGHT(Table1323212714[[#This Row],[h1]],8))</f>
        <v>0</v>
      </c>
      <c r="Q420" s="51" t="s">
        <v>149</v>
      </c>
      <c r="R420" s="51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185</v>
      </c>
      <c r="G421" s="33" t="s">
        <v>204</v>
      </c>
      <c r="J421" s="24">
        <v>50000</v>
      </c>
      <c r="M421" s="24">
        <v>50000</v>
      </c>
      <c r="O421" s="51" t="s">
        <v>149</v>
      </c>
      <c r="P421" s="51">
        <f>HEX2DEC(RIGHT(Table1323212714[[#This Row],[h1]],8))</f>
        <v>0</v>
      </c>
      <c r="Q421" s="51" t="s">
        <v>149</v>
      </c>
      <c r="R421" s="51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186</v>
      </c>
      <c r="G422" s="33" t="s">
        <v>204</v>
      </c>
      <c r="J422" s="24">
        <v>50000</v>
      </c>
      <c r="M422" s="24">
        <v>50000</v>
      </c>
      <c r="O422" s="51" t="s">
        <v>149</v>
      </c>
      <c r="P422" s="51">
        <f>HEX2DEC(RIGHT(Table1323212714[[#This Row],[h1]],8))</f>
        <v>0</v>
      </c>
      <c r="Q422" s="51" t="s">
        <v>149</v>
      </c>
      <c r="R422" s="51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187</v>
      </c>
      <c r="G423" s="33" t="s">
        <v>204</v>
      </c>
      <c r="J423" s="24">
        <v>50000</v>
      </c>
      <c r="M423" s="24">
        <v>50000</v>
      </c>
      <c r="O423" s="51" t="s">
        <v>149</v>
      </c>
      <c r="P423" s="51">
        <f>HEX2DEC(RIGHT(Table1323212714[[#This Row],[h1]],8))</f>
        <v>0</v>
      </c>
      <c r="Q423" s="51" t="s">
        <v>149</v>
      </c>
      <c r="R423" s="51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188</v>
      </c>
      <c r="G424" s="33" t="s">
        <v>204</v>
      </c>
      <c r="J424" s="24">
        <v>50000</v>
      </c>
      <c r="M424" s="24">
        <v>50000</v>
      </c>
      <c r="O424" s="51" t="s">
        <v>149</v>
      </c>
      <c r="P424" s="51">
        <f>HEX2DEC(RIGHT(Table1323212714[[#This Row],[h1]],8))</f>
        <v>0</v>
      </c>
      <c r="Q424" s="51" t="s">
        <v>149</v>
      </c>
      <c r="R424" s="51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189</v>
      </c>
      <c r="G425" s="33" t="s">
        <v>204</v>
      </c>
      <c r="J425" s="24">
        <v>50000</v>
      </c>
      <c r="M425" s="24">
        <v>50000</v>
      </c>
      <c r="O425" s="51" t="s">
        <v>149</v>
      </c>
      <c r="P425" s="51">
        <f>HEX2DEC(RIGHT(Table1323212714[[#This Row],[h1]],8))</f>
        <v>0</v>
      </c>
      <c r="Q425" s="51" t="s">
        <v>149</v>
      </c>
      <c r="R425" s="51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190</v>
      </c>
      <c r="G426" s="33" t="s">
        <v>204</v>
      </c>
      <c r="J426" s="24">
        <v>50000</v>
      </c>
      <c r="M426" s="24">
        <v>50000</v>
      </c>
      <c r="O426" s="51" t="s">
        <v>149</v>
      </c>
      <c r="P426" s="51">
        <f>HEX2DEC(RIGHT(Table1323212714[[#This Row],[h1]],8))</f>
        <v>0</v>
      </c>
      <c r="Q426" s="51" t="s">
        <v>149</v>
      </c>
      <c r="R426" s="51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191</v>
      </c>
      <c r="G427" s="33" t="s">
        <v>204</v>
      </c>
      <c r="J427" s="24">
        <v>50000</v>
      </c>
      <c r="M427" s="24">
        <v>50000</v>
      </c>
      <c r="O427" s="51" t="s">
        <v>149</v>
      </c>
      <c r="P427" s="51">
        <f>HEX2DEC(RIGHT(Table1323212714[[#This Row],[h1]],8))</f>
        <v>0</v>
      </c>
      <c r="Q427" s="51" t="s">
        <v>149</v>
      </c>
      <c r="R427" s="51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192</v>
      </c>
      <c r="G428" s="33" t="s">
        <v>204</v>
      </c>
      <c r="J428" s="24">
        <v>50000</v>
      </c>
      <c r="M428" s="24">
        <v>50000</v>
      </c>
      <c r="O428" s="51" t="s">
        <v>149</v>
      </c>
      <c r="P428" s="51">
        <f>HEX2DEC(RIGHT(Table1323212714[[#This Row],[h1]],8))</f>
        <v>0</v>
      </c>
      <c r="Q428" s="51" t="s">
        <v>149</v>
      </c>
      <c r="R428" s="51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193</v>
      </c>
      <c r="G429" s="33" t="s">
        <v>204</v>
      </c>
      <c r="J429" s="24">
        <v>50000</v>
      </c>
      <c r="M429" s="24">
        <v>50000</v>
      </c>
      <c r="O429" s="51" t="s">
        <v>149</v>
      </c>
      <c r="P429" s="51">
        <f>HEX2DEC(RIGHT(Table1323212714[[#This Row],[h1]],8))</f>
        <v>0</v>
      </c>
      <c r="Q429" s="51" t="s">
        <v>149</v>
      </c>
      <c r="R429" s="51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194</v>
      </c>
      <c r="G430" s="33" t="s">
        <v>204</v>
      </c>
      <c r="J430" s="24">
        <v>50000</v>
      </c>
      <c r="M430" s="24">
        <v>50000</v>
      </c>
      <c r="O430" s="51" t="s">
        <v>149</v>
      </c>
      <c r="P430" s="51">
        <f>HEX2DEC(RIGHT(Table1323212714[[#This Row],[h1]],8))</f>
        <v>0</v>
      </c>
      <c r="Q430" s="51" t="s">
        <v>149</v>
      </c>
      <c r="R430" s="51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195</v>
      </c>
      <c r="G431" s="33" t="s">
        <v>204</v>
      </c>
      <c r="J431" s="24">
        <v>50000</v>
      </c>
      <c r="M431" s="24">
        <v>50000</v>
      </c>
      <c r="O431" s="51" t="s">
        <v>149</v>
      </c>
      <c r="P431" s="51">
        <f>HEX2DEC(RIGHT(Table1323212714[[#This Row],[h1]],8))</f>
        <v>0</v>
      </c>
      <c r="Q431" s="51" t="s">
        <v>149</v>
      </c>
      <c r="R431" s="51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196</v>
      </c>
      <c r="G432" s="33" t="s">
        <v>204</v>
      </c>
      <c r="J432" s="24">
        <v>50000</v>
      </c>
      <c r="M432" s="24">
        <v>50000</v>
      </c>
      <c r="O432" s="51" t="s">
        <v>149</v>
      </c>
      <c r="P432" s="51">
        <f>HEX2DEC(RIGHT(Table1323212714[[#This Row],[h1]],8))</f>
        <v>0</v>
      </c>
      <c r="Q432" s="51" t="s">
        <v>149</v>
      </c>
      <c r="R432" s="51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197</v>
      </c>
      <c r="G433" s="33" t="s">
        <v>204</v>
      </c>
      <c r="J433" s="24">
        <v>50000</v>
      </c>
      <c r="M433" s="24">
        <v>50000</v>
      </c>
      <c r="O433" s="51" t="s">
        <v>149</v>
      </c>
      <c r="P433" s="51">
        <f>HEX2DEC(RIGHT(Table1323212714[[#This Row],[h1]],8))</f>
        <v>0</v>
      </c>
      <c r="Q433" s="51" t="s">
        <v>149</v>
      </c>
      <c r="R433" s="51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198</v>
      </c>
      <c r="G434" s="33" t="s">
        <v>204</v>
      </c>
      <c r="J434" s="24">
        <v>50000</v>
      </c>
      <c r="M434" s="24">
        <v>50000</v>
      </c>
      <c r="O434" s="51" t="s">
        <v>149</v>
      </c>
      <c r="P434" s="51">
        <f>HEX2DEC(RIGHT(Table1323212714[[#This Row],[h1]],8))</f>
        <v>0</v>
      </c>
      <c r="Q434" s="51" t="s">
        <v>149</v>
      </c>
      <c r="R434" s="51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199</v>
      </c>
      <c r="G435" s="33" t="s">
        <v>204</v>
      </c>
      <c r="J435" s="24">
        <v>50000</v>
      </c>
      <c r="M435" s="24">
        <v>50000</v>
      </c>
      <c r="O435" s="51" t="s">
        <v>149</v>
      </c>
      <c r="P435" s="51">
        <f>HEX2DEC(RIGHT(Table1323212714[[#This Row],[h1]],8))</f>
        <v>0</v>
      </c>
      <c r="Q435" s="51" t="s">
        <v>149</v>
      </c>
      <c r="R435" s="51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200</v>
      </c>
      <c r="G436" s="33" t="s">
        <v>204</v>
      </c>
      <c r="J436" s="24">
        <v>50000</v>
      </c>
      <c r="M436" s="24">
        <v>50000</v>
      </c>
      <c r="O436" s="51" t="s">
        <v>149</v>
      </c>
      <c r="P436" s="51">
        <f>HEX2DEC(RIGHT(Table1323212714[[#This Row],[h1]],8))</f>
        <v>0</v>
      </c>
      <c r="Q436" s="51" t="s">
        <v>149</v>
      </c>
      <c r="R436" s="51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201</v>
      </c>
      <c r="G437" s="33" t="s">
        <v>204</v>
      </c>
      <c r="J437" s="24">
        <v>50000</v>
      </c>
      <c r="M437" s="24">
        <v>50000</v>
      </c>
      <c r="O437" s="51" t="s">
        <v>149</v>
      </c>
      <c r="P437" s="51">
        <f>HEX2DEC(RIGHT(Table1323212714[[#This Row],[h1]],8))</f>
        <v>0</v>
      </c>
      <c r="Q437" s="51" t="s">
        <v>149</v>
      </c>
      <c r="R437" s="51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202</v>
      </c>
      <c r="G438" s="33" t="s">
        <v>204</v>
      </c>
      <c r="J438" s="24">
        <v>50000</v>
      </c>
      <c r="M438" s="24">
        <v>50000</v>
      </c>
      <c r="O438" s="51" t="s">
        <v>149</v>
      </c>
      <c r="P438" s="51">
        <f>HEX2DEC(RIGHT(Table1323212714[[#This Row],[h1]],8))</f>
        <v>0</v>
      </c>
      <c r="Q438" s="51" t="s">
        <v>149</v>
      </c>
      <c r="R438" s="51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203</v>
      </c>
      <c r="G439" s="33" t="s">
        <v>204</v>
      </c>
      <c r="J439" s="24">
        <v>50000</v>
      </c>
      <c r="M439" s="24">
        <v>50000</v>
      </c>
      <c r="O439" s="51" t="s">
        <v>149</v>
      </c>
      <c r="P439" s="51">
        <f>HEX2DEC(RIGHT(Table1323212714[[#This Row],[h1]],8))</f>
        <v>0</v>
      </c>
      <c r="Q439" s="51" t="s">
        <v>149</v>
      </c>
      <c r="R439" s="51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205</v>
      </c>
      <c r="G440" s="15">
        <v>1</v>
      </c>
      <c r="J440" s="24">
        <v>50000</v>
      </c>
      <c r="M440" s="24">
        <v>50000</v>
      </c>
      <c r="O440" s="51" t="s">
        <v>149</v>
      </c>
      <c r="P440" s="51">
        <f>HEX2DEC(RIGHT(Table1323212714[[#This Row],[h1]],8))</f>
        <v>0</v>
      </c>
      <c r="Q440" s="51" t="s">
        <v>149</v>
      </c>
      <c r="R440" s="51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205</v>
      </c>
      <c r="G441" s="15">
        <v>0</v>
      </c>
      <c r="J441" s="24">
        <v>50000</v>
      </c>
      <c r="M441" s="24">
        <v>50000</v>
      </c>
      <c r="O441" s="51" t="s">
        <v>149</v>
      </c>
      <c r="P441" s="51">
        <f>HEX2DEC(RIGHT(Table1323212714[[#This Row],[h1]],8))</f>
        <v>0</v>
      </c>
      <c r="Q441" s="51" t="s">
        <v>149</v>
      </c>
      <c r="R441" s="51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51" t="s">
        <v>149</v>
      </c>
      <c r="P442" s="51">
        <f>HEX2DEC(RIGHT(Table1323212714[[#This Row],[h1]],8))</f>
        <v>0</v>
      </c>
      <c r="Q442" s="51" t="s">
        <v>149</v>
      </c>
      <c r="R442" s="51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51" t="s">
        <v>149</v>
      </c>
      <c r="P443" s="51">
        <f>HEX2DEC(RIGHT(Table1323212714[[#This Row],[h1]],8))</f>
        <v>0</v>
      </c>
      <c r="Q443" s="51" t="s">
        <v>149</v>
      </c>
      <c r="R443" s="51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51" t="s">
        <v>149</v>
      </c>
      <c r="P444" s="51">
        <f>HEX2DEC(RIGHT(Table1323212714[[#This Row],[h1]],8))</f>
        <v>0</v>
      </c>
      <c r="Q444" s="51" t="s">
        <v>149</v>
      </c>
      <c r="R444" s="51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51" t="s">
        <v>149</v>
      </c>
      <c r="P445" s="51">
        <f>HEX2DEC(RIGHT(Table1323212714[[#This Row],[h1]],8))</f>
        <v>0</v>
      </c>
      <c r="Q445" s="51" t="s">
        <v>149</v>
      </c>
      <c r="R445" s="51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51" t="s">
        <v>149</v>
      </c>
      <c r="P446" s="51">
        <f>HEX2DEC(RIGHT(Table1323212714[[#This Row],[h1]],8))</f>
        <v>0</v>
      </c>
      <c r="Q446" s="51" t="s">
        <v>149</v>
      </c>
      <c r="R446" s="51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1" t="s">
        <v>149</v>
      </c>
      <c r="P447" s="51">
        <f>HEX2DEC(RIGHT(Table1323212714[[#This Row],[h1]],8))</f>
        <v>0</v>
      </c>
      <c r="Q447" s="51" t="s">
        <v>149</v>
      </c>
      <c r="R447" s="51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1" t="s">
        <v>149</v>
      </c>
      <c r="P448" s="51">
        <f>HEX2DEC(RIGHT(Table1323212714[[#This Row],[h1]],8))</f>
        <v>0</v>
      </c>
      <c r="Q448" s="51" t="s">
        <v>149</v>
      </c>
      <c r="R448" s="51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1" t="s">
        <v>149</v>
      </c>
      <c r="P449" s="51">
        <f>HEX2DEC(RIGHT(Table1323212714[[#This Row],[h1]],8))</f>
        <v>0</v>
      </c>
      <c r="Q449" s="51" t="s">
        <v>149</v>
      </c>
      <c r="R449" s="51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1" t="s">
        <v>149</v>
      </c>
      <c r="P450" s="51">
        <f>HEX2DEC(RIGHT(Table1323212714[[#This Row],[h1]],8))</f>
        <v>0</v>
      </c>
      <c r="Q450" s="51" t="s">
        <v>149</v>
      </c>
      <c r="R450" s="51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1" t="s">
        <v>149</v>
      </c>
      <c r="P451" s="51">
        <f>HEX2DEC(RIGHT(Table1323212714[[#This Row],[h1]],8))</f>
        <v>0</v>
      </c>
      <c r="Q451" s="51" t="s">
        <v>149</v>
      </c>
      <c r="R451" s="51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1" t="s">
        <v>149</v>
      </c>
      <c r="P452" s="51">
        <f>HEX2DEC(RIGHT(Table1323212714[[#This Row],[h1]],8))</f>
        <v>0</v>
      </c>
      <c r="Q452" s="51" t="s">
        <v>149</v>
      </c>
      <c r="R452" s="51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1" t="s">
        <v>149</v>
      </c>
      <c r="P453" s="51">
        <f>HEX2DEC(RIGHT(Table1323212714[[#This Row],[h1]],8))</f>
        <v>0</v>
      </c>
      <c r="Q453" s="51" t="s">
        <v>149</v>
      </c>
      <c r="R453" s="51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1" t="s">
        <v>149</v>
      </c>
      <c r="P454" s="51">
        <f>HEX2DEC(RIGHT(Table1323212714[[#This Row],[h1]],8))</f>
        <v>0</v>
      </c>
      <c r="Q454" s="51" t="s">
        <v>149</v>
      </c>
      <c r="R454" s="51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1" t="s">
        <v>149</v>
      </c>
      <c r="P455" s="51">
        <f>HEX2DEC(RIGHT(Table1323212714[[#This Row],[h1]],8))</f>
        <v>0</v>
      </c>
      <c r="Q455" s="51" t="s">
        <v>149</v>
      </c>
      <c r="R455" s="51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1" t="s">
        <v>149</v>
      </c>
      <c r="P456" s="51">
        <f>HEX2DEC(RIGHT(Table1323212714[[#This Row],[h1]],8))</f>
        <v>0</v>
      </c>
      <c r="Q456" s="51" t="s">
        <v>149</v>
      </c>
      <c r="R456" s="51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1" t="s">
        <v>149</v>
      </c>
      <c r="P457" s="51">
        <f>HEX2DEC(RIGHT(Table1323212714[[#This Row],[h1]],8))</f>
        <v>0</v>
      </c>
      <c r="Q457" s="51" t="s">
        <v>149</v>
      </c>
      <c r="R457" s="51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1" t="s">
        <v>149</v>
      </c>
      <c r="P458" s="51">
        <f>HEX2DEC(RIGHT(Table1323212714[[#This Row],[h1]],8))</f>
        <v>0</v>
      </c>
      <c r="Q458" s="51" t="s">
        <v>149</v>
      </c>
      <c r="R458" s="51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1" t="s">
        <v>149</v>
      </c>
      <c r="P459" s="51">
        <f>HEX2DEC(RIGHT(Table1323212714[[#This Row],[h1]],8))</f>
        <v>0</v>
      </c>
      <c r="Q459" s="51" t="s">
        <v>149</v>
      </c>
      <c r="R459" s="51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1" t="s">
        <v>149</v>
      </c>
      <c r="P460" s="51">
        <f>HEX2DEC(RIGHT(Table1323212714[[#This Row],[h1]],8))</f>
        <v>0</v>
      </c>
      <c r="Q460" s="51" t="s">
        <v>149</v>
      </c>
      <c r="R460" s="51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51" t="s">
        <v>149</v>
      </c>
      <c r="P461" s="51">
        <f>HEX2DEC(RIGHT(Table1323212714[[#This Row],[h1]],8))</f>
        <v>0</v>
      </c>
      <c r="Q461" s="51" t="s">
        <v>149</v>
      </c>
      <c r="R461" s="51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51" t="s">
        <v>149</v>
      </c>
      <c r="P462" s="51">
        <f>HEX2DEC(RIGHT(Table1323212714[[#This Row],[h1]],8))</f>
        <v>0</v>
      </c>
      <c r="Q462" s="51" t="s">
        <v>149</v>
      </c>
      <c r="R462" s="51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51" t="s">
        <v>149</v>
      </c>
      <c r="P463" s="51">
        <f>HEX2DEC(RIGHT(Table1323212714[[#This Row],[h1]],8))</f>
        <v>0</v>
      </c>
      <c r="Q463" s="51" t="s">
        <v>149</v>
      </c>
      <c r="R463" s="51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51" t="s">
        <v>149</v>
      </c>
      <c r="P464" s="51">
        <f>HEX2DEC(RIGHT(Table1323212714[[#This Row],[h1]],8))</f>
        <v>0</v>
      </c>
      <c r="Q464" s="51" t="s">
        <v>149</v>
      </c>
      <c r="R464" s="51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51" t="s">
        <v>149</v>
      </c>
      <c r="P465" s="51">
        <f>HEX2DEC(RIGHT(Table1323212714[[#This Row],[h1]],8))</f>
        <v>0</v>
      </c>
      <c r="Q465" s="51" t="s">
        <v>149</v>
      </c>
      <c r="R465" s="51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51" t="s">
        <v>149</v>
      </c>
      <c r="P466" s="51">
        <f>HEX2DEC(RIGHT(Table1323212714[[#This Row],[h1]],8))</f>
        <v>0</v>
      </c>
      <c r="Q466" s="51" t="s">
        <v>149</v>
      </c>
      <c r="R466" s="51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51" t="s">
        <v>149</v>
      </c>
      <c r="P467" s="51">
        <f>HEX2DEC(RIGHT(Table1323212714[[#This Row],[h1]],8))</f>
        <v>0</v>
      </c>
      <c r="Q467" s="51" t="s">
        <v>149</v>
      </c>
      <c r="R467" s="51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51" t="s">
        <v>149</v>
      </c>
      <c r="P468" s="51">
        <f>HEX2DEC(RIGHT(Table1323212714[[#This Row],[h1]],8))</f>
        <v>0</v>
      </c>
      <c r="Q468" s="51" t="s">
        <v>149</v>
      </c>
      <c r="R468" s="51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51" t="s">
        <v>149</v>
      </c>
      <c r="P469" s="51">
        <f>HEX2DEC(RIGHT(Table1323212714[[#This Row],[h1]],8))</f>
        <v>0</v>
      </c>
      <c r="Q469" s="51" t="s">
        <v>149</v>
      </c>
      <c r="R469" s="51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51" t="s">
        <v>149</v>
      </c>
      <c r="P470" s="51">
        <f>HEX2DEC(RIGHT(Table1323212714[[#This Row],[h1]],8))</f>
        <v>0</v>
      </c>
      <c r="Q470" s="51" t="s">
        <v>149</v>
      </c>
      <c r="R470" s="51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51" t="s">
        <v>149</v>
      </c>
      <c r="P471" s="51">
        <f>HEX2DEC(RIGHT(Table1323212714[[#This Row],[h1]],8))</f>
        <v>0</v>
      </c>
      <c r="Q471" s="51" t="s">
        <v>149</v>
      </c>
      <c r="R471" s="51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51" t="s">
        <v>149</v>
      </c>
      <c r="P472" s="51">
        <f>HEX2DEC(RIGHT(Table1323212714[[#This Row],[h1]],8))</f>
        <v>0</v>
      </c>
      <c r="Q472" s="51" t="s">
        <v>149</v>
      </c>
      <c r="R472" s="51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51" t="s">
        <v>149</v>
      </c>
      <c r="P473" s="51">
        <f>HEX2DEC(RIGHT(Table1323212714[[#This Row],[h1]],8))</f>
        <v>0</v>
      </c>
      <c r="Q473" s="51" t="s">
        <v>149</v>
      </c>
      <c r="R473" s="51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56</v>
      </c>
      <c r="D474" s="43" t="s">
        <v>48</v>
      </c>
      <c r="E474" s="43"/>
      <c r="F474" s="43"/>
      <c r="G474" s="44"/>
      <c r="J474" s="24">
        <v>50000</v>
      </c>
      <c r="M474" s="24">
        <v>50000</v>
      </c>
      <c r="O474" s="51" t="s">
        <v>149</v>
      </c>
      <c r="P474" s="51">
        <f>HEX2DEC(RIGHT(Table1323212714[[#This Row],[h1]],8))</f>
        <v>0</v>
      </c>
      <c r="Q474" s="51" t="s">
        <v>149</v>
      </c>
      <c r="R474" s="51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1" t="s">
        <v>149</v>
      </c>
      <c r="P475" s="51">
        <f>HEX2DEC(RIGHT(Table1323212714[[#This Row],[h1]],8))</f>
        <v>0</v>
      </c>
      <c r="Q475" s="51" t="s">
        <v>149</v>
      </c>
      <c r="R475" s="51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1" t="s">
        <v>149</v>
      </c>
      <c r="P476" s="51">
        <f>HEX2DEC(RIGHT(Table1323212714[[#This Row],[h1]],8))</f>
        <v>0</v>
      </c>
      <c r="Q476" s="51" t="s">
        <v>149</v>
      </c>
      <c r="R476" s="51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1" t="s">
        <v>149</v>
      </c>
      <c r="P477" s="51">
        <f>HEX2DEC(RIGHT(Table1323212714[[#This Row],[h1]],8))</f>
        <v>0</v>
      </c>
      <c r="Q477" s="51" t="s">
        <v>149</v>
      </c>
      <c r="R477" s="51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1" t="s">
        <v>149</v>
      </c>
      <c r="P478" s="51">
        <f>HEX2DEC(RIGHT(Table1323212714[[#This Row],[h1]],8))</f>
        <v>0</v>
      </c>
      <c r="Q478" s="51" t="s">
        <v>149</v>
      </c>
      <c r="R478" s="51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1" t="s">
        <v>149</v>
      </c>
      <c r="P479" s="51">
        <f>HEX2DEC(RIGHT(Table1323212714[[#This Row],[h1]],8))</f>
        <v>0</v>
      </c>
      <c r="Q479" s="51" t="s">
        <v>149</v>
      </c>
      <c r="R479" s="51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1" t="s">
        <v>149</v>
      </c>
      <c r="P480" s="51">
        <f>HEX2DEC(RIGHT(Table1323212714[[#This Row],[h1]],8))</f>
        <v>0</v>
      </c>
      <c r="Q480" s="51" t="s">
        <v>149</v>
      </c>
      <c r="R480" s="51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1" t="s">
        <v>149</v>
      </c>
      <c r="P481" s="51">
        <f>HEX2DEC(RIGHT(Table1323212714[[#This Row],[h1]],8))</f>
        <v>0</v>
      </c>
      <c r="Q481" s="51" t="s">
        <v>149</v>
      </c>
      <c r="R481" s="51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1" t="s">
        <v>149</v>
      </c>
      <c r="P482" s="51">
        <f>HEX2DEC(RIGHT(Table1323212714[[#This Row],[h1]],8))</f>
        <v>0</v>
      </c>
      <c r="Q482" s="51" t="s">
        <v>149</v>
      </c>
      <c r="R482" s="51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1" t="s">
        <v>149</v>
      </c>
      <c r="P483" s="51">
        <f>HEX2DEC(RIGHT(Table1323212714[[#This Row],[h1]],8))</f>
        <v>0</v>
      </c>
      <c r="Q483" s="51" t="s">
        <v>149</v>
      </c>
      <c r="R483" s="51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1" t="s">
        <v>149</v>
      </c>
      <c r="P484" s="51">
        <f>HEX2DEC(RIGHT(Table1323212714[[#This Row],[h1]],8))</f>
        <v>0</v>
      </c>
      <c r="Q484" s="51" t="s">
        <v>149</v>
      </c>
      <c r="R484" s="51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1" t="s">
        <v>149</v>
      </c>
      <c r="P485" s="51">
        <f>HEX2DEC(RIGHT(Table1323212714[[#This Row],[h1]],8))</f>
        <v>0</v>
      </c>
      <c r="Q485" s="51" t="s">
        <v>149</v>
      </c>
      <c r="R485" s="51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1" t="s">
        <v>149</v>
      </c>
      <c r="P486" s="51">
        <f>HEX2DEC(RIGHT(Table1323212714[[#This Row],[h1]],8))</f>
        <v>0</v>
      </c>
      <c r="Q486" s="51" t="s">
        <v>149</v>
      </c>
      <c r="R486" s="51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1" t="s">
        <v>149</v>
      </c>
      <c r="P487" s="51">
        <f>HEX2DEC(RIGHT(Table1323212714[[#This Row],[h1]],8))</f>
        <v>0</v>
      </c>
      <c r="Q487" s="51" t="s">
        <v>149</v>
      </c>
      <c r="R487" s="51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1" t="s">
        <v>149</v>
      </c>
      <c r="P488" s="51">
        <f>HEX2DEC(RIGHT(Table1323212714[[#This Row],[h1]],8))</f>
        <v>0</v>
      </c>
      <c r="Q488" s="51" t="s">
        <v>149</v>
      </c>
      <c r="R488" s="51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1" t="s">
        <v>149</v>
      </c>
      <c r="P489" s="51">
        <f>HEX2DEC(RIGHT(Table1323212714[[#This Row],[h1]],8))</f>
        <v>0</v>
      </c>
      <c r="Q489" s="51" t="s">
        <v>149</v>
      </c>
      <c r="R489" s="51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1" t="s">
        <v>149</v>
      </c>
      <c r="P490" s="51">
        <f>HEX2DEC(RIGHT(Table1323212714[[#This Row],[h1]],8))</f>
        <v>0</v>
      </c>
      <c r="Q490" s="51" t="s">
        <v>149</v>
      </c>
      <c r="R490" s="51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1" t="s">
        <v>149</v>
      </c>
      <c r="P491" s="51">
        <f>HEX2DEC(RIGHT(Table1323212714[[#This Row],[h1]],8))</f>
        <v>0</v>
      </c>
      <c r="Q491" s="51" t="s">
        <v>149</v>
      </c>
      <c r="R491" s="51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1" t="s">
        <v>149</v>
      </c>
      <c r="P492" s="51">
        <f>HEX2DEC(RIGHT(Table1323212714[[#This Row],[h1]],8))</f>
        <v>0</v>
      </c>
      <c r="Q492" s="51" t="s">
        <v>149</v>
      </c>
      <c r="R492" s="51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1" t="s">
        <v>149</v>
      </c>
      <c r="P493" s="51">
        <f>HEX2DEC(RIGHT(Table1323212714[[#This Row],[h1]],8))</f>
        <v>0</v>
      </c>
      <c r="Q493" s="51" t="s">
        <v>149</v>
      </c>
      <c r="R493" s="51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1" t="s">
        <v>149</v>
      </c>
      <c r="P494" s="51">
        <f>HEX2DEC(RIGHT(Table1323212714[[#This Row],[h1]],8))</f>
        <v>0</v>
      </c>
      <c r="Q494" s="51" t="s">
        <v>149</v>
      </c>
      <c r="R494" s="51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1" t="s">
        <v>149</v>
      </c>
      <c r="P495" s="51">
        <f>HEX2DEC(RIGHT(Table1323212714[[#This Row],[h1]],8))</f>
        <v>0</v>
      </c>
      <c r="Q495" s="51" t="s">
        <v>149</v>
      </c>
      <c r="R495" s="51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1" t="s">
        <v>149</v>
      </c>
      <c r="P496" s="51">
        <f>HEX2DEC(RIGHT(Table1323212714[[#This Row],[h1]],8))</f>
        <v>0</v>
      </c>
      <c r="Q496" s="51" t="s">
        <v>149</v>
      </c>
      <c r="R496" s="51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1" t="s">
        <v>149</v>
      </c>
      <c r="P497" s="51">
        <f>HEX2DEC(RIGHT(Table1323212714[[#This Row],[h1]],8))</f>
        <v>0</v>
      </c>
      <c r="Q497" s="51" t="s">
        <v>149</v>
      </c>
      <c r="R497" s="51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1" t="s">
        <v>149</v>
      </c>
      <c r="P498" s="51">
        <f>HEX2DEC(RIGHT(Table1323212714[[#This Row],[h1]],8))</f>
        <v>0</v>
      </c>
      <c r="Q498" s="51" t="s">
        <v>149</v>
      </c>
      <c r="R498" s="51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1" t="s">
        <v>149</v>
      </c>
      <c r="P499" s="51">
        <f>HEX2DEC(RIGHT(Table1323212714[[#This Row],[h1]],8))</f>
        <v>0</v>
      </c>
      <c r="Q499" s="51" t="s">
        <v>149</v>
      </c>
      <c r="R499" s="51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1" t="s">
        <v>149</v>
      </c>
      <c r="P500" s="51">
        <f>HEX2DEC(RIGHT(Table1323212714[[#This Row],[h1]],8))</f>
        <v>0</v>
      </c>
      <c r="Q500" s="51" t="s">
        <v>149</v>
      </c>
      <c r="R500" s="51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1" t="s">
        <v>149</v>
      </c>
      <c r="P501" s="51">
        <f>HEX2DEC(RIGHT(Table1323212714[[#This Row],[h1]],8))</f>
        <v>0</v>
      </c>
      <c r="Q501" s="51" t="s">
        <v>149</v>
      </c>
      <c r="R501" s="51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1" t="s">
        <v>149</v>
      </c>
      <c r="P502" s="51">
        <f>HEX2DEC(RIGHT(Table1323212714[[#This Row],[h1]],8))</f>
        <v>0</v>
      </c>
      <c r="Q502" s="51" t="s">
        <v>149</v>
      </c>
      <c r="R502" s="51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1" t="s">
        <v>149</v>
      </c>
      <c r="P503" s="51">
        <f>HEX2DEC(RIGHT(Table1323212714[[#This Row],[h1]],8))</f>
        <v>0</v>
      </c>
      <c r="Q503" s="51" t="s">
        <v>149</v>
      </c>
      <c r="R503" s="51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1" t="s">
        <v>149</v>
      </c>
      <c r="P504" s="51">
        <f>HEX2DEC(RIGHT(Table1323212714[[#This Row],[h1]],8))</f>
        <v>0</v>
      </c>
      <c r="Q504" s="51" t="s">
        <v>149</v>
      </c>
      <c r="R504" s="51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1" t="s">
        <v>149</v>
      </c>
      <c r="P505" s="51">
        <f>HEX2DEC(RIGHT(Table1323212714[[#This Row],[h1]],8))</f>
        <v>0</v>
      </c>
      <c r="Q505" s="51" t="s">
        <v>149</v>
      </c>
      <c r="R505" s="51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1" t="s">
        <v>149</v>
      </c>
      <c r="P506" s="51">
        <f>HEX2DEC(RIGHT(Table1323212714[[#This Row],[h1]],8))</f>
        <v>0</v>
      </c>
      <c r="Q506" s="51" t="s">
        <v>149</v>
      </c>
      <c r="R506" s="51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1" t="s">
        <v>149</v>
      </c>
      <c r="P507" s="51">
        <f>HEX2DEC(RIGHT(Table1323212714[[#This Row],[h1]],8))</f>
        <v>0</v>
      </c>
      <c r="Q507" s="51" t="s">
        <v>149</v>
      </c>
      <c r="R507" s="51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1" t="s">
        <v>149</v>
      </c>
      <c r="P508" s="51">
        <f>HEX2DEC(RIGHT(Table1323212714[[#This Row],[h1]],8))</f>
        <v>0</v>
      </c>
      <c r="Q508" s="51" t="s">
        <v>149</v>
      </c>
      <c r="R508" s="51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1" t="s">
        <v>149</v>
      </c>
      <c r="P509" s="51">
        <f>HEX2DEC(RIGHT(Table1323212714[[#This Row],[h1]],8))</f>
        <v>0</v>
      </c>
      <c r="Q509" s="51" t="s">
        <v>149</v>
      </c>
      <c r="R509" s="51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1" t="s">
        <v>149</v>
      </c>
      <c r="P510" s="51">
        <f>HEX2DEC(RIGHT(Table1323212714[[#This Row],[h1]],8))</f>
        <v>0</v>
      </c>
      <c r="Q510" s="51" t="s">
        <v>149</v>
      </c>
      <c r="R510" s="51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1" t="s">
        <v>149</v>
      </c>
      <c r="P511" s="51">
        <f>HEX2DEC(RIGHT(Table1323212714[[#This Row],[h1]],8))</f>
        <v>0</v>
      </c>
      <c r="Q511" s="51" t="s">
        <v>149</v>
      </c>
      <c r="R511" s="51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1" t="s">
        <v>149</v>
      </c>
      <c r="P512" s="51">
        <f>HEX2DEC(RIGHT(Table1323212714[[#This Row],[h1]],8))</f>
        <v>0</v>
      </c>
      <c r="Q512" s="51" t="s">
        <v>149</v>
      </c>
      <c r="R512" s="51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1" t="s">
        <v>149</v>
      </c>
      <c r="P513" s="51">
        <f>HEX2DEC(RIGHT(Table1323212714[[#This Row],[h1]],8))</f>
        <v>0</v>
      </c>
      <c r="Q513" s="51" t="s">
        <v>149</v>
      </c>
      <c r="R513" s="51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1" t="s">
        <v>149</v>
      </c>
      <c r="P514" s="51">
        <f>HEX2DEC(RIGHT(Table1323212714[[#This Row],[h1]],8))</f>
        <v>0</v>
      </c>
      <c r="Q514" s="51" t="s">
        <v>149</v>
      </c>
      <c r="R514" s="51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1" t="s">
        <v>149</v>
      </c>
      <c r="P515" s="51">
        <f>HEX2DEC(RIGHT(Table1323212714[[#This Row],[h1]],8))</f>
        <v>0</v>
      </c>
      <c r="Q515" s="51" t="s">
        <v>149</v>
      </c>
      <c r="R515" s="51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1" t="s">
        <v>149</v>
      </c>
      <c r="P516" s="51">
        <f>HEX2DEC(RIGHT(Table1323212714[[#This Row],[h1]],8))</f>
        <v>0</v>
      </c>
      <c r="Q516" s="51" t="s">
        <v>149</v>
      </c>
      <c r="R516" s="51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1" t="s">
        <v>149</v>
      </c>
      <c r="P517" s="51">
        <f>HEX2DEC(RIGHT(Table1323212714[[#This Row],[h1]],8))</f>
        <v>0</v>
      </c>
      <c r="Q517" s="51" t="s">
        <v>149</v>
      </c>
      <c r="R517" s="51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1" t="s">
        <v>149</v>
      </c>
      <c r="P518" s="51">
        <f>HEX2DEC(RIGHT(Table1323212714[[#This Row],[h1]],8))</f>
        <v>0</v>
      </c>
      <c r="Q518" s="51" t="s">
        <v>149</v>
      </c>
      <c r="R518" s="51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1" t="s">
        <v>149</v>
      </c>
      <c r="P519" s="51">
        <f>HEX2DEC(RIGHT(Table1323212714[[#This Row],[h1]],8))</f>
        <v>0</v>
      </c>
      <c r="Q519" s="51" t="s">
        <v>149</v>
      </c>
      <c r="R519" s="51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1" t="s">
        <v>149</v>
      </c>
      <c r="P520" s="51">
        <f>HEX2DEC(RIGHT(Table1323212714[[#This Row],[h1]],8))</f>
        <v>0</v>
      </c>
      <c r="Q520" s="51" t="s">
        <v>149</v>
      </c>
      <c r="R520" s="51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1" t="s">
        <v>149</v>
      </c>
      <c r="P521" s="51">
        <f>HEX2DEC(RIGHT(Table1323212714[[#This Row],[h1]],8))</f>
        <v>0</v>
      </c>
      <c r="Q521" s="51" t="s">
        <v>149</v>
      </c>
      <c r="R521" s="51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1" t="s">
        <v>149</v>
      </c>
      <c r="P522" s="51">
        <f>HEX2DEC(RIGHT(Table1323212714[[#This Row],[h1]],8))</f>
        <v>0</v>
      </c>
      <c r="Q522" s="51" t="s">
        <v>149</v>
      </c>
      <c r="R522" s="51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1" t="s">
        <v>149</v>
      </c>
      <c r="P523" s="51">
        <f>HEX2DEC(RIGHT(Table1323212714[[#This Row],[h1]],8))</f>
        <v>0</v>
      </c>
      <c r="Q523" s="51" t="s">
        <v>149</v>
      </c>
      <c r="R523" s="51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1" t="s">
        <v>149</v>
      </c>
      <c r="P524" s="51">
        <f>HEX2DEC(RIGHT(Table1323212714[[#This Row],[h1]],8))</f>
        <v>0</v>
      </c>
      <c r="Q524" s="51" t="s">
        <v>149</v>
      </c>
      <c r="R524" s="51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1" t="s">
        <v>149</v>
      </c>
      <c r="P525" s="51">
        <f>HEX2DEC(RIGHT(Table1323212714[[#This Row],[h1]],8))</f>
        <v>0</v>
      </c>
      <c r="Q525" s="51" t="s">
        <v>149</v>
      </c>
      <c r="R525" s="51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1" t="s">
        <v>149</v>
      </c>
      <c r="P526" s="51">
        <f>HEX2DEC(RIGHT(Table1323212714[[#This Row],[h1]],8))</f>
        <v>0</v>
      </c>
      <c r="Q526" s="51" t="s">
        <v>149</v>
      </c>
      <c r="R526" s="51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1" t="s">
        <v>149</v>
      </c>
      <c r="P527" s="51">
        <f>HEX2DEC(RIGHT(Table1323212714[[#This Row],[h1]],8))</f>
        <v>0</v>
      </c>
      <c r="Q527" s="51" t="s">
        <v>149</v>
      </c>
      <c r="R527" s="51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1" t="s">
        <v>149</v>
      </c>
      <c r="P528" s="51">
        <f>HEX2DEC(RIGHT(Table1323212714[[#This Row],[h1]],8))</f>
        <v>0</v>
      </c>
      <c r="Q528" s="51" t="s">
        <v>149</v>
      </c>
      <c r="R528" s="51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1" t="s">
        <v>149</v>
      </c>
      <c r="P529" s="51">
        <f>HEX2DEC(RIGHT(Table1323212714[[#This Row],[h1]],8))</f>
        <v>0</v>
      </c>
      <c r="Q529" s="51" t="s">
        <v>149</v>
      </c>
      <c r="R529" s="51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1" t="s">
        <v>149</v>
      </c>
      <c r="P530" s="51">
        <f>HEX2DEC(RIGHT(Table1323212714[[#This Row],[h1]],8))</f>
        <v>0</v>
      </c>
      <c r="Q530" s="51" t="s">
        <v>149</v>
      </c>
      <c r="R530" s="51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1" t="s">
        <v>149</v>
      </c>
      <c r="P531" s="51">
        <f>HEX2DEC(RIGHT(Table1323212714[[#This Row],[h1]],8))</f>
        <v>0</v>
      </c>
      <c r="Q531" s="51" t="s">
        <v>149</v>
      </c>
      <c r="R531" s="51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1" t="s">
        <v>149</v>
      </c>
      <c r="P532" s="51">
        <f>HEX2DEC(RIGHT(Table1323212714[[#This Row],[h1]],8))</f>
        <v>0</v>
      </c>
      <c r="Q532" s="51" t="s">
        <v>149</v>
      </c>
      <c r="R532" s="51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1" t="s">
        <v>149</v>
      </c>
      <c r="P533" s="51">
        <f>HEX2DEC(RIGHT(Table1323212714[[#This Row],[h1]],8))</f>
        <v>0</v>
      </c>
      <c r="Q533" s="51" t="s">
        <v>149</v>
      </c>
      <c r="R533" s="51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1" t="s">
        <v>149</v>
      </c>
      <c r="P534" s="51">
        <f>HEX2DEC(RIGHT(Table1323212714[[#This Row],[h1]],8))</f>
        <v>0</v>
      </c>
      <c r="Q534" s="51" t="s">
        <v>149</v>
      </c>
      <c r="R534" s="51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1" t="s">
        <v>149</v>
      </c>
      <c r="P535" s="51">
        <f>HEX2DEC(RIGHT(Table1323212714[[#This Row],[h1]],8))</f>
        <v>0</v>
      </c>
      <c r="Q535" s="51" t="s">
        <v>149</v>
      </c>
      <c r="R535" s="51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1" t="s">
        <v>149</v>
      </c>
      <c r="P536" s="51">
        <f>HEX2DEC(RIGHT(Table1323212714[[#This Row],[h1]],8))</f>
        <v>0</v>
      </c>
      <c r="Q536" s="51" t="s">
        <v>149</v>
      </c>
      <c r="R536" s="51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1" t="s">
        <v>149</v>
      </c>
      <c r="P537" s="51">
        <f>HEX2DEC(RIGHT(Table1323212714[[#This Row],[h1]],8))</f>
        <v>0</v>
      </c>
      <c r="Q537" s="51" t="s">
        <v>149</v>
      </c>
      <c r="R537" s="51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1" t="s">
        <v>149</v>
      </c>
      <c r="P538" s="51">
        <f>HEX2DEC(RIGHT(Table1323212714[[#This Row],[h1]],8))</f>
        <v>0</v>
      </c>
      <c r="Q538" s="51" t="s">
        <v>149</v>
      </c>
      <c r="R538" s="51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1" t="s">
        <v>149</v>
      </c>
      <c r="P539" s="51">
        <f>HEX2DEC(RIGHT(Table1323212714[[#This Row],[h1]],8))</f>
        <v>0</v>
      </c>
      <c r="Q539" s="51" t="s">
        <v>149</v>
      </c>
      <c r="R539" s="51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1" t="s">
        <v>149</v>
      </c>
      <c r="P540" s="51">
        <f>HEX2DEC(RIGHT(Table1323212714[[#This Row],[h1]],8))</f>
        <v>0</v>
      </c>
      <c r="Q540" s="51" t="s">
        <v>149</v>
      </c>
      <c r="R540" s="51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1" t="s">
        <v>149</v>
      </c>
      <c r="P541" s="51">
        <f>HEX2DEC(RIGHT(Table1323212714[[#This Row],[h1]],8))</f>
        <v>0</v>
      </c>
      <c r="Q541" s="51" t="s">
        <v>149</v>
      </c>
      <c r="R541" s="51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1" t="s">
        <v>149</v>
      </c>
      <c r="P542" s="51">
        <f>HEX2DEC(RIGHT(Table1323212714[[#This Row],[h1]],8))</f>
        <v>0</v>
      </c>
      <c r="Q542" s="51" t="s">
        <v>149</v>
      </c>
      <c r="R542" s="51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1" t="s">
        <v>149</v>
      </c>
      <c r="P543" s="51">
        <f>HEX2DEC(RIGHT(Table1323212714[[#This Row],[h1]],8))</f>
        <v>0</v>
      </c>
      <c r="Q543" s="51" t="s">
        <v>149</v>
      </c>
      <c r="R543" s="51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1" t="s">
        <v>149</v>
      </c>
      <c r="P544" s="51">
        <f>HEX2DEC(RIGHT(Table1323212714[[#This Row],[h1]],8))</f>
        <v>0</v>
      </c>
      <c r="Q544" s="51" t="s">
        <v>149</v>
      </c>
      <c r="R544" s="51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1" t="s">
        <v>149</v>
      </c>
      <c r="P545" s="51">
        <f>HEX2DEC(RIGHT(Table1323212714[[#This Row],[h1]],8))</f>
        <v>0</v>
      </c>
      <c r="Q545" s="51" t="s">
        <v>149</v>
      </c>
      <c r="R545" s="51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1" t="s">
        <v>149</v>
      </c>
      <c r="P546" s="51">
        <f>HEX2DEC(RIGHT(Table1323212714[[#This Row],[h1]],8))</f>
        <v>0</v>
      </c>
      <c r="Q546" s="51" t="s">
        <v>149</v>
      </c>
      <c r="R546" s="51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1" t="s">
        <v>149</v>
      </c>
      <c r="P547" s="51">
        <f>HEX2DEC(RIGHT(Table1323212714[[#This Row],[h1]],8))</f>
        <v>0</v>
      </c>
      <c r="Q547" s="51" t="s">
        <v>149</v>
      </c>
      <c r="R547" s="51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1" t="s">
        <v>149</v>
      </c>
      <c r="P548" s="51">
        <f>HEX2DEC(RIGHT(Table1323212714[[#This Row],[h1]],8))</f>
        <v>0</v>
      </c>
      <c r="Q548" s="51" t="s">
        <v>149</v>
      </c>
      <c r="R548" s="51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1" t="s">
        <v>149</v>
      </c>
      <c r="P549" s="51">
        <f>HEX2DEC(RIGHT(Table1323212714[[#This Row],[h1]],8))</f>
        <v>0</v>
      </c>
      <c r="Q549" s="51" t="s">
        <v>149</v>
      </c>
      <c r="R549" s="51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1" t="s">
        <v>149</v>
      </c>
      <c r="P550" s="51">
        <f>HEX2DEC(RIGHT(Table1323212714[[#This Row],[h1]],8))</f>
        <v>0</v>
      </c>
      <c r="Q550" s="51" t="s">
        <v>149</v>
      </c>
      <c r="R550" s="51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1" t="s">
        <v>149</v>
      </c>
      <c r="P551" s="51">
        <f>HEX2DEC(RIGHT(Table1323212714[[#This Row],[h1]],8))</f>
        <v>0</v>
      </c>
      <c r="Q551" s="51" t="s">
        <v>149</v>
      </c>
      <c r="R551" s="51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1" t="s">
        <v>149</v>
      </c>
      <c r="P552" s="51">
        <f>HEX2DEC(RIGHT(Table1323212714[[#This Row],[h1]],8))</f>
        <v>0</v>
      </c>
      <c r="Q552" s="51" t="s">
        <v>149</v>
      </c>
      <c r="R552" s="51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1" t="s">
        <v>149</v>
      </c>
      <c r="P553" s="51">
        <f>HEX2DEC(RIGHT(Table1323212714[[#This Row],[h1]],8))</f>
        <v>0</v>
      </c>
      <c r="Q553" s="51" t="s">
        <v>149</v>
      </c>
      <c r="R553" s="51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1" t="s">
        <v>149</v>
      </c>
      <c r="P554" s="51">
        <f>HEX2DEC(RIGHT(Table1323212714[[#This Row],[h1]],8))</f>
        <v>0</v>
      </c>
      <c r="Q554" s="51" t="s">
        <v>149</v>
      </c>
      <c r="R554" s="51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1" t="s">
        <v>149</v>
      </c>
      <c r="P555" s="51">
        <f>HEX2DEC(RIGHT(Table1323212714[[#This Row],[h1]],8))</f>
        <v>0</v>
      </c>
      <c r="Q555" s="51" t="s">
        <v>149</v>
      </c>
      <c r="R555" s="51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1" t="s">
        <v>149</v>
      </c>
      <c r="P556" s="51">
        <f>HEX2DEC(RIGHT(Table1323212714[[#This Row],[h1]],8))</f>
        <v>0</v>
      </c>
      <c r="Q556" s="51" t="s">
        <v>149</v>
      </c>
      <c r="R556" s="51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1" t="s">
        <v>149</v>
      </c>
      <c r="P557" s="51">
        <f>HEX2DEC(RIGHT(Table1323212714[[#This Row],[h1]],8))</f>
        <v>0</v>
      </c>
      <c r="Q557" s="51" t="s">
        <v>149</v>
      </c>
      <c r="R557" s="51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1" t="s">
        <v>149</v>
      </c>
      <c r="P558" s="51">
        <f>HEX2DEC(RIGHT(Table1323212714[[#This Row],[h1]],8))</f>
        <v>0</v>
      </c>
      <c r="Q558" s="51" t="s">
        <v>149</v>
      </c>
      <c r="R558" s="51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1" t="s">
        <v>149</v>
      </c>
      <c r="P559" s="51">
        <f>HEX2DEC(RIGHT(Table1323212714[[#This Row],[h1]],8))</f>
        <v>0</v>
      </c>
      <c r="Q559" s="51" t="s">
        <v>149</v>
      </c>
      <c r="R559" s="51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1" t="s">
        <v>149</v>
      </c>
      <c r="P560" s="51">
        <f>HEX2DEC(RIGHT(Table1323212714[[#This Row],[h1]],8))</f>
        <v>0</v>
      </c>
      <c r="Q560" s="51" t="s">
        <v>149</v>
      </c>
      <c r="R560" s="51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1" t="s">
        <v>149</v>
      </c>
      <c r="P561" s="51">
        <f>HEX2DEC(RIGHT(Table1323212714[[#This Row],[h1]],8))</f>
        <v>0</v>
      </c>
      <c r="Q561" s="51" t="s">
        <v>149</v>
      </c>
      <c r="R561" s="51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1" t="s">
        <v>149</v>
      </c>
      <c r="P562" s="51">
        <f>HEX2DEC(RIGHT(Table1323212714[[#This Row],[h1]],8))</f>
        <v>0</v>
      </c>
      <c r="Q562" s="51" t="s">
        <v>149</v>
      </c>
      <c r="R562" s="51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1" t="s">
        <v>149</v>
      </c>
      <c r="P563" s="51">
        <f>HEX2DEC(RIGHT(Table1323212714[[#This Row],[h1]],8))</f>
        <v>0</v>
      </c>
      <c r="Q563" s="51" t="s">
        <v>149</v>
      </c>
      <c r="R563" s="51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1" t="s">
        <v>149</v>
      </c>
      <c r="P564" s="51">
        <f>HEX2DEC(RIGHT(Table1323212714[[#This Row],[h1]],8))</f>
        <v>0</v>
      </c>
      <c r="Q564" s="51" t="s">
        <v>149</v>
      </c>
      <c r="R564" s="51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1" t="s">
        <v>149</v>
      </c>
      <c r="P565" s="51">
        <f>HEX2DEC(RIGHT(Table1323212714[[#This Row],[h1]],8))</f>
        <v>0</v>
      </c>
      <c r="Q565" s="51" t="s">
        <v>149</v>
      </c>
      <c r="R565" s="51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1" t="s">
        <v>149</v>
      </c>
      <c r="P566" s="51">
        <f>HEX2DEC(RIGHT(Table1323212714[[#This Row],[h1]],8))</f>
        <v>0</v>
      </c>
      <c r="Q566" s="51" t="s">
        <v>149</v>
      </c>
      <c r="R566" s="51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1" t="s">
        <v>149</v>
      </c>
      <c r="P567" s="51">
        <f>HEX2DEC(RIGHT(Table1323212714[[#This Row],[h1]],8))</f>
        <v>0</v>
      </c>
      <c r="Q567" s="51" t="s">
        <v>149</v>
      </c>
      <c r="R567" s="51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1" t="s">
        <v>149</v>
      </c>
      <c r="P568" s="51">
        <f>HEX2DEC(RIGHT(Table1323212714[[#This Row],[h1]],8))</f>
        <v>0</v>
      </c>
      <c r="Q568" s="51" t="s">
        <v>149</v>
      </c>
      <c r="R568" s="51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1" t="s">
        <v>149</v>
      </c>
      <c r="P569" s="51">
        <f>HEX2DEC(RIGHT(Table1323212714[[#This Row],[h1]],8))</f>
        <v>0</v>
      </c>
      <c r="Q569" s="51" t="s">
        <v>149</v>
      </c>
      <c r="R569" s="51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1" t="s">
        <v>149</v>
      </c>
      <c r="P570" s="51">
        <f>HEX2DEC(RIGHT(Table1323212714[[#This Row],[h1]],8))</f>
        <v>0</v>
      </c>
      <c r="Q570" s="51" t="s">
        <v>149</v>
      </c>
      <c r="R570" s="51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1" t="s">
        <v>149</v>
      </c>
      <c r="P571" s="51">
        <f>HEX2DEC(RIGHT(Table1323212714[[#This Row],[h1]],8))</f>
        <v>0</v>
      </c>
      <c r="Q571" s="51" t="s">
        <v>149</v>
      </c>
      <c r="R571" s="51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1" t="s">
        <v>149</v>
      </c>
      <c r="P572" s="51">
        <f>HEX2DEC(RIGHT(Table1323212714[[#This Row],[h1]],8))</f>
        <v>0</v>
      </c>
      <c r="Q572" s="51" t="s">
        <v>149</v>
      </c>
      <c r="R572" s="51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1" t="s">
        <v>149</v>
      </c>
      <c r="P573" s="51">
        <f>HEX2DEC(RIGHT(Table1323212714[[#This Row],[h1]],8))</f>
        <v>0</v>
      </c>
      <c r="Q573" s="51" t="s">
        <v>149</v>
      </c>
      <c r="R573" s="51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1" t="s">
        <v>149</v>
      </c>
      <c r="P574" s="51">
        <f>HEX2DEC(RIGHT(Table1323212714[[#This Row],[h1]],8))</f>
        <v>0</v>
      </c>
      <c r="Q574" s="51" t="s">
        <v>149</v>
      </c>
      <c r="R574" s="51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1" t="s">
        <v>149</v>
      </c>
      <c r="P575" s="51">
        <f>HEX2DEC(RIGHT(Table1323212714[[#This Row],[h1]],8))</f>
        <v>0</v>
      </c>
      <c r="Q575" s="51" t="s">
        <v>149</v>
      </c>
      <c r="R575" s="51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1" t="s">
        <v>149</v>
      </c>
      <c r="P576" s="51">
        <f>HEX2DEC(RIGHT(Table1323212714[[#This Row],[h1]],8))</f>
        <v>0</v>
      </c>
      <c r="Q576" s="51" t="s">
        <v>149</v>
      </c>
      <c r="R576" s="51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1" t="s">
        <v>149</v>
      </c>
      <c r="P577" s="51">
        <f>HEX2DEC(RIGHT(Table1323212714[[#This Row],[h1]],8))</f>
        <v>0</v>
      </c>
      <c r="Q577" s="51" t="s">
        <v>149</v>
      </c>
      <c r="R577" s="51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1" t="s">
        <v>149</v>
      </c>
      <c r="P578" s="51">
        <f>HEX2DEC(RIGHT(Table1323212714[[#This Row],[h1]],8))</f>
        <v>0</v>
      </c>
      <c r="Q578" s="51" t="s">
        <v>149</v>
      </c>
      <c r="R578" s="51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1" t="s">
        <v>149</v>
      </c>
      <c r="P579" s="51">
        <f>HEX2DEC(RIGHT(Table1323212714[[#This Row],[h1]],8))</f>
        <v>0</v>
      </c>
      <c r="Q579" s="51" t="s">
        <v>149</v>
      </c>
      <c r="R579" s="51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1" t="s">
        <v>149</v>
      </c>
      <c r="P580" s="51">
        <f>HEX2DEC(RIGHT(Table1323212714[[#This Row],[h1]],8))</f>
        <v>0</v>
      </c>
      <c r="Q580" s="51" t="s">
        <v>149</v>
      </c>
      <c r="R580" s="51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1" t="s">
        <v>149</v>
      </c>
      <c r="P581" s="51">
        <f>HEX2DEC(RIGHT(Table1323212714[[#This Row],[h1]],8))</f>
        <v>0</v>
      </c>
      <c r="Q581" s="51" t="s">
        <v>149</v>
      </c>
      <c r="R581" s="51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1" t="s">
        <v>149</v>
      </c>
      <c r="P582" s="51">
        <f>HEX2DEC(RIGHT(Table1323212714[[#This Row],[h1]],8))</f>
        <v>0</v>
      </c>
      <c r="Q582" s="51" t="s">
        <v>149</v>
      </c>
      <c r="R582" s="51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1" t="s">
        <v>149</v>
      </c>
      <c r="P583" s="51">
        <f>HEX2DEC(RIGHT(Table1323212714[[#This Row],[h1]],8))</f>
        <v>0</v>
      </c>
      <c r="Q583" s="51" t="s">
        <v>149</v>
      </c>
      <c r="R583" s="51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1" t="s">
        <v>149</v>
      </c>
      <c r="P584" s="51">
        <f>HEX2DEC(RIGHT(Table1323212714[[#This Row],[h1]],8))</f>
        <v>0</v>
      </c>
      <c r="Q584" s="51" t="s">
        <v>149</v>
      </c>
      <c r="R584" s="51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1" t="s">
        <v>149</v>
      </c>
      <c r="P585" s="51">
        <f>HEX2DEC(RIGHT(Table1323212714[[#This Row],[h1]],8))</f>
        <v>0</v>
      </c>
      <c r="Q585" s="51" t="s">
        <v>149</v>
      </c>
      <c r="R585" s="51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1" t="s">
        <v>149</v>
      </c>
      <c r="P586" s="51">
        <f>HEX2DEC(RIGHT(Table1323212714[[#This Row],[h1]],8))</f>
        <v>0</v>
      </c>
      <c r="Q586" s="51" t="s">
        <v>149</v>
      </c>
      <c r="R586" s="51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1" t="s">
        <v>149</v>
      </c>
      <c r="P587" s="51">
        <f>HEX2DEC(RIGHT(Table1323212714[[#This Row],[h1]],8))</f>
        <v>0</v>
      </c>
      <c r="Q587" s="51" t="s">
        <v>149</v>
      </c>
      <c r="R587" s="51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1" t="s">
        <v>149</v>
      </c>
      <c r="P588" s="51">
        <f>HEX2DEC(RIGHT(Table1323212714[[#This Row],[h1]],8))</f>
        <v>0</v>
      </c>
      <c r="Q588" s="51" t="s">
        <v>149</v>
      </c>
      <c r="R588" s="51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1" t="s">
        <v>149</v>
      </c>
      <c r="P589" s="51">
        <f>HEX2DEC(RIGHT(Table1323212714[[#This Row],[h1]],8))</f>
        <v>0</v>
      </c>
      <c r="Q589" s="51" t="s">
        <v>149</v>
      </c>
      <c r="R589" s="51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1" t="s">
        <v>149</v>
      </c>
      <c r="P590" s="51">
        <f>HEX2DEC(RIGHT(Table1323212714[[#This Row],[h1]],8))</f>
        <v>0</v>
      </c>
      <c r="Q590" s="51" t="s">
        <v>149</v>
      </c>
      <c r="R590" s="51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1" t="s">
        <v>149</v>
      </c>
      <c r="P591" s="51">
        <f>HEX2DEC(RIGHT(Table1323212714[[#This Row],[h1]],8))</f>
        <v>0</v>
      </c>
      <c r="Q591" s="51" t="s">
        <v>149</v>
      </c>
      <c r="R591" s="51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1" t="s">
        <v>149</v>
      </c>
      <c r="P592" s="51">
        <f>HEX2DEC(RIGHT(Table1323212714[[#This Row],[h1]],8))</f>
        <v>0</v>
      </c>
      <c r="Q592" s="51" t="s">
        <v>149</v>
      </c>
      <c r="R592" s="51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1" t="s">
        <v>149</v>
      </c>
      <c r="P593" s="51">
        <f>HEX2DEC(RIGHT(Table1323212714[[#This Row],[h1]],8))</f>
        <v>0</v>
      </c>
      <c r="Q593" s="51" t="s">
        <v>149</v>
      </c>
      <c r="R593" s="51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1" t="s">
        <v>149</v>
      </c>
      <c r="P594" s="51">
        <f>HEX2DEC(RIGHT(Table1323212714[[#This Row],[h1]],8))</f>
        <v>0</v>
      </c>
      <c r="Q594" s="51" t="s">
        <v>149</v>
      </c>
      <c r="R594" s="51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1" t="s">
        <v>149</v>
      </c>
      <c r="P595" s="51">
        <f>HEX2DEC(RIGHT(Table1323212714[[#This Row],[h1]],8))</f>
        <v>0</v>
      </c>
      <c r="Q595" s="51" t="s">
        <v>149</v>
      </c>
      <c r="R595" s="51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1" t="s">
        <v>149</v>
      </c>
      <c r="P596" s="51">
        <f>HEX2DEC(RIGHT(Table1323212714[[#This Row],[h1]],8))</f>
        <v>0</v>
      </c>
      <c r="Q596" s="51" t="s">
        <v>149</v>
      </c>
      <c r="R596" s="51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1" t="s">
        <v>149</v>
      </c>
      <c r="P597" s="51">
        <f>HEX2DEC(RIGHT(Table1323212714[[#This Row],[h1]],8))</f>
        <v>0</v>
      </c>
      <c r="Q597" s="51" t="s">
        <v>149</v>
      </c>
      <c r="R597" s="51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1" t="s">
        <v>149</v>
      </c>
      <c r="P598" s="51">
        <f>HEX2DEC(RIGHT(Table1323212714[[#This Row],[h1]],8))</f>
        <v>0</v>
      </c>
      <c r="Q598" s="51" t="s">
        <v>149</v>
      </c>
      <c r="R598" s="51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1" t="s">
        <v>149</v>
      </c>
      <c r="P599" s="51">
        <f>HEX2DEC(RIGHT(Table1323212714[[#This Row],[h1]],8))</f>
        <v>0</v>
      </c>
      <c r="Q599" s="51" t="s">
        <v>149</v>
      </c>
      <c r="R599" s="51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1" t="s">
        <v>149</v>
      </c>
      <c r="P600" s="51">
        <f>HEX2DEC(RIGHT(Table1323212714[[#This Row],[h1]],8))</f>
        <v>0</v>
      </c>
      <c r="Q600" s="51" t="s">
        <v>149</v>
      </c>
      <c r="R600" s="51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1" t="s">
        <v>149</v>
      </c>
      <c r="P601" s="51">
        <f>HEX2DEC(RIGHT(Table1323212714[[#This Row],[h1]],8))</f>
        <v>0</v>
      </c>
      <c r="Q601" s="51" t="s">
        <v>149</v>
      </c>
      <c r="R601" s="51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1" t="s">
        <v>149</v>
      </c>
      <c r="P602" s="51">
        <f>HEX2DEC(RIGHT(Table1323212714[[#This Row],[h1]],8))</f>
        <v>0</v>
      </c>
      <c r="Q602" s="51" t="s">
        <v>149</v>
      </c>
      <c r="R602" s="51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1" t="s">
        <v>149</v>
      </c>
      <c r="P603" s="51">
        <f>HEX2DEC(RIGHT(Table1323212714[[#This Row],[h1]],8))</f>
        <v>0</v>
      </c>
      <c r="Q603" s="51" t="s">
        <v>149</v>
      </c>
      <c r="R603" s="51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1" t="s">
        <v>149</v>
      </c>
      <c r="P604" s="51">
        <f>HEX2DEC(RIGHT(Table1323212714[[#This Row],[h1]],8))</f>
        <v>0</v>
      </c>
      <c r="Q604" s="51" t="s">
        <v>149</v>
      </c>
      <c r="R604" s="51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1" t="s">
        <v>149</v>
      </c>
      <c r="P605" s="51">
        <f>HEX2DEC(RIGHT(Table1323212714[[#This Row],[h1]],8))</f>
        <v>0</v>
      </c>
      <c r="Q605" s="51" t="s">
        <v>149</v>
      </c>
      <c r="R605" s="51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1" t="s">
        <v>149</v>
      </c>
      <c r="P606" s="51">
        <f>HEX2DEC(RIGHT(Table1323212714[[#This Row],[h1]],8))</f>
        <v>0</v>
      </c>
      <c r="Q606" s="51" t="s">
        <v>149</v>
      </c>
      <c r="R606" s="51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1" t="s">
        <v>149</v>
      </c>
      <c r="P607" s="51">
        <f>HEX2DEC(RIGHT(Table1323212714[[#This Row],[h1]],8))</f>
        <v>0</v>
      </c>
      <c r="Q607" s="51" t="s">
        <v>149</v>
      </c>
      <c r="R607" s="51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1" t="s">
        <v>149</v>
      </c>
      <c r="P608" s="51">
        <f>HEX2DEC(RIGHT(Table1323212714[[#This Row],[h1]],8))</f>
        <v>0</v>
      </c>
      <c r="Q608" s="51" t="s">
        <v>149</v>
      </c>
      <c r="R608" s="51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1" t="s">
        <v>149</v>
      </c>
      <c r="P609" s="51">
        <f>HEX2DEC(RIGHT(Table1323212714[[#This Row],[h1]],8))</f>
        <v>0</v>
      </c>
      <c r="Q609" s="51" t="s">
        <v>149</v>
      </c>
      <c r="R609" s="51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1" t="s">
        <v>149</v>
      </c>
      <c r="P610" s="51">
        <f>HEX2DEC(RIGHT(Table1323212714[[#This Row],[h1]],8))</f>
        <v>0</v>
      </c>
      <c r="Q610" s="51" t="s">
        <v>149</v>
      </c>
      <c r="R610" s="51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1" t="s">
        <v>149</v>
      </c>
      <c r="P611" s="51">
        <f>HEX2DEC(RIGHT(Table1323212714[[#This Row],[h1]],8))</f>
        <v>0</v>
      </c>
      <c r="Q611" s="51" t="s">
        <v>149</v>
      </c>
      <c r="R611" s="51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1" t="s">
        <v>149</v>
      </c>
      <c r="P612" s="51">
        <f>HEX2DEC(RIGHT(Table1323212714[[#This Row],[h1]],8))</f>
        <v>0</v>
      </c>
      <c r="Q612" s="51" t="s">
        <v>149</v>
      </c>
      <c r="R612" s="51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1" t="s">
        <v>149</v>
      </c>
      <c r="P613" s="51">
        <f>HEX2DEC(RIGHT(Table1323212714[[#This Row],[h1]],8))</f>
        <v>0</v>
      </c>
      <c r="Q613" s="51" t="s">
        <v>149</v>
      </c>
      <c r="R613" s="51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1" t="s">
        <v>149</v>
      </c>
      <c r="P614" s="51">
        <f>HEX2DEC(RIGHT(Table1323212714[[#This Row],[h1]],8))</f>
        <v>0</v>
      </c>
      <c r="Q614" s="51" t="s">
        <v>149</v>
      </c>
      <c r="R614" s="51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1" t="s">
        <v>149</v>
      </c>
      <c r="P615" s="51">
        <f>HEX2DEC(RIGHT(Table1323212714[[#This Row],[h1]],8))</f>
        <v>0</v>
      </c>
      <c r="Q615" s="51" t="s">
        <v>149</v>
      </c>
      <c r="R615" s="51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1" t="s">
        <v>149</v>
      </c>
      <c r="P616" s="51">
        <f>HEX2DEC(RIGHT(Table1323212714[[#This Row],[h1]],8))</f>
        <v>0</v>
      </c>
      <c r="Q616" s="51" t="s">
        <v>149</v>
      </c>
      <c r="R616" s="51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1" t="s">
        <v>149</v>
      </c>
      <c r="P617" s="51">
        <f>HEX2DEC(RIGHT(Table1323212714[[#This Row],[h1]],8))</f>
        <v>0</v>
      </c>
      <c r="Q617" s="51" t="s">
        <v>149</v>
      </c>
      <c r="R617" s="51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1" t="s">
        <v>149</v>
      </c>
      <c r="P618" s="51">
        <f>HEX2DEC(RIGHT(Table1323212714[[#This Row],[h1]],8))</f>
        <v>0</v>
      </c>
      <c r="Q618" s="51" t="s">
        <v>149</v>
      </c>
      <c r="R618" s="51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1" t="s">
        <v>149</v>
      </c>
      <c r="P619" s="51">
        <f>HEX2DEC(RIGHT(Table1323212714[[#This Row],[h1]],8))</f>
        <v>0</v>
      </c>
      <c r="Q619" s="51" t="s">
        <v>149</v>
      </c>
      <c r="R619" s="51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1" t="s">
        <v>149</v>
      </c>
      <c r="P620" s="51">
        <f>HEX2DEC(RIGHT(Table1323212714[[#This Row],[h1]],8))</f>
        <v>0</v>
      </c>
      <c r="Q620" s="51" t="s">
        <v>149</v>
      </c>
      <c r="R620" s="51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1" t="s">
        <v>149</v>
      </c>
      <c r="P621" s="51">
        <f>HEX2DEC(RIGHT(Table1323212714[[#This Row],[h1]],8))</f>
        <v>0</v>
      </c>
      <c r="Q621" s="51" t="s">
        <v>149</v>
      </c>
      <c r="R621" s="51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1" t="s">
        <v>149</v>
      </c>
      <c r="P622" s="51">
        <f>HEX2DEC(RIGHT(Table1323212714[[#This Row],[h1]],8))</f>
        <v>0</v>
      </c>
      <c r="Q622" s="51" t="s">
        <v>149</v>
      </c>
      <c r="R622" s="51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1" t="s">
        <v>149</v>
      </c>
      <c r="P623" s="51">
        <f>HEX2DEC(RIGHT(Table1323212714[[#This Row],[h1]],8))</f>
        <v>0</v>
      </c>
      <c r="Q623" s="51" t="s">
        <v>149</v>
      </c>
      <c r="R623" s="51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1" t="s">
        <v>149</v>
      </c>
      <c r="P624" s="51">
        <f>HEX2DEC(RIGHT(Table1323212714[[#This Row],[h1]],8))</f>
        <v>0</v>
      </c>
      <c r="Q624" s="51" t="s">
        <v>149</v>
      </c>
      <c r="R624" s="51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1" t="s">
        <v>149</v>
      </c>
      <c r="P625" s="51">
        <f>HEX2DEC(RIGHT(Table1323212714[[#This Row],[h1]],8))</f>
        <v>0</v>
      </c>
      <c r="Q625" s="51" t="s">
        <v>149</v>
      </c>
      <c r="R625" s="51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1" t="s">
        <v>149</v>
      </c>
      <c r="P626" s="51">
        <f>HEX2DEC(RIGHT(Table1323212714[[#This Row],[h1]],8))</f>
        <v>0</v>
      </c>
      <c r="Q626" s="51" t="s">
        <v>149</v>
      </c>
      <c r="R626" s="51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1" t="s">
        <v>149</v>
      </c>
      <c r="P627" s="51">
        <f>HEX2DEC(RIGHT(Table1323212714[[#This Row],[h1]],8))</f>
        <v>0</v>
      </c>
      <c r="Q627" s="51" t="s">
        <v>149</v>
      </c>
      <c r="R627" s="51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1" t="s">
        <v>149</v>
      </c>
      <c r="P628" s="51">
        <f>HEX2DEC(RIGHT(Table1323212714[[#This Row],[h1]],8))</f>
        <v>0</v>
      </c>
      <c r="Q628" s="51" t="s">
        <v>149</v>
      </c>
      <c r="R628" s="51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1" t="s">
        <v>149</v>
      </c>
      <c r="P629" s="51">
        <f>HEX2DEC(RIGHT(Table1323212714[[#This Row],[h1]],8))</f>
        <v>0</v>
      </c>
      <c r="Q629" s="51" t="s">
        <v>149</v>
      </c>
      <c r="R629" s="51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1" t="s">
        <v>149</v>
      </c>
      <c r="P630" s="51">
        <f>HEX2DEC(RIGHT(Table1323212714[[#This Row],[h1]],8))</f>
        <v>0</v>
      </c>
      <c r="Q630" s="51" t="s">
        <v>149</v>
      </c>
      <c r="R630" s="51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1" t="s">
        <v>149</v>
      </c>
      <c r="P631" s="51">
        <f>HEX2DEC(RIGHT(Table1323212714[[#This Row],[h1]],8))</f>
        <v>0</v>
      </c>
      <c r="Q631" s="51" t="s">
        <v>149</v>
      </c>
      <c r="R631" s="51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1" t="s">
        <v>149</v>
      </c>
      <c r="P632" s="51">
        <f>HEX2DEC(RIGHT(Table1323212714[[#This Row],[h1]],8))</f>
        <v>0</v>
      </c>
      <c r="Q632" s="51" t="s">
        <v>149</v>
      </c>
      <c r="R632" s="51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1" t="s">
        <v>149</v>
      </c>
      <c r="P633" s="51">
        <f>HEX2DEC(RIGHT(Table1323212714[[#This Row],[h1]],8))</f>
        <v>0</v>
      </c>
      <c r="Q633" s="51" t="s">
        <v>149</v>
      </c>
      <c r="R633" s="51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1" t="s">
        <v>149</v>
      </c>
      <c r="P634" s="51">
        <f>HEX2DEC(RIGHT(Table1323212714[[#This Row],[h1]],8))</f>
        <v>0</v>
      </c>
      <c r="Q634" s="51" t="s">
        <v>149</v>
      </c>
      <c r="R634" s="51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1" t="s">
        <v>149</v>
      </c>
      <c r="P635" s="51">
        <f>HEX2DEC(RIGHT(Table1323212714[[#This Row],[h1]],8))</f>
        <v>0</v>
      </c>
      <c r="Q635" s="51" t="s">
        <v>149</v>
      </c>
      <c r="R635" s="51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1" t="s">
        <v>149</v>
      </c>
      <c r="P636" s="51">
        <f>HEX2DEC(RIGHT(Table1323212714[[#This Row],[h1]],8))</f>
        <v>0</v>
      </c>
      <c r="Q636" s="51" t="s">
        <v>149</v>
      </c>
      <c r="R636" s="51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1" t="s">
        <v>149</v>
      </c>
      <c r="P637" s="51">
        <f>HEX2DEC(RIGHT(Table1323212714[[#This Row],[h1]],8))</f>
        <v>0</v>
      </c>
      <c r="Q637" s="51" t="s">
        <v>149</v>
      </c>
      <c r="R637" s="51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1" t="s">
        <v>149</v>
      </c>
      <c r="P638" s="51">
        <f>HEX2DEC(RIGHT(Table1323212714[[#This Row],[h1]],8))</f>
        <v>0</v>
      </c>
      <c r="Q638" s="51" t="s">
        <v>149</v>
      </c>
      <c r="R638" s="51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1" t="s">
        <v>149</v>
      </c>
      <c r="P639" s="51">
        <f>HEX2DEC(RIGHT(Table1323212714[[#This Row],[h1]],8))</f>
        <v>0</v>
      </c>
      <c r="Q639" s="51" t="s">
        <v>149</v>
      </c>
      <c r="R639" s="51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1" t="s">
        <v>149</v>
      </c>
      <c r="P640" s="51">
        <f>HEX2DEC(RIGHT(Table1323212714[[#This Row],[h1]],8))</f>
        <v>0</v>
      </c>
      <c r="Q640" s="51" t="s">
        <v>149</v>
      </c>
      <c r="R640" s="51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1" t="s">
        <v>149</v>
      </c>
      <c r="P641" s="51">
        <f>HEX2DEC(RIGHT(Table1323212714[[#This Row],[h1]],8))</f>
        <v>0</v>
      </c>
      <c r="Q641" s="51" t="s">
        <v>149</v>
      </c>
      <c r="R641" s="51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1" t="s">
        <v>149</v>
      </c>
      <c r="P642" s="51">
        <f>HEX2DEC(RIGHT(Table1323212714[[#This Row],[h1]],8))</f>
        <v>0</v>
      </c>
      <c r="Q642" s="51" t="s">
        <v>149</v>
      </c>
      <c r="R642" s="51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1" t="s">
        <v>149</v>
      </c>
      <c r="P643" s="51">
        <f>HEX2DEC(RIGHT(Table1323212714[[#This Row],[h1]],8))</f>
        <v>0</v>
      </c>
      <c r="Q643" s="51" t="s">
        <v>149</v>
      </c>
      <c r="R643" s="51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1" t="s">
        <v>149</v>
      </c>
      <c r="P644" s="51">
        <f>HEX2DEC(RIGHT(Table1323212714[[#This Row],[h1]],8))</f>
        <v>0</v>
      </c>
      <c r="Q644" s="51" t="s">
        <v>149</v>
      </c>
      <c r="R644" s="51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1" t="s">
        <v>149</v>
      </c>
      <c r="P645" s="51">
        <f>HEX2DEC(RIGHT(Table1323212714[[#This Row],[h1]],8))</f>
        <v>0</v>
      </c>
      <c r="Q645" s="51" t="s">
        <v>149</v>
      </c>
      <c r="R645" s="51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1" t="s">
        <v>149</v>
      </c>
      <c r="P646" s="51">
        <f>HEX2DEC(RIGHT(Table1323212714[[#This Row],[h1]],8))</f>
        <v>0</v>
      </c>
      <c r="Q646" s="51" t="s">
        <v>149</v>
      </c>
      <c r="R646" s="51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1" t="s">
        <v>149</v>
      </c>
      <c r="P647" s="51">
        <f>HEX2DEC(RIGHT(Table1323212714[[#This Row],[h1]],8))</f>
        <v>0</v>
      </c>
      <c r="Q647" s="51" t="s">
        <v>149</v>
      </c>
      <c r="R647" s="51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1" t="s">
        <v>149</v>
      </c>
      <c r="P648" s="51">
        <f>HEX2DEC(RIGHT(Table1323212714[[#This Row],[h1]],8))</f>
        <v>0</v>
      </c>
      <c r="Q648" s="51" t="s">
        <v>149</v>
      </c>
      <c r="R648" s="51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1" t="s">
        <v>149</v>
      </c>
      <c r="P649" s="51">
        <f>HEX2DEC(RIGHT(Table1323212714[[#This Row],[h1]],8))</f>
        <v>0</v>
      </c>
      <c r="Q649" s="51" t="s">
        <v>149</v>
      </c>
      <c r="R649" s="51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1" t="s">
        <v>149</v>
      </c>
      <c r="P650" s="51">
        <f>HEX2DEC(RIGHT(Table1323212714[[#This Row],[h1]],8))</f>
        <v>0</v>
      </c>
      <c r="Q650" s="51" t="s">
        <v>149</v>
      </c>
      <c r="R650" s="51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1" t="s">
        <v>149</v>
      </c>
      <c r="P651" s="51">
        <f>HEX2DEC(RIGHT(Table1323212714[[#This Row],[h1]],8))</f>
        <v>0</v>
      </c>
      <c r="Q651" s="51" t="s">
        <v>149</v>
      </c>
      <c r="R651" s="51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1" t="s">
        <v>149</v>
      </c>
      <c r="P652" s="51">
        <f>HEX2DEC(RIGHT(Table1323212714[[#This Row],[h1]],8))</f>
        <v>0</v>
      </c>
      <c r="Q652" s="51" t="s">
        <v>149</v>
      </c>
      <c r="R652" s="51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1" t="s">
        <v>149</v>
      </c>
      <c r="P653" s="51">
        <f>HEX2DEC(RIGHT(Table1323212714[[#This Row],[h1]],8))</f>
        <v>0</v>
      </c>
      <c r="Q653" s="51" t="s">
        <v>149</v>
      </c>
      <c r="R653" s="51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1" t="s">
        <v>149</v>
      </c>
      <c r="P654" s="51">
        <f>HEX2DEC(RIGHT(Table1323212714[[#This Row],[h1]],8))</f>
        <v>0</v>
      </c>
      <c r="Q654" s="51" t="s">
        <v>149</v>
      </c>
      <c r="R654" s="51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1" t="s">
        <v>149</v>
      </c>
      <c r="P655" s="51">
        <f>HEX2DEC(RIGHT(Table1323212714[[#This Row],[h1]],8))</f>
        <v>0</v>
      </c>
      <c r="Q655" s="51" t="s">
        <v>149</v>
      </c>
      <c r="R655" s="51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1" t="s">
        <v>149</v>
      </c>
      <c r="P656" s="51">
        <f>HEX2DEC(RIGHT(Table1323212714[[#This Row],[h1]],8))</f>
        <v>0</v>
      </c>
      <c r="Q656" s="51" t="s">
        <v>149</v>
      </c>
      <c r="R656" s="51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1" t="s">
        <v>149</v>
      </c>
      <c r="P657" s="51">
        <f>HEX2DEC(RIGHT(Table1323212714[[#This Row],[h1]],8))</f>
        <v>0</v>
      </c>
      <c r="Q657" s="51" t="s">
        <v>149</v>
      </c>
      <c r="R657" s="51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1" t="s">
        <v>149</v>
      </c>
      <c r="P658" s="51">
        <f>HEX2DEC(RIGHT(Table1323212714[[#This Row],[h1]],8))</f>
        <v>0</v>
      </c>
      <c r="Q658" s="51" t="s">
        <v>149</v>
      </c>
      <c r="R658" s="51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1" t="s">
        <v>149</v>
      </c>
      <c r="P659" s="51">
        <f>HEX2DEC(RIGHT(Table1323212714[[#This Row],[h1]],8))</f>
        <v>0</v>
      </c>
      <c r="Q659" s="51" t="s">
        <v>149</v>
      </c>
      <c r="R659" s="51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1" t="s">
        <v>149</v>
      </c>
      <c r="P660" s="51">
        <f>HEX2DEC(RIGHT(Table1323212714[[#This Row],[h1]],8))</f>
        <v>0</v>
      </c>
      <c r="Q660" s="51" t="s">
        <v>149</v>
      </c>
      <c r="R660" s="51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1" t="s">
        <v>149</v>
      </c>
      <c r="P661" s="51">
        <f>HEX2DEC(RIGHT(Table1323212714[[#This Row],[h1]],8))</f>
        <v>0</v>
      </c>
      <c r="Q661" s="51" t="s">
        <v>149</v>
      </c>
      <c r="R661" s="51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1" t="s">
        <v>149</v>
      </c>
      <c r="P662" s="51">
        <f>HEX2DEC(RIGHT(Table1323212714[[#This Row],[h1]],8))</f>
        <v>0</v>
      </c>
      <c r="Q662" s="51" t="s">
        <v>149</v>
      </c>
      <c r="R662" s="51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1" t="s">
        <v>149</v>
      </c>
      <c r="P663" s="51">
        <f>HEX2DEC(RIGHT(Table1323212714[[#This Row],[h1]],8))</f>
        <v>0</v>
      </c>
      <c r="Q663" s="51" t="s">
        <v>149</v>
      </c>
      <c r="R663" s="51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1" t="s">
        <v>149</v>
      </c>
      <c r="P664" s="51">
        <f>HEX2DEC(RIGHT(Table1323212714[[#This Row],[h1]],8))</f>
        <v>0</v>
      </c>
      <c r="Q664" s="51" t="s">
        <v>149</v>
      </c>
      <c r="R664" s="51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1" t="s">
        <v>149</v>
      </c>
      <c r="P665" s="51">
        <f>HEX2DEC(RIGHT(Table1323212714[[#This Row],[h1]],8))</f>
        <v>0</v>
      </c>
      <c r="Q665" s="51" t="s">
        <v>149</v>
      </c>
      <c r="R665" s="51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1" t="s">
        <v>149</v>
      </c>
      <c r="P666" s="51">
        <f>HEX2DEC(RIGHT(Table1323212714[[#This Row],[h1]],8))</f>
        <v>0</v>
      </c>
      <c r="Q666" s="51" t="s">
        <v>149</v>
      </c>
      <c r="R666" s="51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1" t="s">
        <v>149</v>
      </c>
      <c r="P667" s="51">
        <f>HEX2DEC(RIGHT(Table1323212714[[#This Row],[h1]],8))</f>
        <v>0</v>
      </c>
      <c r="Q667" s="51" t="s">
        <v>149</v>
      </c>
      <c r="R667" s="51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1" t="s">
        <v>149</v>
      </c>
      <c r="P668" s="51">
        <f>HEX2DEC(RIGHT(Table1323212714[[#This Row],[h1]],8))</f>
        <v>0</v>
      </c>
      <c r="Q668" s="51" t="s">
        <v>149</v>
      </c>
      <c r="R668" s="51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1" t="s">
        <v>149</v>
      </c>
      <c r="P669" s="51">
        <f>HEX2DEC(RIGHT(Table1323212714[[#This Row],[h1]],8))</f>
        <v>0</v>
      </c>
      <c r="Q669" s="51" t="s">
        <v>149</v>
      </c>
      <c r="R669" s="51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1" t="s">
        <v>149</v>
      </c>
      <c r="P670" s="51">
        <f>HEX2DEC(RIGHT(Table1323212714[[#This Row],[h1]],8))</f>
        <v>0</v>
      </c>
      <c r="Q670" s="51" t="s">
        <v>149</v>
      </c>
      <c r="R670" s="51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1" t="s">
        <v>149</v>
      </c>
      <c r="P671" s="51">
        <f>HEX2DEC(RIGHT(Table1323212714[[#This Row],[h1]],8))</f>
        <v>0</v>
      </c>
      <c r="Q671" s="51" t="s">
        <v>149</v>
      </c>
      <c r="R671" s="51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1" t="s">
        <v>149</v>
      </c>
      <c r="P672" s="51">
        <f>HEX2DEC(RIGHT(Table1323212714[[#This Row],[h1]],8))</f>
        <v>0</v>
      </c>
      <c r="Q672" s="51" t="s">
        <v>149</v>
      </c>
      <c r="R672" s="51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1" t="s">
        <v>149</v>
      </c>
      <c r="P673" s="51">
        <f>HEX2DEC(RIGHT(Table1323212714[[#This Row],[h1]],8))</f>
        <v>0</v>
      </c>
      <c r="Q673" s="51" t="s">
        <v>149</v>
      </c>
      <c r="R673" s="51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1" t="s">
        <v>149</v>
      </c>
      <c r="P674" s="51">
        <f>HEX2DEC(RIGHT(Table1323212714[[#This Row],[h1]],8))</f>
        <v>0</v>
      </c>
      <c r="Q674" s="51" t="s">
        <v>149</v>
      </c>
      <c r="R674" s="51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1" t="s">
        <v>149</v>
      </c>
      <c r="P675" s="51">
        <f>HEX2DEC(RIGHT(Table1323212714[[#This Row],[h1]],8))</f>
        <v>0</v>
      </c>
      <c r="Q675" s="51" t="s">
        <v>149</v>
      </c>
      <c r="R675" s="51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1" t="s">
        <v>149</v>
      </c>
      <c r="P676" s="51">
        <f>HEX2DEC(RIGHT(Table1323212714[[#This Row],[h1]],8))</f>
        <v>0</v>
      </c>
      <c r="Q676" s="51" t="s">
        <v>149</v>
      </c>
      <c r="R676" s="51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1" t="s">
        <v>149</v>
      </c>
      <c r="P677" s="51">
        <f>HEX2DEC(RIGHT(Table1323212714[[#This Row],[h1]],8))</f>
        <v>0</v>
      </c>
      <c r="Q677" s="51" t="s">
        <v>149</v>
      </c>
      <c r="R677" s="51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1" t="s">
        <v>149</v>
      </c>
      <c r="P678" s="51">
        <f>HEX2DEC(RIGHT(Table1323212714[[#This Row],[h1]],8))</f>
        <v>0</v>
      </c>
      <c r="Q678" s="51" t="s">
        <v>149</v>
      </c>
      <c r="R678" s="51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1" t="s">
        <v>149</v>
      </c>
      <c r="P679" s="51">
        <f>HEX2DEC(RIGHT(Table1323212714[[#This Row],[h1]],8))</f>
        <v>0</v>
      </c>
      <c r="Q679" s="51" t="s">
        <v>149</v>
      </c>
      <c r="R679" s="51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1" t="s">
        <v>149</v>
      </c>
      <c r="P680" s="51">
        <f>HEX2DEC(RIGHT(Table1323212714[[#This Row],[h1]],8))</f>
        <v>0</v>
      </c>
      <c r="Q680" s="51" t="s">
        <v>149</v>
      </c>
      <c r="R680" s="51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1" t="s">
        <v>149</v>
      </c>
      <c r="P681" s="51">
        <f>HEX2DEC(RIGHT(Table1323212714[[#This Row],[h1]],8))</f>
        <v>0</v>
      </c>
      <c r="Q681" s="51" t="s">
        <v>149</v>
      </c>
      <c r="R681" s="51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1" t="s">
        <v>149</v>
      </c>
      <c r="P682" s="51">
        <f>HEX2DEC(RIGHT(Table1323212714[[#This Row],[h1]],8))</f>
        <v>0</v>
      </c>
      <c r="Q682" s="51" t="s">
        <v>149</v>
      </c>
      <c r="R682" s="51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1" t="s">
        <v>149</v>
      </c>
      <c r="P683" s="51">
        <f>HEX2DEC(RIGHT(Table1323212714[[#This Row],[h1]],8))</f>
        <v>0</v>
      </c>
      <c r="Q683" s="51" t="s">
        <v>149</v>
      </c>
      <c r="R683" s="51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1" t="s">
        <v>149</v>
      </c>
      <c r="P684" s="51">
        <f>HEX2DEC(RIGHT(Table1323212714[[#This Row],[h1]],8))</f>
        <v>0</v>
      </c>
      <c r="Q684" s="51" t="s">
        <v>149</v>
      </c>
      <c r="R684" s="51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1" t="s">
        <v>149</v>
      </c>
      <c r="P685" s="51">
        <f>HEX2DEC(RIGHT(Table1323212714[[#This Row],[h1]],8))</f>
        <v>0</v>
      </c>
      <c r="Q685" s="51" t="s">
        <v>149</v>
      </c>
      <c r="R685" s="51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1" t="s">
        <v>149</v>
      </c>
      <c r="P686" s="51">
        <f>HEX2DEC(RIGHT(Table1323212714[[#This Row],[h1]],8))</f>
        <v>0</v>
      </c>
      <c r="Q686" s="51" t="s">
        <v>149</v>
      </c>
      <c r="R686" s="51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1" t="s">
        <v>149</v>
      </c>
      <c r="P687" s="51">
        <f>HEX2DEC(RIGHT(Table1323212714[[#This Row],[h1]],8))</f>
        <v>0</v>
      </c>
      <c r="Q687" s="51" t="s">
        <v>149</v>
      </c>
      <c r="R687" s="51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1" t="s">
        <v>149</v>
      </c>
      <c r="P688" s="51">
        <f>HEX2DEC(RIGHT(Table1323212714[[#This Row],[h1]],8))</f>
        <v>0</v>
      </c>
      <c r="Q688" s="51" t="s">
        <v>149</v>
      </c>
      <c r="R688" s="51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1" t="s">
        <v>149</v>
      </c>
      <c r="P689" s="51">
        <f>HEX2DEC(RIGHT(Table1323212714[[#This Row],[h1]],8))</f>
        <v>0</v>
      </c>
      <c r="Q689" s="51" t="s">
        <v>149</v>
      </c>
      <c r="R689" s="51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1" t="s">
        <v>149</v>
      </c>
      <c r="P690" s="51">
        <f>HEX2DEC(RIGHT(Table1323212714[[#This Row],[h1]],8))</f>
        <v>0</v>
      </c>
      <c r="Q690" s="51" t="s">
        <v>149</v>
      </c>
      <c r="R690" s="51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1" t="s">
        <v>149</v>
      </c>
      <c r="P691" s="51">
        <f>HEX2DEC(RIGHT(Table1323212714[[#This Row],[h1]],8))</f>
        <v>0</v>
      </c>
      <c r="Q691" s="51" t="s">
        <v>149</v>
      </c>
      <c r="R691" s="51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1" t="s">
        <v>149</v>
      </c>
      <c r="P692" s="51">
        <f>HEX2DEC(RIGHT(Table1323212714[[#This Row],[h1]],8))</f>
        <v>0</v>
      </c>
      <c r="Q692" s="51" t="s">
        <v>149</v>
      </c>
      <c r="R692" s="51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1" t="s">
        <v>149</v>
      </c>
      <c r="P693" s="51">
        <f>HEX2DEC(RIGHT(Table1323212714[[#This Row],[h1]],8))</f>
        <v>0</v>
      </c>
      <c r="Q693" s="51" t="s">
        <v>149</v>
      </c>
      <c r="R693" s="51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1" t="s">
        <v>149</v>
      </c>
      <c r="P694" s="51">
        <f>HEX2DEC(RIGHT(Table1323212714[[#This Row],[h1]],8))</f>
        <v>0</v>
      </c>
      <c r="Q694" s="51" t="s">
        <v>149</v>
      </c>
      <c r="R694" s="51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1" t="s">
        <v>149</v>
      </c>
      <c r="P695" s="51">
        <f>HEX2DEC(RIGHT(Table1323212714[[#This Row],[h1]],8))</f>
        <v>0</v>
      </c>
      <c r="Q695" s="51" t="s">
        <v>149</v>
      </c>
      <c r="R695" s="51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1" t="s">
        <v>149</v>
      </c>
      <c r="P696" s="51">
        <f>HEX2DEC(RIGHT(Table1323212714[[#This Row],[h1]],8))</f>
        <v>0</v>
      </c>
      <c r="Q696" s="51" t="s">
        <v>149</v>
      </c>
      <c r="R696" s="51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1" t="s">
        <v>149</v>
      </c>
      <c r="P697" s="51">
        <f>HEX2DEC(RIGHT(Table1323212714[[#This Row],[h1]],8))</f>
        <v>0</v>
      </c>
      <c r="Q697" s="51" t="s">
        <v>149</v>
      </c>
      <c r="R697" s="51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1" t="s">
        <v>149</v>
      </c>
      <c r="P698" s="51">
        <f>HEX2DEC(RIGHT(Table1323212714[[#This Row],[h1]],8))</f>
        <v>0</v>
      </c>
      <c r="Q698" s="51" t="s">
        <v>149</v>
      </c>
      <c r="R698" s="51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1" t="s">
        <v>149</v>
      </c>
      <c r="P699" s="51">
        <f>HEX2DEC(RIGHT(Table1323212714[[#This Row],[h1]],8))</f>
        <v>0</v>
      </c>
      <c r="Q699" s="51" t="s">
        <v>149</v>
      </c>
      <c r="R699" s="51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1" t="s">
        <v>149</v>
      </c>
      <c r="P700" s="51">
        <f>HEX2DEC(RIGHT(Table1323212714[[#This Row],[h1]],8))</f>
        <v>0</v>
      </c>
      <c r="Q700" s="51" t="s">
        <v>149</v>
      </c>
      <c r="R700" s="51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1" t="s">
        <v>149</v>
      </c>
      <c r="P701" s="51">
        <f>HEX2DEC(RIGHT(Table1323212714[[#This Row],[h1]],8))</f>
        <v>0</v>
      </c>
      <c r="Q701" s="51" t="s">
        <v>149</v>
      </c>
      <c r="R701" s="51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1" t="s">
        <v>149</v>
      </c>
      <c r="P702" s="51">
        <f>HEX2DEC(RIGHT(Table1323212714[[#This Row],[h1]],8))</f>
        <v>0</v>
      </c>
      <c r="Q702" s="51" t="s">
        <v>149</v>
      </c>
      <c r="R702" s="51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1" t="s">
        <v>149</v>
      </c>
      <c r="P703" s="51">
        <f>HEX2DEC(RIGHT(Table1323212714[[#This Row],[h1]],8))</f>
        <v>0</v>
      </c>
      <c r="Q703" s="51" t="s">
        <v>149</v>
      </c>
      <c r="R703" s="51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1" t="s">
        <v>149</v>
      </c>
      <c r="P704" s="51">
        <f>HEX2DEC(RIGHT(Table1323212714[[#This Row],[h1]],8))</f>
        <v>0</v>
      </c>
      <c r="Q704" s="51" t="s">
        <v>149</v>
      </c>
      <c r="R704" s="51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1" t="s">
        <v>149</v>
      </c>
      <c r="P705" s="51">
        <f>HEX2DEC(RIGHT(Table1323212714[[#This Row],[h1]],8))</f>
        <v>0</v>
      </c>
      <c r="Q705" s="51" t="s">
        <v>149</v>
      </c>
      <c r="R705" s="51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1" t="s">
        <v>149</v>
      </c>
      <c r="P706" s="51">
        <f>HEX2DEC(RIGHT(Table1323212714[[#This Row],[h1]],8))</f>
        <v>0</v>
      </c>
      <c r="Q706" s="51" t="s">
        <v>149</v>
      </c>
      <c r="R706" s="51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1" t="s">
        <v>149</v>
      </c>
      <c r="P707" s="51">
        <f>HEX2DEC(RIGHT(Table1323212714[[#This Row],[h1]],8))</f>
        <v>0</v>
      </c>
      <c r="Q707" s="51" t="s">
        <v>149</v>
      </c>
      <c r="R707" s="51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1" t="s">
        <v>149</v>
      </c>
      <c r="P708" s="51">
        <f>HEX2DEC(RIGHT(Table1323212714[[#This Row],[h1]],8))</f>
        <v>0</v>
      </c>
      <c r="Q708" s="51" t="s">
        <v>149</v>
      </c>
      <c r="R708" s="51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1" t="s">
        <v>149</v>
      </c>
      <c r="P709" s="51">
        <f>HEX2DEC(RIGHT(Table1323212714[[#This Row],[h1]],8))</f>
        <v>0</v>
      </c>
      <c r="Q709" s="51" t="s">
        <v>149</v>
      </c>
      <c r="R709" s="51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1" t="s">
        <v>149</v>
      </c>
      <c r="P710" s="51">
        <f>HEX2DEC(RIGHT(Table1323212714[[#This Row],[h1]],8))</f>
        <v>0</v>
      </c>
      <c r="Q710" s="51" t="s">
        <v>149</v>
      </c>
      <c r="R710" s="51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1" t="s">
        <v>149</v>
      </c>
      <c r="P711" s="51">
        <f>HEX2DEC(RIGHT(Table1323212714[[#This Row],[h1]],8))</f>
        <v>0</v>
      </c>
      <c r="Q711" s="51" t="s">
        <v>149</v>
      </c>
      <c r="R711" s="51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1" t="s">
        <v>149</v>
      </c>
      <c r="P712" s="51">
        <f>HEX2DEC(RIGHT(Table1323212714[[#This Row],[h1]],8))</f>
        <v>0</v>
      </c>
      <c r="Q712" s="51" t="s">
        <v>149</v>
      </c>
      <c r="R712" s="51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1" t="s">
        <v>149</v>
      </c>
      <c r="P713" s="51">
        <f>HEX2DEC(RIGHT(Table1323212714[[#This Row],[h1]],8))</f>
        <v>0</v>
      </c>
      <c r="Q713" s="51" t="s">
        <v>149</v>
      </c>
      <c r="R713" s="51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1" t="s">
        <v>149</v>
      </c>
      <c r="P714" s="51">
        <f>HEX2DEC(RIGHT(Table1323212714[[#This Row],[h1]],8))</f>
        <v>0</v>
      </c>
      <c r="Q714" s="51" t="s">
        <v>149</v>
      </c>
      <c r="R714" s="51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1" t="s">
        <v>149</v>
      </c>
      <c r="P715" s="51">
        <f>HEX2DEC(RIGHT(Table1323212714[[#This Row],[h1]],8))</f>
        <v>0</v>
      </c>
      <c r="Q715" s="51" t="s">
        <v>149</v>
      </c>
      <c r="R715" s="51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1" t="s">
        <v>149</v>
      </c>
      <c r="P716" s="51">
        <f>HEX2DEC(RIGHT(Table1323212714[[#This Row],[h1]],8))</f>
        <v>0</v>
      </c>
      <c r="Q716" s="51" t="s">
        <v>149</v>
      </c>
      <c r="R716" s="51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1" t="s">
        <v>149</v>
      </c>
      <c r="P717" s="51">
        <f>HEX2DEC(RIGHT(Table1323212714[[#This Row],[h1]],8))</f>
        <v>0</v>
      </c>
      <c r="Q717" s="51" t="s">
        <v>149</v>
      </c>
      <c r="R717" s="51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1" t="s">
        <v>149</v>
      </c>
      <c r="P718" s="51">
        <f>HEX2DEC(RIGHT(Table1323212714[[#This Row],[h1]],8))</f>
        <v>0</v>
      </c>
      <c r="Q718" s="51" t="s">
        <v>149</v>
      </c>
      <c r="R718" s="51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1" t="s">
        <v>149</v>
      </c>
      <c r="P719" s="51">
        <f>HEX2DEC(RIGHT(Table1323212714[[#This Row],[h1]],8))</f>
        <v>0</v>
      </c>
      <c r="Q719" s="51" t="s">
        <v>149</v>
      </c>
      <c r="R719" s="51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1" t="s">
        <v>149</v>
      </c>
      <c r="P720" s="51">
        <f>HEX2DEC(RIGHT(Table1323212714[[#This Row],[h1]],8))</f>
        <v>0</v>
      </c>
      <c r="Q720" s="51" t="s">
        <v>149</v>
      </c>
      <c r="R720" s="51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1" t="s">
        <v>149</v>
      </c>
      <c r="P721" s="51">
        <f>HEX2DEC(RIGHT(Table1323212714[[#This Row],[h1]],8))</f>
        <v>0</v>
      </c>
      <c r="Q721" s="51" t="s">
        <v>149</v>
      </c>
      <c r="R721" s="51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1" t="s">
        <v>149</v>
      </c>
      <c r="P722" s="51">
        <f>HEX2DEC(RIGHT(Table1323212714[[#This Row],[h1]],8))</f>
        <v>0</v>
      </c>
      <c r="Q722" s="51" t="s">
        <v>149</v>
      </c>
      <c r="R722" s="51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1" t="s">
        <v>149</v>
      </c>
      <c r="P723" s="51">
        <f>HEX2DEC(RIGHT(Table1323212714[[#This Row],[h1]],8))</f>
        <v>0</v>
      </c>
      <c r="Q723" s="51" t="s">
        <v>149</v>
      </c>
      <c r="R723" s="51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1" t="s">
        <v>149</v>
      </c>
      <c r="P724" s="51">
        <f>HEX2DEC(RIGHT(Table1323212714[[#This Row],[h1]],8))</f>
        <v>0</v>
      </c>
      <c r="Q724" s="51" t="s">
        <v>149</v>
      </c>
      <c r="R724" s="51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1" t="s">
        <v>149</v>
      </c>
      <c r="P725" s="51">
        <f>HEX2DEC(RIGHT(Table1323212714[[#This Row],[h1]],8))</f>
        <v>0</v>
      </c>
      <c r="Q725" s="51" t="s">
        <v>149</v>
      </c>
      <c r="R725" s="51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1" t="s">
        <v>149</v>
      </c>
      <c r="P726" s="51">
        <f>HEX2DEC(RIGHT(Table1323212714[[#This Row],[h1]],8))</f>
        <v>0</v>
      </c>
      <c r="Q726" s="51" t="s">
        <v>149</v>
      </c>
      <c r="R726" s="51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1" t="s">
        <v>149</v>
      </c>
      <c r="P727" s="51">
        <f>HEX2DEC(RIGHT(Table1323212714[[#This Row],[h1]],8))</f>
        <v>0</v>
      </c>
      <c r="Q727" s="51" t="s">
        <v>149</v>
      </c>
      <c r="R727" s="51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1" t="s">
        <v>149</v>
      </c>
      <c r="P728" s="51">
        <f>HEX2DEC(RIGHT(Table1323212714[[#This Row],[h1]],8))</f>
        <v>0</v>
      </c>
      <c r="Q728" s="51" t="s">
        <v>149</v>
      </c>
      <c r="R728" s="51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1" t="s">
        <v>149</v>
      </c>
      <c r="P729" s="51">
        <f>HEX2DEC(RIGHT(Table1323212714[[#This Row],[h1]],8))</f>
        <v>0</v>
      </c>
      <c r="Q729" s="51" t="s">
        <v>149</v>
      </c>
      <c r="R729" s="51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1" t="s">
        <v>149</v>
      </c>
      <c r="P730" s="51">
        <f>HEX2DEC(RIGHT(Table1323212714[[#This Row],[h1]],8))</f>
        <v>0</v>
      </c>
      <c r="Q730" s="51" t="s">
        <v>149</v>
      </c>
      <c r="R730" s="51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1" t="s">
        <v>149</v>
      </c>
      <c r="P731" s="51">
        <f>HEX2DEC(RIGHT(Table1323212714[[#This Row],[h1]],8))</f>
        <v>0</v>
      </c>
      <c r="Q731" s="51" t="s">
        <v>149</v>
      </c>
      <c r="R731" s="51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1" t="s">
        <v>149</v>
      </c>
      <c r="P732" s="51">
        <f>HEX2DEC(RIGHT(Table1323212714[[#This Row],[h1]],8))</f>
        <v>0</v>
      </c>
      <c r="Q732" s="51" t="s">
        <v>149</v>
      </c>
      <c r="R732" s="51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1" t="s">
        <v>149</v>
      </c>
      <c r="P733" s="51">
        <f>HEX2DEC(RIGHT(Table1323212714[[#This Row],[h1]],8))</f>
        <v>0</v>
      </c>
      <c r="Q733" s="51" t="s">
        <v>149</v>
      </c>
      <c r="R733" s="51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1" t="s">
        <v>149</v>
      </c>
      <c r="P734" s="51">
        <f>HEX2DEC(RIGHT(Table1323212714[[#This Row],[h1]],8))</f>
        <v>0</v>
      </c>
      <c r="Q734" s="51" t="s">
        <v>149</v>
      </c>
      <c r="R734" s="51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1" t="s">
        <v>149</v>
      </c>
      <c r="P735" s="51">
        <f>HEX2DEC(RIGHT(Table1323212714[[#This Row],[h1]],8))</f>
        <v>0</v>
      </c>
      <c r="Q735" s="51" t="s">
        <v>149</v>
      </c>
      <c r="R735" s="51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1" t="s">
        <v>149</v>
      </c>
      <c r="P736" s="51">
        <f>HEX2DEC(RIGHT(Table1323212714[[#This Row],[h1]],8))</f>
        <v>0</v>
      </c>
      <c r="Q736" s="51" t="s">
        <v>149</v>
      </c>
      <c r="R736" s="51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1" t="s">
        <v>149</v>
      </c>
      <c r="P737" s="51">
        <f>HEX2DEC(RIGHT(Table1323212714[[#This Row],[h1]],8))</f>
        <v>0</v>
      </c>
      <c r="Q737" s="51" t="s">
        <v>149</v>
      </c>
      <c r="R737" s="51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1" t="s">
        <v>149</v>
      </c>
      <c r="P738" s="51">
        <f>HEX2DEC(RIGHT(Table1323212714[[#This Row],[h1]],8))</f>
        <v>0</v>
      </c>
      <c r="Q738" s="51" t="s">
        <v>149</v>
      </c>
      <c r="R738" s="51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1" t="s">
        <v>149</v>
      </c>
      <c r="P739" s="51">
        <f>HEX2DEC(RIGHT(Table1323212714[[#This Row],[h1]],8))</f>
        <v>0</v>
      </c>
      <c r="Q739" s="51" t="s">
        <v>149</v>
      </c>
      <c r="R739" s="51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1" t="s">
        <v>149</v>
      </c>
      <c r="P740" s="51">
        <f>HEX2DEC(RIGHT(Table1323212714[[#This Row],[h1]],8))</f>
        <v>0</v>
      </c>
      <c r="Q740" s="51" t="s">
        <v>149</v>
      </c>
      <c r="R740" s="51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1" t="s">
        <v>149</v>
      </c>
      <c r="P741" s="51">
        <f>HEX2DEC(RIGHT(Table1323212714[[#This Row],[h1]],8))</f>
        <v>0</v>
      </c>
      <c r="Q741" s="51" t="s">
        <v>149</v>
      </c>
      <c r="R741" s="51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1" t="s">
        <v>149</v>
      </c>
      <c r="P742" s="51">
        <f>HEX2DEC(RIGHT(Table1323212714[[#This Row],[h1]],8))</f>
        <v>0</v>
      </c>
      <c r="Q742" s="51" t="s">
        <v>149</v>
      </c>
      <c r="R742" s="51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1" t="s">
        <v>149</v>
      </c>
      <c r="P743" s="51">
        <f>HEX2DEC(RIGHT(Table1323212714[[#This Row],[h1]],8))</f>
        <v>0</v>
      </c>
      <c r="Q743" s="51" t="s">
        <v>149</v>
      </c>
      <c r="R743" s="51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1" t="s">
        <v>149</v>
      </c>
      <c r="P744" s="51">
        <f>HEX2DEC(RIGHT(Table1323212714[[#This Row],[h1]],8))</f>
        <v>0</v>
      </c>
      <c r="Q744" s="51" t="s">
        <v>149</v>
      </c>
      <c r="R744" s="51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1" t="s">
        <v>149</v>
      </c>
      <c r="P745" s="51">
        <f>HEX2DEC(RIGHT(Table1323212714[[#This Row],[h1]],8))</f>
        <v>0</v>
      </c>
      <c r="Q745" s="51" t="s">
        <v>149</v>
      </c>
      <c r="R745" s="51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1" t="s">
        <v>149</v>
      </c>
      <c r="P746" s="51">
        <f>HEX2DEC(RIGHT(Table1323212714[[#This Row],[h1]],8))</f>
        <v>0</v>
      </c>
      <c r="Q746" s="51" t="s">
        <v>149</v>
      </c>
      <c r="R746" s="51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1" t="s">
        <v>149</v>
      </c>
      <c r="P747" s="51">
        <f>HEX2DEC(RIGHT(Table1323212714[[#This Row],[h1]],8))</f>
        <v>0</v>
      </c>
      <c r="Q747" s="51" t="s">
        <v>149</v>
      </c>
      <c r="R747" s="51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1" t="s">
        <v>149</v>
      </c>
      <c r="P748" s="51">
        <f>HEX2DEC(RIGHT(Table1323212714[[#This Row],[h1]],8))</f>
        <v>0</v>
      </c>
      <c r="Q748" s="51" t="s">
        <v>149</v>
      </c>
      <c r="R748" s="51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1" t="s">
        <v>149</v>
      </c>
      <c r="P749" s="51">
        <f>HEX2DEC(RIGHT(Table1323212714[[#This Row],[h1]],8))</f>
        <v>0</v>
      </c>
      <c r="Q749" s="51" t="s">
        <v>149</v>
      </c>
      <c r="R749" s="51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1" t="s">
        <v>149</v>
      </c>
      <c r="P750" s="51">
        <f>HEX2DEC(RIGHT(Table1323212714[[#This Row],[h1]],8))</f>
        <v>0</v>
      </c>
      <c r="Q750" s="51" t="s">
        <v>149</v>
      </c>
      <c r="R750" s="51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1" t="s">
        <v>149</v>
      </c>
      <c r="P751" s="51">
        <f>HEX2DEC(RIGHT(Table1323212714[[#This Row],[h1]],8))</f>
        <v>0</v>
      </c>
      <c r="Q751" s="51" t="s">
        <v>149</v>
      </c>
      <c r="R751" s="51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1" t="s">
        <v>149</v>
      </c>
      <c r="P752" s="51">
        <f>HEX2DEC(RIGHT(Table1323212714[[#This Row],[h1]],8))</f>
        <v>0</v>
      </c>
      <c r="Q752" s="51" t="s">
        <v>149</v>
      </c>
      <c r="R752" s="51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1" t="s">
        <v>149</v>
      </c>
      <c r="P753" s="51">
        <f>HEX2DEC(RIGHT(Table1323212714[[#This Row],[h1]],8))</f>
        <v>0</v>
      </c>
      <c r="Q753" s="51" t="s">
        <v>149</v>
      </c>
      <c r="R753" s="51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1" t="s">
        <v>149</v>
      </c>
      <c r="P754" s="51">
        <f>HEX2DEC(RIGHT(Table1323212714[[#This Row],[h1]],8))</f>
        <v>0</v>
      </c>
      <c r="Q754" s="51" t="s">
        <v>149</v>
      </c>
      <c r="R754" s="51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1" t="s">
        <v>149</v>
      </c>
      <c r="P755" s="51">
        <f>HEX2DEC(RIGHT(Table1323212714[[#This Row],[h1]],8))</f>
        <v>0</v>
      </c>
      <c r="Q755" s="51" t="s">
        <v>149</v>
      </c>
      <c r="R755" s="51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1" t="s">
        <v>149</v>
      </c>
      <c r="P756" s="51">
        <f>HEX2DEC(RIGHT(Table1323212714[[#This Row],[h1]],8))</f>
        <v>0</v>
      </c>
      <c r="Q756" s="51" t="s">
        <v>149</v>
      </c>
      <c r="R756" s="51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1" t="s">
        <v>149</v>
      </c>
      <c r="P757" s="51">
        <f>HEX2DEC(RIGHT(Table1323212714[[#This Row],[h1]],8))</f>
        <v>0</v>
      </c>
      <c r="Q757" s="51" t="s">
        <v>149</v>
      </c>
      <c r="R757" s="51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1" t="s">
        <v>149</v>
      </c>
      <c r="P758" s="51">
        <f>HEX2DEC(RIGHT(Table1323212714[[#This Row],[h1]],8))</f>
        <v>0</v>
      </c>
      <c r="Q758" s="51" t="s">
        <v>149</v>
      </c>
      <c r="R758" s="51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1" t="s">
        <v>149</v>
      </c>
      <c r="P759" s="51">
        <f>HEX2DEC(RIGHT(Table1323212714[[#This Row],[h1]],8))</f>
        <v>0</v>
      </c>
      <c r="Q759" s="51" t="s">
        <v>149</v>
      </c>
      <c r="R759" s="51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1" t="s">
        <v>149</v>
      </c>
      <c r="P760" s="51">
        <f>HEX2DEC(RIGHT(Table1323212714[[#This Row],[h1]],8))</f>
        <v>0</v>
      </c>
      <c r="Q760" s="51" t="s">
        <v>149</v>
      </c>
      <c r="R760" s="51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1" t="s">
        <v>149</v>
      </c>
      <c r="P761" s="51">
        <f>HEX2DEC(RIGHT(Table1323212714[[#This Row],[h1]],8))</f>
        <v>0</v>
      </c>
      <c r="Q761" s="51" t="s">
        <v>149</v>
      </c>
      <c r="R761" s="51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1" t="s">
        <v>149</v>
      </c>
      <c r="P762" s="51">
        <f>HEX2DEC(RIGHT(Table1323212714[[#This Row],[h1]],8))</f>
        <v>0</v>
      </c>
      <c r="Q762" s="51" t="s">
        <v>149</v>
      </c>
      <c r="R762" s="51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1" t="s">
        <v>149</v>
      </c>
      <c r="P763" s="51">
        <f>HEX2DEC(RIGHT(Table1323212714[[#This Row],[h1]],8))</f>
        <v>0</v>
      </c>
      <c r="Q763" s="51" t="s">
        <v>149</v>
      </c>
      <c r="R763" s="51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1" t="s">
        <v>149</v>
      </c>
      <c r="P764" s="51">
        <f>HEX2DEC(RIGHT(Table1323212714[[#This Row],[h1]],8))</f>
        <v>0</v>
      </c>
      <c r="Q764" s="51" t="s">
        <v>149</v>
      </c>
      <c r="R764" s="51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1" t="s">
        <v>149</v>
      </c>
      <c r="P765" s="51">
        <f>HEX2DEC(RIGHT(Table1323212714[[#This Row],[h1]],8))</f>
        <v>0</v>
      </c>
      <c r="Q765" s="51" t="s">
        <v>149</v>
      </c>
      <c r="R765" s="51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1" t="s">
        <v>149</v>
      </c>
      <c r="P766" s="51">
        <f>HEX2DEC(RIGHT(Table1323212714[[#This Row],[h1]],8))</f>
        <v>0</v>
      </c>
      <c r="Q766" s="51" t="s">
        <v>149</v>
      </c>
      <c r="R766" s="51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1" t="s">
        <v>149</v>
      </c>
      <c r="P767" s="51">
        <f>HEX2DEC(RIGHT(Table1323212714[[#This Row],[h1]],8))</f>
        <v>0</v>
      </c>
      <c r="Q767" s="51" t="s">
        <v>149</v>
      </c>
      <c r="R767" s="51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1" t="s">
        <v>149</v>
      </c>
      <c r="P768" s="51">
        <f>HEX2DEC(RIGHT(Table1323212714[[#This Row],[h1]],8))</f>
        <v>0</v>
      </c>
      <c r="Q768" s="51" t="s">
        <v>149</v>
      </c>
      <c r="R768" s="51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1" t="s">
        <v>149</v>
      </c>
      <c r="P769" s="51">
        <f>HEX2DEC(RIGHT(Table1323212714[[#This Row],[h1]],8))</f>
        <v>0</v>
      </c>
      <c r="Q769" s="51" t="s">
        <v>149</v>
      </c>
      <c r="R769" s="51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1" t="s">
        <v>149</v>
      </c>
      <c r="P770" s="51">
        <f>HEX2DEC(RIGHT(Table1323212714[[#This Row],[h1]],8))</f>
        <v>0</v>
      </c>
      <c r="Q770" s="51" t="s">
        <v>149</v>
      </c>
      <c r="R770" s="51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1" t="s">
        <v>149</v>
      </c>
      <c r="P771" s="51">
        <f>HEX2DEC(RIGHT(Table1323212714[[#This Row],[h1]],8))</f>
        <v>0</v>
      </c>
      <c r="Q771" s="51" t="s">
        <v>149</v>
      </c>
      <c r="R771" s="51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1" t="s">
        <v>149</v>
      </c>
      <c r="P772" s="51">
        <f>HEX2DEC(RIGHT(Table1323212714[[#This Row],[h1]],8))</f>
        <v>0</v>
      </c>
      <c r="Q772" s="51" t="s">
        <v>149</v>
      </c>
      <c r="R772" s="51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1" t="s">
        <v>149</v>
      </c>
      <c r="P773" s="51">
        <f>HEX2DEC(RIGHT(Table1323212714[[#This Row],[h1]],8))</f>
        <v>0</v>
      </c>
      <c r="Q773" s="51" t="s">
        <v>149</v>
      </c>
      <c r="R773" s="51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1" t="s">
        <v>149</v>
      </c>
      <c r="P774" s="51">
        <f>HEX2DEC(RIGHT(Table1323212714[[#This Row],[h1]],8))</f>
        <v>0</v>
      </c>
      <c r="Q774" s="51" t="s">
        <v>149</v>
      </c>
      <c r="R774" s="51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1" t="s">
        <v>149</v>
      </c>
      <c r="P775" s="51">
        <f>HEX2DEC(RIGHT(Table1323212714[[#This Row],[h1]],8))</f>
        <v>0</v>
      </c>
      <c r="Q775" s="51" t="s">
        <v>149</v>
      </c>
      <c r="R775" s="51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1" t="s">
        <v>149</v>
      </c>
      <c r="P776" s="51">
        <f>HEX2DEC(RIGHT(Table1323212714[[#This Row],[h1]],8))</f>
        <v>0</v>
      </c>
      <c r="Q776" s="51" t="s">
        <v>149</v>
      </c>
      <c r="R776" s="51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1" t="s">
        <v>149</v>
      </c>
      <c r="P777" s="51">
        <f>HEX2DEC(RIGHT(Table1323212714[[#This Row],[h1]],8))</f>
        <v>0</v>
      </c>
      <c r="Q777" s="51" t="s">
        <v>149</v>
      </c>
      <c r="R777" s="51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1" t="s">
        <v>149</v>
      </c>
      <c r="P778" s="51">
        <f>HEX2DEC(RIGHT(Table1323212714[[#This Row],[h1]],8))</f>
        <v>0</v>
      </c>
      <c r="Q778" s="51" t="s">
        <v>149</v>
      </c>
      <c r="R778" s="51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1" t="s">
        <v>149</v>
      </c>
      <c r="P779" s="51">
        <f>HEX2DEC(RIGHT(Table1323212714[[#This Row],[h1]],8))</f>
        <v>0</v>
      </c>
      <c r="Q779" s="51" t="s">
        <v>149</v>
      </c>
      <c r="R779" s="51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1" t="s">
        <v>149</v>
      </c>
      <c r="P780" s="51">
        <f>HEX2DEC(RIGHT(Table1323212714[[#This Row],[h1]],8))</f>
        <v>0</v>
      </c>
      <c r="Q780" s="51" t="s">
        <v>149</v>
      </c>
      <c r="R780" s="51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1" t="s">
        <v>149</v>
      </c>
      <c r="P781" s="51">
        <f>HEX2DEC(RIGHT(Table1323212714[[#This Row],[h1]],8))</f>
        <v>0</v>
      </c>
      <c r="Q781" s="51" t="s">
        <v>149</v>
      </c>
      <c r="R781" s="51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1" t="s">
        <v>149</v>
      </c>
      <c r="P782" s="51">
        <f>HEX2DEC(RIGHT(Table1323212714[[#This Row],[h1]],8))</f>
        <v>0</v>
      </c>
      <c r="Q782" s="51" t="s">
        <v>149</v>
      </c>
      <c r="R782" s="51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1" t="s">
        <v>149</v>
      </c>
      <c r="P783" s="51">
        <f>HEX2DEC(RIGHT(Table1323212714[[#This Row],[h1]],8))</f>
        <v>0</v>
      </c>
      <c r="Q783" s="51" t="s">
        <v>149</v>
      </c>
      <c r="R783" s="51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1" t="s">
        <v>149</v>
      </c>
      <c r="P784" s="51">
        <f>HEX2DEC(RIGHT(Table1323212714[[#This Row],[h1]],8))</f>
        <v>0</v>
      </c>
      <c r="Q784" s="51" t="s">
        <v>149</v>
      </c>
      <c r="R784" s="51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1" t="s">
        <v>149</v>
      </c>
      <c r="P785" s="51">
        <f>HEX2DEC(RIGHT(Table1323212714[[#This Row],[h1]],8))</f>
        <v>0</v>
      </c>
      <c r="Q785" s="51" t="s">
        <v>149</v>
      </c>
      <c r="R785" s="51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1" t="s">
        <v>149</v>
      </c>
      <c r="P786" s="51">
        <f>HEX2DEC(RIGHT(Table1323212714[[#This Row],[h1]],8))</f>
        <v>0</v>
      </c>
      <c r="Q786" s="51" t="s">
        <v>149</v>
      </c>
      <c r="R786" s="51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1" t="s">
        <v>149</v>
      </c>
      <c r="P787" s="51">
        <f>HEX2DEC(RIGHT(Table1323212714[[#This Row],[h1]],8))</f>
        <v>0</v>
      </c>
      <c r="Q787" s="51" t="s">
        <v>149</v>
      </c>
      <c r="R787" s="51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1" t="s">
        <v>149</v>
      </c>
      <c r="P788" s="51">
        <f>HEX2DEC(RIGHT(Table1323212714[[#This Row],[h1]],8))</f>
        <v>0</v>
      </c>
      <c r="Q788" s="51" t="s">
        <v>149</v>
      </c>
      <c r="R788" s="51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1" t="s">
        <v>149</v>
      </c>
      <c r="P789" s="51">
        <f>HEX2DEC(RIGHT(Table1323212714[[#This Row],[h1]],8))</f>
        <v>0</v>
      </c>
      <c r="Q789" s="51" t="s">
        <v>149</v>
      </c>
      <c r="R789" s="51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1" t="s">
        <v>149</v>
      </c>
      <c r="P790" s="51">
        <f>HEX2DEC(RIGHT(Table1323212714[[#This Row],[h1]],8))</f>
        <v>0</v>
      </c>
      <c r="Q790" s="51" t="s">
        <v>149</v>
      </c>
      <c r="R790" s="51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1" t="s">
        <v>149</v>
      </c>
      <c r="P791" s="51">
        <f>HEX2DEC(RIGHT(Table1323212714[[#This Row],[h1]],8))</f>
        <v>0</v>
      </c>
      <c r="Q791" s="51" t="s">
        <v>149</v>
      </c>
      <c r="R791" s="51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1" t="s">
        <v>149</v>
      </c>
      <c r="P792" s="51">
        <f>HEX2DEC(RIGHT(Table1323212714[[#This Row],[h1]],8))</f>
        <v>0</v>
      </c>
      <c r="Q792" s="51" t="s">
        <v>149</v>
      </c>
      <c r="R792" s="51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1" t="s">
        <v>149</v>
      </c>
      <c r="P793" s="51">
        <f>HEX2DEC(RIGHT(Table1323212714[[#This Row],[h1]],8))</f>
        <v>0</v>
      </c>
      <c r="Q793" s="51" t="s">
        <v>149</v>
      </c>
      <c r="R793" s="51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1" t="s">
        <v>149</v>
      </c>
      <c r="P794" s="51">
        <f>HEX2DEC(RIGHT(Table1323212714[[#This Row],[h1]],8))</f>
        <v>0</v>
      </c>
      <c r="Q794" s="51" t="s">
        <v>149</v>
      </c>
      <c r="R794" s="51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1" t="s">
        <v>149</v>
      </c>
      <c r="P795" s="51">
        <f>HEX2DEC(RIGHT(Table1323212714[[#This Row],[h1]],8))</f>
        <v>0</v>
      </c>
      <c r="Q795" s="51" t="s">
        <v>149</v>
      </c>
      <c r="R795" s="51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1" t="s">
        <v>149</v>
      </c>
      <c r="P796" s="51">
        <f>HEX2DEC(RIGHT(Table1323212714[[#This Row],[h1]],8))</f>
        <v>0</v>
      </c>
      <c r="Q796" s="51" t="s">
        <v>149</v>
      </c>
      <c r="R796" s="51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1" t="s">
        <v>149</v>
      </c>
      <c r="P797" s="51">
        <f>HEX2DEC(RIGHT(Table1323212714[[#This Row],[h1]],8))</f>
        <v>0</v>
      </c>
      <c r="Q797" s="51" t="s">
        <v>149</v>
      </c>
      <c r="R797" s="51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1" t="s">
        <v>149</v>
      </c>
      <c r="P798" s="51">
        <f>HEX2DEC(RIGHT(Table1323212714[[#This Row],[h1]],8))</f>
        <v>0</v>
      </c>
      <c r="Q798" s="51" t="s">
        <v>149</v>
      </c>
      <c r="R798" s="51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1" t="s">
        <v>149</v>
      </c>
      <c r="P799" s="51">
        <f>HEX2DEC(RIGHT(Table1323212714[[#This Row],[h1]],8))</f>
        <v>0</v>
      </c>
      <c r="Q799" s="51" t="s">
        <v>149</v>
      </c>
      <c r="R799" s="51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1" t="s">
        <v>149</v>
      </c>
      <c r="P800" s="51">
        <f>HEX2DEC(RIGHT(Table1323212714[[#This Row],[h1]],8))</f>
        <v>0</v>
      </c>
      <c r="Q800" s="51" t="s">
        <v>149</v>
      </c>
      <c r="R800" s="51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1" t="s">
        <v>149</v>
      </c>
      <c r="P801" s="51">
        <f>HEX2DEC(RIGHT(Table1323212714[[#This Row],[h1]],8))</f>
        <v>0</v>
      </c>
      <c r="Q801" s="51" t="s">
        <v>149</v>
      </c>
      <c r="R801" s="51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1" t="s">
        <v>149</v>
      </c>
      <c r="P802" s="51">
        <f>HEX2DEC(RIGHT(Table1323212714[[#This Row],[h1]],8))</f>
        <v>0</v>
      </c>
      <c r="Q802" s="51" t="s">
        <v>149</v>
      </c>
      <c r="R802" s="51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1" t="s">
        <v>149</v>
      </c>
      <c r="P803" s="51">
        <f>HEX2DEC(RIGHT(Table1323212714[[#This Row],[h1]],8))</f>
        <v>0</v>
      </c>
      <c r="Q803" s="51" t="s">
        <v>149</v>
      </c>
      <c r="R803" s="51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1" t="s">
        <v>149</v>
      </c>
      <c r="P804" s="51">
        <f>HEX2DEC(RIGHT(Table1323212714[[#This Row],[h1]],8))</f>
        <v>0</v>
      </c>
      <c r="Q804" s="51" t="s">
        <v>149</v>
      </c>
      <c r="R804" s="51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1" t="s">
        <v>149</v>
      </c>
      <c r="P805" s="51">
        <f>HEX2DEC(RIGHT(Table1323212714[[#This Row],[h1]],8))</f>
        <v>0</v>
      </c>
      <c r="Q805" s="51" t="s">
        <v>149</v>
      </c>
      <c r="R805" s="51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1" t="s">
        <v>149</v>
      </c>
      <c r="P806" s="51">
        <f>HEX2DEC(RIGHT(Table1323212714[[#This Row],[h1]],8))</f>
        <v>0</v>
      </c>
      <c r="Q806" s="51" t="s">
        <v>149</v>
      </c>
      <c r="R806" s="51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1" t="s">
        <v>149</v>
      </c>
      <c r="P807" s="51">
        <f>HEX2DEC(RIGHT(Table1323212714[[#This Row],[h1]],8))</f>
        <v>0</v>
      </c>
      <c r="Q807" s="51" t="s">
        <v>149</v>
      </c>
      <c r="R807" s="51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1" t="s">
        <v>149</v>
      </c>
      <c r="P808" s="51">
        <f>HEX2DEC(RIGHT(Table1323212714[[#This Row],[h1]],8))</f>
        <v>0</v>
      </c>
      <c r="Q808" s="51" t="s">
        <v>149</v>
      </c>
      <c r="R808" s="51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1" t="s">
        <v>149</v>
      </c>
      <c r="P809" s="51">
        <f>HEX2DEC(RIGHT(Table1323212714[[#This Row],[h1]],8))</f>
        <v>0</v>
      </c>
      <c r="Q809" s="51" t="s">
        <v>149</v>
      </c>
      <c r="R809" s="51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1" t="s">
        <v>149</v>
      </c>
      <c r="P810" s="51">
        <f>HEX2DEC(RIGHT(Table1323212714[[#This Row],[h1]],8))</f>
        <v>0</v>
      </c>
      <c r="Q810" s="51" t="s">
        <v>149</v>
      </c>
      <c r="R810" s="51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1" t="s">
        <v>149</v>
      </c>
      <c r="P811" s="51">
        <f>HEX2DEC(RIGHT(Table1323212714[[#This Row],[h1]],8))</f>
        <v>0</v>
      </c>
      <c r="Q811" s="51" t="s">
        <v>149</v>
      </c>
      <c r="R811" s="51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1" t="s">
        <v>149</v>
      </c>
      <c r="P812" s="51">
        <f>HEX2DEC(RIGHT(Table1323212714[[#This Row],[h1]],8))</f>
        <v>0</v>
      </c>
      <c r="Q812" s="51" t="s">
        <v>149</v>
      </c>
      <c r="R812" s="51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1" t="s">
        <v>149</v>
      </c>
      <c r="P813" s="51">
        <f>HEX2DEC(RIGHT(Table1323212714[[#This Row],[h1]],8))</f>
        <v>0</v>
      </c>
      <c r="Q813" s="51" t="s">
        <v>149</v>
      </c>
      <c r="R813" s="51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1" t="s">
        <v>149</v>
      </c>
      <c r="P814" s="51">
        <f>HEX2DEC(RIGHT(Table1323212714[[#This Row],[h1]],8))</f>
        <v>0</v>
      </c>
      <c r="Q814" s="51" t="s">
        <v>149</v>
      </c>
      <c r="R814" s="51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1" t="s">
        <v>149</v>
      </c>
      <c r="P815" s="51">
        <f>HEX2DEC(RIGHT(Table1323212714[[#This Row],[h1]],8))</f>
        <v>0</v>
      </c>
      <c r="Q815" s="51" t="s">
        <v>149</v>
      </c>
      <c r="R815" s="51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1" t="s">
        <v>149</v>
      </c>
      <c r="P816" s="51">
        <f>HEX2DEC(RIGHT(Table1323212714[[#This Row],[h1]],8))</f>
        <v>0</v>
      </c>
      <c r="Q816" s="51" t="s">
        <v>149</v>
      </c>
      <c r="R816" s="51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1" t="s">
        <v>149</v>
      </c>
      <c r="P817" s="51">
        <f>HEX2DEC(RIGHT(Table1323212714[[#This Row],[h1]],8))</f>
        <v>0</v>
      </c>
      <c r="Q817" s="51" t="s">
        <v>149</v>
      </c>
      <c r="R817" s="51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1" t="s">
        <v>149</v>
      </c>
      <c r="P818" s="51">
        <f>HEX2DEC(RIGHT(Table1323212714[[#This Row],[h1]],8))</f>
        <v>0</v>
      </c>
      <c r="Q818" s="51" t="s">
        <v>149</v>
      </c>
      <c r="R818" s="51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1" t="s">
        <v>149</v>
      </c>
      <c r="P819" s="51">
        <f>HEX2DEC(RIGHT(Table1323212714[[#This Row],[h1]],8))</f>
        <v>0</v>
      </c>
      <c r="Q819" s="51" t="s">
        <v>149</v>
      </c>
      <c r="R819" s="51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1" t="s">
        <v>149</v>
      </c>
      <c r="P820" s="51">
        <f>HEX2DEC(RIGHT(Table1323212714[[#This Row],[h1]],8))</f>
        <v>0</v>
      </c>
      <c r="Q820" s="51" t="s">
        <v>149</v>
      </c>
      <c r="R820" s="51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1" t="s">
        <v>149</v>
      </c>
      <c r="P821" s="51">
        <f>HEX2DEC(RIGHT(Table1323212714[[#This Row],[h1]],8))</f>
        <v>0</v>
      </c>
      <c r="Q821" s="51" t="s">
        <v>149</v>
      </c>
      <c r="R821" s="51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1" t="s">
        <v>149</v>
      </c>
      <c r="P822" s="51">
        <f>HEX2DEC(RIGHT(Table1323212714[[#This Row],[h1]],8))</f>
        <v>0</v>
      </c>
      <c r="Q822" s="51" t="s">
        <v>149</v>
      </c>
      <c r="R822" s="51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1" t="s">
        <v>149</v>
      </c>
      <c r="P823" s="51">
        <f>HEX2DEC(RIGHT(Table1323212714[[#This Row],[h1]],8))</f>
        <v>0</v>
      </c>
      <c r="Q823" s="51" t="s">
        <v>149</v>
      </c>
      <c r="R823" s="51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1" t="s">
        <v>149</v>
      </c>
      <c r="P824" s="51">
        <f>HEX2DEC(RIGHT(Table1323212714[[#This Row],[h1]],8))</f>
        <v>0</v>
      </c>
      <c r="Q824" s="51" t="s">
        <v>149</v>
      </c>
      <c r="R824" s="51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1" t="s">
        <v>149</v>
      </c>
      <c r="P825" s="51">
        <f>HEX2DEC(RIGHT(Table1323212714[[#This Row],[h1]],8))</f>
        <v>0</v>
      </c>
      <c r="Q825" s="51" t="s">
        <v>149</v>
      </c>
      <c r="R825" s="51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1" t="s">
        <v>149</v>
      </c>
      <c r="P826" s="51">
        <f>HEX2DEC(RIGHT(Table1323212714[[#This Row],[h1]],8))</f>
        <v>0</v>
      </c>
      <c r="Q826" s="51" t="s">
        <v>149</v>
      </c>
      <c r="R826" s="51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1" t="s">
        <v>149</v>
      </c>
      <c r="P827" s="51">
        <f>HEX2DEC(RIGHT(Table1323212714[[#This Row],[h1]],8))</f>
        <v>0</v>
      </c>
      <c r="Q827" s="51" t="s">
        <v>149</v>
      </c>
      <c r="R827" s="51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1" t="s">
        <v>149</v>
      </c>
      <c r="P828" s="51">
        <f>HEX2DEC(RIGHT(Table1323212714[[#This Row],[h1]],8))</f>
        <v>0</v>
      </c>
      <c r="Q828" s="51" t="s">
        <v>149</v>
      </c>
      <c r="R828" s="51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1" t="s">
        <v>149</v>
      </c>
      <c r="P829" s="51">
        <f>HEX2DEC(RIGHT(Table1323212714[[#This Row],[h1]],8))</f>
        <v>0</v>
      </c>
      <c r="Q829" s="51" t="s">
        <v>149</v>
      </c>
      <c r="R829" s="51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1" t="s">
        <v>149</v>
      </c>
      <c r="P830" s="51">
        <f>HEX2DEC(RIGHT(Table1323212714[[#This Row],[h1]],8))</f>
        <v>0</v>
      </c>
      <c r="Q830" s="51" t="s">
        <v>149</v>
      </c>
      <c r="R830" s="51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1" t="s">
        <v>149</v>
      </c>
      <c r="P831" s="51">
        <f>HEX2DEC(RIGHT(Table1323212714[[#This Row],[h1]],8))</f>
        <v>0</v>
      </c>
      <c r="Q831" s="51" t="s">
        <v>149</v>
      </c>
      <c r="R831" s="51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1" t="s">
        <v>149</v>
      </c>
      <c r="P832" s="51">
        <f>HEX2DEC(RIGHT(Table1323212714[[#This Row],[h1]],8))</f>
        <v>0</v>
      </c>
      <c r="Q832" s="51" t="s">
        <v>149</v>
      </c>
      <c r="R832" s="51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1" t="s">
        <v>149</v>
      </c>
      <c r="P833" s="51">
        <f>HEX2DEC(RIGHT(Table1323212714[[#This Row],[h1]],8))</f>
        <v>0</v>
      </c>
      <c r="Q833" s="51" t="s">
        <v>149</v>
      </c>
      <c r="R833" s="51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1" t="s">
        <v>149</v>
      </c>
      <c r="P834" s="51">
        <f>HEX2DEC(RIGHT(Table1323212714[[#This Row],[h1]],8))</f>
        <v>0</v>
      </c>
      <c r="Q834" s="51" t="s">
        <v>149</v>
      </c>
      <c r="R834" s="51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1" t="s">
        <v>149</v>
      </c>
      <c r="P835" s="51">
        <f>HEX2DEC(RIGHT(Table1323212714[[#This Row],[h1]],8))</f>
        <v>0</v>
      </c>
      <c r="Q835" s="51" t="s">
        <v>149</v>
      </c>
      <c r="R835" s="51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1" t="s">
        <v>149</v>
      </c>
      <c r="P836" s="51">
        <f>HEX2DEC(RIGHT(Table1323212714[[#This Row],[h1]],8))</f>
        <v>0</v>
      </c>
      <c r="Q836" s="51" t="s">
        <v>149</v>
      </c>
      <c r="R836" s="51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1" t="s">
        <v>149</v>
      </c>
      <c r="P837" s="51">
        <f>HEX2DEC(RIGHT(Table1323212714[[#This Row],[h1]],8))</f>
        <v>0</v>
      </c>
      <c r="Q837" s="51" t="s">
        <v>149</v>
      </c>
      <c r="R837" s="51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1" t="s">
        <v>149</v>
      </c>
      <c r="P838" s="51">
        <f>HEX2DEC(RIGHT(Table1323212714[[#This Row],[h1]],8))</f>
        <v>0</v>
      </c>
      <c r="Q838" s="51" t="s">
        <v>149</v>
      </c>
      <c r="R838" s="51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1" t="s">
        <v>149</v>
      </c>
      <c r="P839" s="51">
        <f>HEX2DEC(RIGHT(Table1323212714[[#This Row],[h1]],8))</f>
        <v>0</v>
      </c>
      <c r="Q839" s="51" t="s">
        <v>149</v>
      </c>
      <c r="R839" s="51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1" t="s">
        <v>149</v>
      </c>
      <c r="P840" s="51">
        <f>HEX2DEC(RIGHT(Table1323212714[[#This Row],[h1]],8))</f>
        <v>0</v>
      </c>
      <c r="Q840" s="51" t="s">
        <v>149</v>
      </c>
      <c r="R840" s="51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1" t="s">
        <v>149</v>
      </c>
      <c r="P841" s="51">
        <f>HEX2DEC(RIGHT(Table1323212714[[#This Row],[h1]],8))</f>
        <v>0</v>
      </c>
      <c r="Q841" s="51" t="s">
        <v>149</v>
      </c>
      <c r="R841" s="51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1" t="s">
        <v>149</v>
      </c>
      <c r="P842" s="51">
        <f>HEX2DEC(RIGHT(Table1323212714[[#This Row],[h1]],8))</f>
        <v>0</v>
      </c>
      <c r="Q842" s="51" t="s">
        <v>149</v>
      </c>
      <c r="R842" s="51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1" t="s">
        <v>149</v>
      </c>
      <c r="P843" s="51">
        <f>HEX2DEC(RIGHT(Table1323212714[[#This Row],[h1]],8))</f>
        <v>0</v>
      </c>
      <c r="Q843" s="51" t="s">
        <v>149</v>
      </c>
      <c r="R843" s="51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1" t="s">
        <v>149</v>
      </c>
      <c r="P844" s="51">
        <f>HEX2DEC(RIGHT(Table1323212714[[#This Row],[h1]],8))</f>
        <v>0</v>
      </c>
      <c r="Q844" s="51" t="s">
        <v>149</v>
      </c>
      <c r="R844" s="51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1" t="s">
        <v>149</v>
      </c>
      <c r="P845" s="51">
        <f>HEX2DEC(RIGHT(Table1323212714[[#This Row],[h1]],8))</f>
        <v>0</v>
      </c>
      <c r="Q845" s="51" t="s">
        <v>149</v>
      </c>
      <c r="R845" s="51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1" t="s">
        <v>149</v>
      </c>
      <c r="P846" s="51">
        <f>HEX2DEC(RIGHT(Table1323212714[[#This Row],[h1]],8))</f>
        <v>0</v>
      </c>
      <c r="Q846" s="51" t="s">
        <v>149</v>
      </c>
      <c r="R846" s="51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1" t="s">
        <v>149</v>
      </c>
      <c r="P847" s="51">
        <f>HEX2DEC(RIGHT(Table1323212714[[#This Row],[h1]],8))</f>
        <v>0</v>
      </c>
      <c r="Q847" s="51" t="s">
        <v>149</v>
      </c>
      <c r="R847" s="51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1" t="s">
        <v>149</v>
      </c>
      <c r="P848" s="51">
        <f>HEX2DEC(RIGHT(Table1323212714[[#This Row],[h1]],8))</f>
        <v>0</v>
      </c>
      <c r="Q848" s="51" t="s">
        <v>149</v>
      </c>
      <c r="R848" s="51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1" t="s">
        <v>149</v>
      </c>
      <c r="P849" s="51">
        <f>HEX2DEC(RIGHT(Table1323212714[[#This Row],[h1]],8))</f>
        <v>0</v>
      </c>
      <c r="Q849" s="51" t="s">
        <v>149</v>
      </c>
      <c r="R849" s="51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1" t="s">
        <v>149</v>
      </c>
      <c r="P850" s="51">
        <f>HEX2DEC(RIGHT(Table1323212714[[#This Row],[h1]],8))</f>
        <v>0</v>
      </c>
      <c r="Q850" s="51" t="s">
        <v>149</v>
      </c>
      <c r="R850" s="51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1" t="s">
        <v>149</v>
      </c>
      <c r="P851" s="51">
        <f>HEX2DEC(RIGHT(Table1323212714[[#This Row],[h1]],8))</f>
        <v>0</v>
      </c>
      <c r="Q851" s="51" t="s">
        <v>149</v>
      </c>
      <c r="R851" s="51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1" t="s">
        <v>149</v>
      </c>
      <c r="P852" s="51">
        <f>HEX2DEC(RIGHT(Table1323212714[[#This Row],[h1]],8))</f>
        <v>0</v>
      </c>
      <c r="Q852" s="51" t="s">
        <v>149</v>
      </c>
      <c r="R852" s="51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1" t="s">
        <v>149</v>
      </c>
      <c r="P853" s="51">
        <f>HEX2DEC(RIGHT(Table1323212714[[#This Row],[h1]],8))</f>
        <v>0</v>
      </c>
      <c r="Q853" s="51" t="s">
        <v>149</v>
      </c>
      <c r="R853" s="51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1" t="s">
        <v>149</v>
      </c>
      <c r="P854" s="51">
        <f>HEX2DEC(RIGHT(Table1323212714[[#This Row],[h1]],8))</f>
        <v>0</v>
      </c>
      <c r="Q854" s="51" t="s">
        <v>149</v>
      </c>
      <c r="R854" s="51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1" t="s">
        <v>149</v>
      </c>
      <c r="P855" s="51">
        <f>HEX2DEC(RIGHT(Table1323212714[[#This Row],[h1]],8))</f>
        <v>0</v>
      </c>
      <c r="Q855" s="51" t="s">
        <v>149</v>
      </c>
      <c r="R855" s="51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1" t="s">
        <v>149</v>
      </c>
      <c r="P856" s="51">
        <f>HEX2DEC(RIGHT(Table1323212714[[#This Row],[h1]],8))</f>
        <v>0</v>
      </c>
      <c r="Q856" s="51" t="s">
        <v>149</v>
      </c>
      <c r="R856" s="51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1" t="s">
        <v>149</v>
      </c>
      <c r="P857" s="51">
        <f>HEX2DEC(RIGHT(Table1323212714[[#This Row],[h1]],8))</f>
        <v>0</v>
      </c>
      <c r="Q857" s="51" t="s">
        <v>149</v>
      </c>
      <c r="R857" s="51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1" t="s">
        <v>149</v>
      </c>
      <c r="P858" s="51">
        <f>HEX2DEC(RIGHT(Table1323212714[[#This Row],[h1]],8))</f>
        <v>0</v>
      </c>
      <c r="Q858" s="51" t="s">
        <v>149</v>
      </c>
      <c r="R858" s="51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1" t="s">
        <v>149</v>
      </c>
      <c r="P859" s="51">
        <f>HEX2DEC(RIGHT(Table1323212714[[#This Row],[h1]],8))</f>
        <v>0</v>
      </c>
      <c r="Q859" s="51" t="s">
        <v>149</v>
      </c>
      <c r="R859" s="51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1" t="s">
        <v>149</v>
      </c>
      <c r="P860" s="51">
        <f>HEX2DEC(RIGHT(Table1323212714[[#This Row],[h1]],8))</f>
        <v>0</v>
      </c>
      <c r="Q860" s="51" t="s">
        <v>149</v>
      </c>
      <c r="R860" s="51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1" t="s">
        <v>149</v>
      </c>
      <c r="P861" s="51">
        <f>HEX2DEC(RIGHT(Table1323212714[[#This Row],[h1]],8))</f>
        <v>0</v>
      </c>
      <c r="Q861" s="51" t="s">
        <v>149</v>
      </c>
      <c r="R861" s="51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1" t="s">
        <v>149</v>
      </c>
      <c r="P862" s="51">
        <f>HEX2DEC(RIGHT(Table1323212714[[#This Row],[h1]],8))</f>
        <v>0</v>
      </c>
      <c r="Q862" s="51" t="s">
        <v>149</v>
      </c>
      <c r="R862" s="51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1" t="s">
        <v>149</v>
      </c>
      <c r="P863" s="51">
        <f>HEX2DEC(RIGHT(Table1323212714[[#This Row],[h1]],8))</f>
        <v>0</v>
      </c>
      <c r="Q863" s="51" t="s">
        <v>149</v>
      </c>
      <c r="R863" s="51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1" t="s">
        <v>149</v>
      </c>
      <c r="P864" s="51">
        <f>HEX2DEC(RIGHT(Table1323212714[[#This Row],[h1]],8))</f>
        <v>0</v>
      </c>
      <c r="Q864" s="51" t="s">
        <v>149</v>
      </c>
      <c r="R864" s="51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1" t="s">
        <v>149</v>
      </c>
      <c r="P865" s="51">
        <f>HEX2DEC(RIGHT(Table1323212714[[#This Row],[h1]],8))</f>
        <v>0</v>
      </c>
      <c r="Q865" s="51" t="s">
        <v>149</v>
      </c>
      <c r="R865" s="51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1" t="s">
        <v>149</v>
      </c>
      <c r="P866" s="51">
        <f>HEX2DEC(RIGHT(Table1323212714[[#This Row],[h1]],8))</f>
        <v>0</v>
      </c>
      <c r="Q866" s="51" t="s">
        <v>149</v>
      </c>
      <c r="R866" s="51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1" t="s">
        <v>149</v>
      </c>
      <c r="P867" s="51">
        <f>HEX2DEC(RIGHT(Table1323212714[[#This Row],[h1]],8))</f>
        <v>0</v>
      </c>
      <c r="Q867" s="51" t="s">
        <v>149</v>
      </c>
      <c r="R867" s="51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1" t="s">
        <v>149</v>
      </c>
      <c r="P868" s="51">
        <f>HEX2DEC(RIGHT(Table1323212714[[#This Row],[h1]],8))</f>
        <v>0</v>
      </c>
      <c r="Q868" s="51" t="s">
        <v>149</v>
      </c>
      <c r="R868" s="51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1" t="s">
        <v>149</v>
      </c>
      <c r="P869" s="51">
        <f>HEX2DEC(RIGHT(Table1323212714[[#This Row],[h1]],8))</f>
        <v>0</v>
      </c>
      <c r="Q869" s="51" t="s">
        <v>149</v>
      </c>
      <c r="R869" s="51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1" t="s">
        <v>149</v>
      </c>
      <c r="P870" s="51">
        <f>HEX2DEC(RIGHT(Table1323212714[[#This Row],[h1]],8))</f>
        <v>0</v>
      </c>
      <c r="Q870" s="51" t="s">
        <v>149</v>
      </c>
      <c r="R870" s="51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1" t="s">
        <v>149</v>
      </c>
      <c r="P871" s="51">
        <f>HEX2DEC(RIGHT(Table1323212714[[#This Row],[h1]],8))</f>
        <v>0</v>
      </c>
      <c r="Q871" s="51" t="s">
        <v>149</v>
      </c>
      <c r="R871" s="51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1" t="s">
        <v>149</v>
      </c>
      <c r="P872" s="51">
        <f>HEX2DEC(RIGHT(Table1323212714[[#This Row],[h1]],8))</f>
        <v>0</v>
      </c>
      <c r="Q872" s="51" t="s">
        <v>149</v>
      </c>
      <c r="R872" s="51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1" t="s">
        <v>149</v>
      </c>
      <c r="P873" s="51">
        <f>HEX2DEC(RIGHT(Table1323212714[[#This Row],[h1]],8))</f>
        <v>0</v>
      </c>
      <c r="Q873" s="51" t="s">
        <v>149</v>
      </c>
      <c r="R873" s="51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1" t="s">
        <v>149</v>
      </c>
      <c r="P874" s="51">
        <f>HEX2DEC(RIGHT(Table1323212714[[#This Row],[h1]],8))</f>
        <v>0</v>
      </c>
      <c r="Q874" s="51" t="s">
        <v>149</v>
      </c>
      <c r="R874" s="51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1" t="s">
        <v>149</v>
      </c>
      <c r="P875" s="51">
        <f>HEX2DEC(RIGHT(Table1323212714[[#This Row],[h1]],8))</f>
        <v>0</v>
      </c>
      <c r="Q875" s="51" t="s">
        <v>149</v>
      </c>
      <c r="R875" s="51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1" t="s">
        <v>149</v>
      </c>
      <c r="P876" s="51">
        <f>HEX2DEC(RIGHT(Table1323212714[[#This Row],[h1]],8))</f>
        <v>0</v>
      </c>
      <c r="Q876" s="51" t="s">
        <v>149</v>
      </c>
      <c r="R876" s="51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1" t="s">
        <v>149</v>
      </c>
      <c r="P877" s="51">
        <f>HEX2DEC(RIGHT(Table1323212714[[#This Row],[h1]],8))</f>
        <v>0</v>
      </c>
      <c r="Q877" s="51" t="s">
        <v>149</v>
      </c>
      <c r="R877" s="51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1" t="s">
        <v>149</v>
      </c>
      <c r="P878" s="51">
        <f>HEX2DEC(RIGHT(Table1323212714[[#This Row],[h1]],8))</f>
        <v>0</v>
      </c>
      <c r="Q878" s="51" t="s">
        <v>149</v>
      </c>
      <c r="R878" s="51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1" t="s">
        <v>149</v>
      </c>
      <c r="P879" s="51">
        <f>HEX2DEC(RIGHT(Table1323212714[[#This Row],[h1]],8))</f>
        <v>0</v>
      </c>
      <c r="Q879" s="51" t="s">
        <v>149</v>
      </c>
      <c r="R879" s="51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1" t="s">
        <v>149</v>
      </c>
      <c r="P880" s="51">
        <f>HEX2DEC(RIGHT(Table1323212714[[#This Row],[h1]],8))</f>
        <v>0</v>
      </c>
      <c r="Q880" s="51" t="s">
        <v>149</v>
      </c>
      <c r="R880" s="51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1" t="s">
        <v>149</v>
      </c>
      <c r="P881" s="51">
        <f>HEX2DEC(RIGHT(Table1323212714[[#This Row],[h1]],8))</f>
        <v>0</v>
      </c>
      <c r="Q881" s="51" t="s">
        <v>149</v>
      </c>
      <c r="R881" s="51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1" t="s">
        <v>149</v>
      </c>
      <c r="P882" s="51">
        <f>HEX2DEC(RIGHT(Table1323212714[[#This Row],[h1]],8))</f>
        <v>0</v>
      </c>
      <c r="Q882" s="51" t="s">
        <v>149</v>
      </c>
      <c r="R882" s="51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1" t="s">
        <v>149</v>
      </c>
      <c r="P883" s="51">
        <f>HEX2DEC(RIGHT(Table1323212714[[#This Row],[h1]],8))</f>
        <v>0</v>
      </c>
      <c r="Q883" s="51" t="s">
        <v>149</v>
      </c>
      <c r="R883" s="51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1" t="s">
        <v>149</v>
      </c>
      <c r="P884" s="51">
        <f>HEX2DEC(RIGHT(Table1323212714[[#This Row],[h1]],8))</f>
        <v>0</v>
      </c>
      <c r="Q884" s="51" t="s">
        <v>149</v>
      </c>
      <c r="R884" s="51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1" t="s">
        <v>149</v>
      </c>
      <c r="P885" s="51">
        <f>HEX2DEC(RIGHT(Table1323212714[[#This Row],[h1]],8))</f>
        <v>0</v>
      </c>
      <c r="Q885" s="51" t="s">
        <v>149</v>
      </c>
      <c r="R885" s="51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1" t="s">
        <v>149</v>
      </c>
      <c r="P886" s="51">
        <f>HEX2DEC(RIGHT(Table1323212714[[#This Row],[h1]],8))</f>
        <v>0</v>
      </c>
      <c r="Q886" s="51" t="s">
        <v>149</v>
      </c>
      <c r="R886" s="51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1" t="s">
        <v>149</v>
      </c>
      <c r="P887" s="51">
        <f>HEX2DEC(RIGHT(Table1323212714[[#This Row],[h1]],8))</f>
        <v>0</v>
      </c>
      <c r="Q887" s="51" t="s">
        <v>149</v>
      </c>
      <c r="R887" s="51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1" t="s">
        <v>149</v>
      </c>
      <c r="P888" s="51">
        <f>HEX2DEC(RIGHT(Table1323212714[[#This Row],[h1]],8))</f>
        <v>0</v>
      </c>
      <c r="Q888" s="51" t="s">
        <v>149</v>
      </c>
      <c r="R888" s="51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1" t="s">
        <v>149</v>
      </c>
      <c r="P889" s="51">
        <f>HEX2DEC(RIGHT(Table1323212714[[#This Row],[h1]],8))</f>
        <v>0</v>
      </c>
      <c r="Q889" s="51" t="s">
        <v>149</v>
      </c>
      <c r="R889" s="51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1" t="s">
        <v>149</v>
      </c>
      <c r="P890" s="51">
        <f>HEX2DEC(RIGHT(Table1323212714[[#This Row],[h1]],8))</f>
        <v>0</v>
      </c>
      <c r="Q890" s="51" t="s">
        <v>149</v>
      </c>
      <c r="R890" s="51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1" t="s">
        <v>149</v>
      </c>
      <c r="P891" s="51">
        <f>HEX2DEC(RIGHT(Table1323212714[[#This Row],[h1]],8))</f>
        <v>0</v>
      </c>
      <c r="Q891" s="51" t="s">
        <v>149</v>
      </c>
      <c r="R891" s="51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1" t="s">
        <v>149</v>
      </c>
      <c r="P892" s="51">
        <f>HEX2DEC(RIGHT(Table1323212714[[#This Row],[h1]],8))</f>
        <v>0</v>
      </c>
      <c r="Q892" s="51" t="s">
        <v>149</v>
      </c>
      <c r="R892" s="51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1" t="s">
        <v>149</v>
      </c>
      <c r="P893" s="51">
        <f>HEX2DEC(RIGHT(Table1323212714[[#This Row],[h1]],8))</f>
        <v>0</v>
      </c>
      <c r="Q893" s="51" t="s">
        <v>149</v>
      </c>
      <c r="R893" s="51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1" t="s">
        <v>149</v>
      </c>
      <c r="P894" s="51">
        <f>HEX2DEC(RIGHT(Table1323212714[[#This Row],[h1]],8))</f>
        <v>0</v>
      </c>
      <c r="Q894" s="51" t="s">
        <v>149</v>
      </c>
      <c r="R894" s="51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1" t="s">
        <v>149</v>
      </c>
      <c r="P895" s="51">
        <f>HEX2DEC(RIGHT(Table1323212714[[#This Row],[h1]],8))</f>
        <v>0</v>
      </c>
      <c r="Q895" s="51" t="s">
        <v>149</v>
      </c>
      <c r="R895" s="51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1" t="s">
        <v>149</v>
      </c>
      <c r="P896" s="51">
        <f>HEX2DEC(RIGHT(Table1323212714[[#This Row],[h1]],8))</f>
        <v>0</v>
      </c>
      <c r="Q896" s="51" t="s">
        <v>149</v>
      </c>
      <c r="R896" s="51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1" t="s">
        <v>149</v>
      </c>
      <c r="P897" s="51">
        <f>HEX2DEC(RIGHT(Table1323212714[[#This Row],[h1]],8))</f>
        <v>0</v>
      </c>
      <c r="Q897" s="51" t="s">
        <v>149</v>
      </c>
      <c r="R897" s="51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1" t="s">
        <v>149</v>
      </c>
      <c r="P898" s="51">
        <f>HEX2DEC(RIGHT(Table1323212714[[#This Row],[h1]],8))</f>
        <v>0</v>
      </c>
      <c r="Q898" s="51" t="s">
        <v>149</v>
      </c>
      <c r="R898" s="51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1" t="s">
        <v>149</v>
      </c>
      <c r="P899" s="51">
        <f>HEX2DEC(RIGHT(Table1323212714[[#This Row],[h1]],8))</f>
        <v>0</v>
      </c>
      <c r="Q899" s="51" t="s">
        <v>149</v>
      </c>
      <c r="R899" s="51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1" t="s">
        <v>149</v>
      </c>
      <c r="P900" s="51">
        <f>HEX2DEC(RIGHT(Table1323212714[[#This Row],[h1]],8))</f>
        <v>0</v>
      </c>
      <c r="Q900" s="51" t="s">
        <v>149</v>
      </c>
      <c r="R900" s="51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1" t="s">
        <v>149</v>
      </c>
      <c r="P901" s="51">
        <f>HEX2DEC(RIGHT(Table1323212714[[#This Row],[h1]],8))</f>
        <v>0</v>
      </c>
      <c r="Q901" s="51" t="s">
        <v>149</v>
      </c>
      <c r="R901" s="51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1" t="s">
        <v>149</v>
      </c>
      <c r="P902" s="51">
        <f>HEX2DEC(RIGHT(Table1323212714[[#This Row],[h1]],8))</f>
        <v>0</v>
      </c>
      <c r="Q902" s="51" t="s">
        <v>149</v>
      </c>
      <c r="R902" s="51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1" t="s">
        <v>149</v>
      </c>
      <c r="P903" s="51">
        <f>HEX2DEC(RIGHT(Table1323212714[[#This Row],[h1]],8))</f>
        <v>0</v>
      </c>
      <c r="Q903" s="51" t="s">
        <v>149</v>
      </c>
      <c r="R903" s="51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1" t="s">
        <v>149</v>
      </c>
      <c r="P904" s="51">
        <f>HEX2DEC(RIGHT(Table1323212714[[#This Row],[h1]],8))</f>
        <v>0</v>
      </c>
      <c r="Q904" s="51" t="s">
        <v>149</v>
      </c>
      <c r="R904" s="51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1" t="s">
        <v>149</v>
      </c>
      <c r="P905" s="51">
        <f>HEX2DEC(RIGHT(Table1323212714[[#This Row],[h1]],8))</f>
        <v>0</v>
      </c>
      <c r="Q905" s="51" t="s">
        <v>149</v>
      </c>
      <c r="R905" s="51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1" t="s">
        <v>149</v>
      </c>
      <c r="P906" s="51">
        <f>HEX2DEC(RIGHT(Table1323212714[[#This Row],[h1]],8))</f>
        <v>0</v>
      </c>
      <c r="Q906" s="51" t="s">
        <v>149</v>
      </c>
      <c r="R906" s="51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1" t="s">
        <v>149</v>
      </c>
      <c r="P907" s="51">
        <f>HEX2DEC(RIGHT(Table1323212714[[#This Row],[h1]],8))</f>
        <v>0</v>
      </c>
      <c r="Q907" s="51" t="s">
        <v>149</v>
      </c>
      <c r="R907" s="51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1" t="s">
        <v>149</v>
      </c>
      <c r="P908" s="51">
        <f>HEX2DEC(RIGHT(Table1323212714[[#This Row],[h1]],8))</f>
        <v>0</v>
      </c>
      <c r="Q908" s="51" t="s">
        <v>149</v>
      </c>
      <c r="R908" s="51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1" t="s">
        <v>149</v>
      </c>
      <c r="P909" s="51">
        <f>HEX2DEC(RIGHT(Table1323212714[[#This Row],[h1]],8))</f>
        <v>0</v>
      </c>
      <c r="Q909" s="51" t="s">
        <v>149</v>
      </c>
      <c r="R909" s="51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1" t="s">
        <v>149</v>
      </c>
      <c r="P910" s="51">
        <f>HEX2DEC(RIGHT(Table1323212714[[#This Row],[h1]],8))</f>
        <v>0</v>
      </c>
      <c r="Q910" s="51" t="s">
        <v>149</v>
      </c>
      <c r="R910" s="51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1" t="s">
        <v>149</v>
      </c>
      <c r="P911" s="51">
        <f>HEX2DEC(RIGHT(Table1323212714[[#This Row],[h1]],8))</f>
        <v>0</v>
      </c>
      <c r="Q911" s="51" t="s">
        <v>149</v>
      </c>
      <c r="R911" s="51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1" t="s">
        <v>149</v>
      </c>
      <c r="P912" s="51">
        <f>HEX2DEC(RIGHT(Table1323212714[[#This Row],[h1]],8))</f>
        <v>0</v>
      </c>
      <c r="Q912" s="51" t="s">
        <v>149</v>
      </c>
      <c r="R912" s="51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1" t="s">
        <v>149</v>
      </c>
      <c r="P913" s="51">
        <f>HEX2DEC(RIGHT(Table1323212714[[#This Row],[h1]],8))</f>
        <v>0</v>
      </c>
      <c r="Q913" s="51" t="s">
        <v>149</v>
      </c>
      <c r="R913" s="51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1" t="s">
        <v>149</v>
      </c>
      <c r="P914" s="51">
        <f>HEX2DEC(RIGHT(Table1323212714[[#This Row],[h1]],8))</f>
        <v>0</v>
      </c>
      <c r="Q914" s="51" t="s">
        <v>149</v>
      </c>
      <c r="R914" s="51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1" t="s">
        <v>149</v>
      </c>
      <c r="P915" s="51">
        <f>HEX2DEC(RIGHT(Table1323212714[[#This Row],[h1]],8))</f>
        <v>0</v>
      </c>
      <c r="Q915" s="51" t="s">
        <v>149</v>
      </c>
      <c r="R915" s="51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1" t="s">
        <v>149</v>
      </c>
      <c r="P916" s="51">
        <f>HEX2DEC(RIGHT(Table1323212714[[#This Row],[h1]],8))</f>
        <v>0</v>
      </c>
      <c r="Q916" s="51" t="s">
        <v>149</v>
      </c>
      <c r="R916" s="51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1" t="s">
        <v>149</v>
      </c>
      <c r="P917" s="51">
        <f>HEX2DEC(RIGHT(Table1323212714[[#This Row],[h1]],8))</f>
        <v>0</v>
      </c>
      <c r="Q917" s="51" t="s">
        <v>149</v>
      </c>
      <c r="R917" s="51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1" t="s">
        <v>149</v>
      </c>
      <c r="P918" s="51">
        <f>HEX2DEC(RIGHT(Table1323212714[[#This Row],[h1]],8))</f>
        <v>0</v>
      </c>
      <c r="Q918" s="51" t="s">
        <v>149</v>
      </c>
      <c r="R918" s="51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1" t="s">
        <v>149</v>
      </c>
      <c r="P919" s="51">
        <f>HEX2DEC(RIGHT(Table1323212714[[#This Row],[h1]],8))</f>
        <v>0</v>
      </c>
      <c r="Q919" s="51" t="s">
        <v>149</v>
      </c>
      <c r="R919" s="51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1" t="s">
        <v>149</v>
      </c>
      <c r="P920" s="51">
        <f>HEX2DEC(RIGHT(Table1323212714[[#This Row],[h1]],8))</f>
        <v>0</v>
      </c>
      <c r="Q920" s="51" t="s">
        <v>149</v>
      </c>
      <c r="R920" s="51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1" t="s">
        <v>149</v>
      </c>
      <c r="P921" s="51">
        <f>HEX2DEC(RIGHT(Table1323212714[[#This Row],[h1]],8))</f>
        <v>0</v>
      </c>
      <c r="Q921" s="51" t="s">
        <v>149</v>
      </c>
      <c r="R921" s="51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1" t="s">
        <v>149</v>
      </c>
      <c r="P922" s="51">
        <f>HEX2DEC(RIGHT(Table1323212714[[#This Row],[h1]],8))</f>
        <v>0</v>
      </c>
      <c r="Q922" s="51" t="s">
        <v>149</v>
      </c>
      <c r="R922" s="51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1" t="s">
        <v>149</v>
      </c>
      <c r="P923" s="51">
        <f>HEX2DEC(RIGHT(Table1323212714[[#This Row],[h1]],8))</f>
        <v>0</v>
      </c>
      <c r="Q923" s="51" t="s">
        <v>149</v>
      </c>
      <c r="R923" s="51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1" t="s">
        <v>149</v>
      </c>
      <c r="P924" s="51">
        <f>HEX2DEC(RIGHT(Table1323212714[[#This Row],[h1]],8))</f>
        <v>0</v>
      </c>
      <c r="Q924" s="51" t="s">
        <v>149</v>
      </c>
      <c r="R924" s="51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1" t="s">
        <v>149</v>
      </c>
      <c r="P925" s="51">
        <f>HEX2DEC(RIGHT(Table1323212714[[#This Row],[h1]],8))</f>
        <v>0</v>
      </c>
      <c r="Q925" s="51" t="s">
        <v>149</v>
      </c>
      <c r="R925" s="51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1" t="s">
        <v>149</v>
      </c>
      <c r="P926" s="51">
        <f>HEX2DEC(RIGHT(Table1323212714[[#This Row],[h1]],8))</f>
        <v>0</v>
      </c>
      <c r="Q926" s="51" t="s">
        <v>149</v>
      </c>
      <c r="R926" s="51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1" t="s">
        <v>149</v>
      </c>
      <c r="P927" s="51">
        <f>HEX2DEC(RIGHT(Table1323212714[[#This Row],[h1]],8))</f>
        <v>0</v>
      </c>
      <c r="Q927" s="51" t="s">
        <v>149</v>
      </c>
      <c r="R927" s="51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1" t="s">
        <v>149</v>
      </c>
      <c r="P928" s="51">
        <f>HEX2DEC(RIGHT(Table1323212714[[#This Row],[h1]],8))</f>
        <v>0</v>
      </c>
      <c r="Q928" s="51" t="s">
        <v>149</v>
      </c>
      <c r="R928" s="51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1" t="s">
        <v>149</v>
      </c>
      <c r="P929" s="51">
        <f>HEX2DEC(RIGHT(Table1323212714[[#This Row],[h1]],8))</f>
        <v>0</v>
      </c>
      <c r="Q929" s="51" t="s">
        <v>149</v>
      </c>
      <c r="R929" s="51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1" t="s">
        <v>149</v>
      </c>
      <c r="P930" s="51">
        <f>HEX2DEC(RIGHT(Table1323212714[[#This Row],[h1]],8))</f>
        <v>0</v>
      </c>
      <c r="Q930" s="51" t="s">
        <v>149</v>
      </c>
      <c r="R930" s="51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1" t="s">
        <v>149</v>
      </c>
      <c r="P931" s="51">
        <f>HEX2DEC(RIGHT(Table1323212714[[#This Row],[h1]],8))</f>
        <v>0</v>
      </c>
      <c r="Q931" s="51" t="s">
        <v>149</v>
      </c>
      <c r="R931" s="51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1" t="s">
        <v>149</v>
      </c>
      <c r="P932" s="51">
        <f>HEX2DEC(RIGHT(Table1323212714[[#This Row],[h1]],8))</f>
        <v>0</v>
      </c>
      <c r="Q932" s="51" t="s">
        <v>149</v>
      </c>
      <c r="R932" s="51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1" t="s">
        <v>149</v>
      </c>
      <c r="P933" s="51">
        <f>HEX2DEC(RIGHT(Table1323212714[[#This Row],[h1]],8))</f>
        <v>0</v>
      </c>
      <c r="Q933" s="51" t="s">
        <v>149</v>
      </c>
      <c r="R933" s="51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1" t="s">
        <v>149</v>
      </c>
      <c r="P934" s="51">
        <f>HEX2DEC(RIGHT(Table1323212714[[#This Row],[h1]],8))</f>
        <v>0</v>
      </c>
      <c r="Q934" s="51" t="s">
        <v>149</v>
      </c>
      <c r="R934" s="51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1" t="s">
        <v>149</v>
      </c>
      <c r="P935" s="51">
        <f>HEX2DEC(RIGHT(Table1323212714[[#This Row],[h1]],8))</f>
        <v>0</v>
      </c>
      <c r="Q935" s="51" t="s">
        <v>149</v>
      </c>
      <c r="R935" s="51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1" t="s">
        <v>149</v>
      </c>
      <c r="P936" s="51">
        <f>HEX2DEC(RIGHT(Table1323212714[[#This Row],[h1]],8))</f>
        <v>0</v>
      </c>
      <c r="Q936" s="51" t="s">
        <v>149</v>
      </c>
      <c r="R936" s="51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1" t="s">
        <v>149</v>
      </c>
      <c r="P937" s="51">
        <f>HEX2DEC(RIGHT(Table1323212714[[#This Row],[h1]],8))</f>
        <v>0</v>
      </c>
      <c r="Q937" s="51" t="s">
        <v>149</v>
      </c>
      <c r="R937" s="51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1" t="s">
        <v>149</v>
      </c>
      <c r="P938" s="51">
        <f>HEX2DEC(RIGHT(Table1323212714[[#This Row],[h1]],8))</f>
        <v>0</v>
      </c>
      <c r="Q938" s="51" t="s">
        <v>149</v>
      </c>
      <c r="R938" s="51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1" t="s">
        <v>149</v>
      </c>
      <c r="P939" s="51">
        <f>HEX2DEC(RIGHT(Table1323212714[[#This Row],[h1]],8))</f>
        <v>0</v>
      </c>
      <c r="Q939" s="51" t="s">
        <v>149</v>
      </c>
      <c r="R939" s="51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1" t="s">
        <v>149</v>
      </c>
      <c r="P940" s="51">
        <f>HEX2DEC(RIGHT(Table1323212714[[#This Row],[h1]],8))</f>
        <v>0</v>
      </c>
      <c r="Q940" s="51" t="s">
        <v>149</v>
      </c>
      <c r="R940" s="51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1" t="s">
        <v>149</v>
      </c>
      <c r="P941" s="51">
        <f>HEX2DEC(RIGHT(Table1323212714[[#This Row],[h1]],8))</f>
        <v>0</v>
      </c>
      <c r="Q941" s="51" t="s">
        <v>149</v>
      </c>
      <c r="R941" s="51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1" t="s">
        <v>149</v>
      </c>
      <c r="P942" s="51">
        <f>HEX2DEC(RIGHT(Table1323212714[[#This Row],[h1]],8))</f>
        <v>0</v>
      </c>
      <c r="Q942" s="51" t="s">
        <v>149</v>
      </c>
      <c r="R942" s="51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1" t="s">
        <v>149</v>
      </c>
      <c r="P943" s="51">
        <f>HEX2DEC(RIGHT(Table1323212714[[#This Row],[h1]],8))</f>
        <v>0</v>
      </c>
      <c r="Q943" s="51" t="s">
        <v>149</v>
      </c>
      <c r="R943" s="51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1" t="s">
        <v>149</v>
      </c>
      <c r="P944" s="51">
        <f>HEX2DEC(RIGHT(Table1323212714[[#This Row],[h1]],8))</f>
        <v>0</v>
      </c>
      <c r="Q944" s="51" t="s">
        <v>149</v>
      </c>
      <c r="R944" s="51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1" t="s">
        <v>149</v>
      </c>
      <c r="P945" s="51">
        <f>HEX2DEC(RIGHT(Table1323212714[[#This Row],[h1]],8))</f>
        <v>0</v>
      </c>
      <c r="Q945" s="51" t="s">
        <v>149</v>
      </c>
      <c r="R945" s="51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1" t="s">
        <v>149</v>
      </c>
      <c r="P946" s="51">
        <f>HEX2DEC(RIGHT(Table1323212714[[#This Row],[h1]],8))</f>
        <v>0</v>
      </c>
      <c r="Q946" s="51" t="s">
        <v>149</v>
      </c>
      <c r="R946" s="51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1" t="s">
        <v>149</v>
      </c>
      <c r="P947" s="51">
        <f>HEX2DEC(RIGHT(Table1323212714[[#This Row],[h1]],8))</f>
        <v>0</v>
      </c>
      <c r="Q947" s="51" t="s">
        <v>149</v>
      </c>
      <c r="R947" s="51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1" t="s">
        <v>149</v>
      </c>
      <c r="P948" s="51">
        <f>HEX2DEC(RIGHT(Table1323212714[[#This Row],[h1]],8))</f>
        <v>0</v>
      </c>
      <c r="Q948" s="51" t="s">
        <v>149</v>
      </c>
      <c r="R948" s="51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1" t="s">
        <v>149</v>
      </c>
      <c r="P949" s="51">
        <f>HEX2DEC(RIGHT(Table1323212714[[#This Row],[h1]],8))</f>
        <v>0</v>
      </c>
      <c r="Q949" s="51" t="s">
        <v>149</v>
      </c>
      <c r="R949" s="51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1" t="s">
        <v>149</v>
      </c>
      <c r="P950" s="51">
        <f>HEX2DEC(RIGHT(Table1323212714[[#This Row],[h1]],8))</f>
        <v>0</v>
      </c>
      <c r="Q950" s="51" t="s">
        <v>149</v>
      </c>
      <c r="R950" s="51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1" t="s">
        <v>149</v>
      </c>
      <c r="P951" s="51">
        <f>HEX2DEC(RIGHT(Table1323212714[[#This Row],[h1]],8))</f>
        <v>0</v>
      </c>
      <c r="Q951" s="51" t="s">
        <v>149</v>
      </c>
      <c r="R951" s="51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1" t="s">
        <v>149</v>
      </c>
      <c r="P952" s="51">
        <f>HEX2DEC(RIGHT(Table1323212714[[#This Row],[h1]],8))</f>
        <v>0</v>
      </c>
      <c r="Q952" s="51" t="s">
        <v>149</v>
      </c>
      <c r="R952" s="51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1" t="s">
        <v>149</v>
      </c>
      <c r="P953" s="51">
        <f>HEX2DEC(RIGHT(Table1323212714[[#This Row],[h1]],8))</f>
        <v>0</v>
      </c>
      <c r="Q953" s="51" t="s">
        <v>149</v>
      </c>
      <c r="R953" s="51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1" t="s">
        <v>149</v>
      </c>
      <c r="P954" s="51">
        <f>HEX2DEC(RIGHT(Table1323212714[[#This Row],[h1]],8))</f>
        <v>0</v>
      </c>
      <c r="Q954" s="51" t="s">
        <v>149</v>
      </c>
      <c r="R954" s="51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1" t="s">
        <v>149</v>
      </c>
      <c r="P955" s="51">
        <f>HEX2DEC(RIGHT(Table1323212714[[#This Row],[h1]],8))</f>
        <v>0</v>
      </c>
      <c r="Q955" s="51" t="s">
        <v>149</v>
      </c>
      <c r="R955" s="51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1" t="s">
        <v>149</v>
      </c>
      <c r="P956" s="51">
        <f>HEX2DEC(RIGHT(Table1323212714[[#This Row],[h1]],8))</f>
        <v>0</v>
      </c>
      <c r="Q956" s="51" t="s">
        <v>149</v>
      </c>
      <c r="R956" s="51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1" t="s">
        <v>149</v>
      </c>
      <c r="P957" s="51">
        <f>HEX2DEC(RIGHT(Table1323212714[[#This Row],[h1]],8))</f>
        <v>0</v>
      </c>
      <c r="Q957" s="51" t="s">
        <v>149</v>
      </c>
      <c r="R957" s="51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1" t="s">
        <v>149</v>
      </c>
      <c r="P958" s="51">
        <f>HEX2DEC(RIGHT(Table1323212714[[#This Row],[h1]],8))</f>
        <v>0</v>
      </c>
      <c r="Q958" s="51" t="s">
        <v>149</v>
      </c>
      <c r="R958" s="51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1" t="s">
        <v>149</v>
      </c>
      <c r="P959" s="51">
        <f>HEX2DEC(RIGHT(Table1323212714[[#This Row],[h1]],8))</f>
        <v>0</v>
      </c>
      <c r="Q959" s="51" t="s">
        <v>149</v>
      </c>
      <c r="R959" s="51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1" t="s">
        <v>149</v>
      </c>
      <c r="P960" s="51">
        <f>HEX2DEC(RIGHT(Table1323212714[[#This Row],[h1]],8))</f>
        <v>0</v>
      </c>
      <c r="Q960" s="51" t="s">
        <v>149</v>
      </c>
      <c r="R960" s="51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1" t="s">
        <v>149</v>
      </c>
      <c r="P961" s="51">
        <f>HEX2DEC(RIGHT(Table1323212714[[#This Row],[h1]],8))</f>
        <v>0</v>
      </c>
      <c r="Q961" s="51" t="s">
        <v>149</v>
      </c>
      <c r="R961" s="51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1" t="s">
        <v>149</v>
      </c>
      <c r="P962" s="51">
        <f>HEX2DEC(RIGHT(Table1323212714[[#This Row],[h1]],8))</f>
        <v>0</v>
      </c>
      <c r="Q962" s="51" t="s">
        <v>149</v>
      </c>
      <c r="R962" s="51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1" t="s">
        <v>149</v>
      </c>
      <c r="P963" s="51">
        <f>HEX2DEC(RIGHT(Table1323212714[[#This Row],[h1]],8))</f>
        <v>0</v>
      </c>
      <c r="Q963" s="51" t="s">
        <v>149</v>
      </c>
      <c r="R963" s="51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1" t="s">
        <v>149</v>
      </c>
      <c r="P964" s="51">
        <f>HEX2DEC(RIGHT(Table1323212714[[#This Row],[h1]],8))</f>
        <v>0</v>
      </c>
      <c r="Q964" s="51" t="s">
        <v>149</v>
      </c>
      <c r="R964" s="51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1" t="s">
        <v>149</v>
      </c>
      <c r="P965" s="51">
        <f>HEX2DEC(RIGHT(Table1323212714[[#This Row],[h1]],8))</f>
        <v>0</v>
      </c>
      <c r="Q965" s="51" t="s">
        <v>149</v>
      </c>
      <c r="R965" s="51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1" t="s">
        <v>149</v>
      </c>
      <c r="P966" s="51">
        <f>HEX2DEC(RIGHT(Table1323212714[[#This Row],[h1]],8))</f>
        <v>0</v>
      </c>
      <c r="Q966" s="51" t="s">
        <v>149</v>
      </c>
      <c r="R966" s="51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1" t="s">
        <v>149</v>
      </c>
      <c r="P967" s="51">
        <f>HEX2DEC(RIGHT(Table1323212714[[#This Row],[h1]],8))</f>
        <v>0</v>
      </c>
      <c r="Q967" s="51" t="s">
        <v>149</v>
      </c>
      <c r="R967" s="51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1" t="s">
        <v>149</v>
      </c>
      <c r="P968" s="51">
        <f>HEX2DEC(RIGHT(Table1323212714[[#This Row],[h1]],8))</f>
        <v>0</v>
      </c>
      <c r="Q968" s="51" t="s">
        <v>149</v>
      </c>
      <c r="R968" s="51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1" t="s">
        <v>149</v>
      </c>
      <c r="P969" s="51">
        <f>HEX2DEC(RIGHT(Table1323212714[[#This Row],[h1]],8))</f>
        <v>0</v>
      </c>
      <c r="Q969" s="51" t="s">
        <v>149</v>
      </c>
      <c r="R969" s="51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1" t="s">
        <v>149</v>
      </c>
      <c r="P970" s="51">
        <f>HEX2DEC(RIGHT(Table1323212714[[#This Row],[h1]],8))</f>
        <v>0</v>
      </c>
      <c r="Q970" s="51" t="s">
        <v>149</v>
      </c>
      <c r="R970" s="51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1" t="s">
        <v>149</v>
      </c>
      <c r="P971" s="51">
        <f>HEX2DEC(RIGHT(Table1323212714[[#This Row],[h1]],8))</f>
        <v>0</v>
      </c>
      <c r="Q971" s="51" t="s">
        <v>149</v>
      </c>
      <c r="R971" s="51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1" t="s">
        <v>149</v>
      </c>
      <c r="P972" s="51">
        <f>HEX2DEC(RIGHT(Table1323212714[[#This Row],[h1]],8))</f>
        <v>0</v>
      </c>
      <c r="Q972" s="51" t="s">
        <v>149</v>
      </c>
      <c r="R972" s="51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1" t="s">
        <v>149</v>
      </c>
      <c r="P973" s="51">
        <f>HEX2DEC(RIGHT(Table1323212714[[#This Row],[h1]],8))</f>
        <v>0</v>
      </c>
      <c r="Q973" s="51" t="s">
        <v>149</v>
      </c>
      <c r="R973" s="51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1" t="s">
        <v>149</v>
      </c>
      <c r="P974" s="51">
        <f>HEX2DEC(RIGHT(Table1323212714[[#This Row],[h1]],8))</f>
        <v>0</v>
      </c>
      <c r="Q974" s="51" t="s">
        <v>149</v>
      </c>
      <c r="R974" s="51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1" t="s">
        <v>149</v>
      </c>
      <c r="P975" s="51">
        <f>HEX2DEC(RIGHT(Table1323212714[[#This Row],[h1]],8))</f>
        <v>0</v>
      </c>
      <c r="Q975" s="51" t="s">
        <v>149</v>
      </c>
      <c r="R975" s="51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1" t="s">
        <v>149</v>
      </c>
      <c r="P976" s="51">
        <f>HEX2DEC(RIGHT(Table1323212714[[#This Row],[h1]],8))</f>
        <v>0</v>
      </c>
      <c r="Q976" s="51" t="s">
        <v>149</v>
      </c>
      <c r="R976" s="51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1" t="s">
        <v>149</v>
      </c>
      <c r="P977" s="51">
        <f>HEX2DEC(RIGHT(Table1323212714[[#This Row],[h1]],8))</f>
        <v>0</v>
      </c>
      <c r="Q977" s="51" t="s">
        <v>149</v>
      </c>
      <c r="R977" s="51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1" t="s">
        <v>149</v>
      </c>
      <c r="P978" s="51">
        <f>HEX2DEC(RIGHT(Table1323212714[[#This Row],[h1]],8))</f>
        <v>0</v>
      </c>
      <c r="Q978" s="51" t="s">
        <v>149</v>
      </c>
      <c r="R978" s="51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1" t="s">
        <v>149</v>
      </c>
      <c r="P979" s="51">
        <f>HEX2DEC(RIGHT(Table1323212714[[#This Row],[h1]],8))</f>
        <v>0</v>
      </c>
      <c r="Q979" s="51" t="s">
        <v>149</v>
      </c>
      <c r="R979" s="51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1" t="s">
        <v>149</v>
      </c>
      <c r="P980" s="51">
        <f>HEX2DEC(RIGHT(Table1323212714[[#This Row],[h1]],8))</f>
        <v>0</v>
      </c>
      <c r="Q980" s="51" t="s">
        <v>149</v>
      </c>
      <c r="R980" s="51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1" t="s">
        <v>149</v>
      </c>
      <c r="P981" s="51">
        <f>HEX2DEC(RIGHT(Table1323212714[[#This Row],[h1]],8))</f>
        <v>0</v>
      </c>
      <c r="Q981" s="51" t="s">
        <v>149</v>
      </c>
      <c r="R981" s="51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1" t="s">
        <v>149</v>
      </c>
      <c r="P982" s="51">
        <f>HEX2DEC(RIGHT(Table1323212714[[#This Row],[h1]],8))</f>
        <v>0</v>
      </c>
      <c r="Q982" s="51" t="s">
        <v>149</v>
      </c>
      <c r="R982" s="51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1" t="s">
        <v>149</v>
      </c>
      <c r="P983" s="51">
        <f>HEX2DEC(RIGHT(Table1323212714[[#This Row],[h1]],8))</f>
        <v>0</v>
      </c>
      <c r="Q983" s="51" t="s">
        <v>149</v>
      </c>
      <c r="R983" s="51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1" t="s">
        <v>149</v>
      </c>
      <c r="P984" s="51">
        <f>HEX2DEC(RIGHT(Table1323212714[[#This Row],[h1]],8))</f>
        <v>0</v>
      </c>
      <c r="Q984" s="51" t="s">
        <v>149</v>
      </c>
      <c r="R984" s="51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1" t="s">
        <v>149</v>
      </c>
      <c r="P985" s="51">
        <f>HEX2DEC(RIGHT(Table1323212714[[#This Row],[h1]],8))</f>
        <v>0</v>
      </c>
      <c r="Q985" s="51" t="s">
        <v>149</v>
      </c>
      <c r="R985" s="51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1" t="s">
        <v>149</v>
      </c>
      <c r="P986" s="51">
        <f>HEX2DEC(RIGHT(Table1323212714[[#This Row],[h1]],8))</f>
        <v>0</v>
      </c>
      <c r="Q986" s="51" t="s">
        <v>149</v>
      </c>
      <c r="R986" s="51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1" t="s">
        <v>149</v>
      </c>
      <c r="P987" s="51">
        <f>HEX2DEC(RIGHT(Table1323212714[[#This Row],[h1]],8))</f>
        <v>0</v>
      </c>
      <c r="Q987" s="51" t="s">
        <v>149</v>
      </c>
      <c r="R987" s="51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1" t="s">
        <v>149</v>
      </c>
      <c r="P988" s="51">
        <f>HEX2DEC(RIGHT(Table1323212714[[#This Row],[h1]],8))</f>
        <v>0</v>
      </c>
      <c r="Q988" s="51" t="s">
        <v>149</v>
      </c>
      <c r="R988" s="51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1" t="s">
        <v>149</v>
      </c>
      <c r="P989" s="51">
        <f>HEX2DEC(RIGHT(Table1323212714[[#This Row],[h1]],8))</f>
        <v>0</v>
      </c>
      <c r="Q989" s="51" t="s">
        <v>149</v>
      </c>
      <c r="R989" s="51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1" t="s">
        <v>149</v>
      </c>
      <c r="P990" s="51">
        <f>HEX2DEC(RIGHT(Table1323212714[[#This Row],[h1]],8))</f>
        <v>0</v>
      </c>
      <c r="Q990" s="51" t="s">
        <v>149</v>
      </c>
      <c r="R990" s="51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1" t="s">
        <v>149</v>
      </c>
      <c r="P991" s="51">
        <f>HEX2DEC(RIGHT(Table1323212714[[#This Row],[h1]],8))</f>
        <v>0</v>
      </c>
      <c r="Q991" s="51" t="s">
        <v>149</v>
      </c>
      <c r="R991" s="51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1" t="s">
        <v>149</v>
      </c>
      <c r="P992" s="51">
        <f>HEX2DEC(RIGHT(Table1323212714[[#This Row],[h1]],8))</f>
        <v>0</v>
      </c>
      <c r="Q992" s="51" t="s">
        <v>149</v>
      </c>
      <c r="R992" s="51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1" t="s">
        <v>149</v>
      </c>
      <c r="P993" s="51">
        <f>HEX2DEC(RIGHT(Table1323212714[[#This Row],[h1]],8))</f>
        <v>0</v>
      </c>
      <c r="Q993" s="51" t="s">
        <v>149</v>
      </c>
      <c r="R993" s="51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1" t="s">
        <v>149</v>
      </c>
      <c r="P994" s="51">
        <f>HEX2DEC(RIGHT(Table1323212714[[#This Row],[h1]],8))</f>
        <v>0</v>
      </c>
      <c r="Q994" s="51" t="s">
        <v>149</v>
      </c>
      <c r="R994" s="51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1" t="s">
        <v>149</v>
      </c>
      <c r="P995" s="51">
        <f>HEX2DEC(RIGHT(Table1323212714[[#This Row],[h1]],8))</f>
        <v>0</v>
      </c>
      <c r="Q995" s="51" t="s">
        <v>149</v>
      </c>
      <c r="R995" s="51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1" t="s">
        <v>149</v>
      </c>
      <c r="P996" s="51">
        <f>HEX2DEC(RIGHT(Table1323212714[[#This Row],[h1]],8))</f>
        <v>0</v>
      </c>
      <c r="Q996" s="51" t="s">
        <v>149</v>
      </c>
      <c r="R996" s="51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1" t="s">
        <v>149</v>
      </c>
      <c r="P997" s="51">
        <f>HEX2DEC(RIGHT(Table1323212714[[#This Row],[h1]],8))</f>
        <v>0</v>
      </c>
      <c r="Q997" s="51" t="s">
        <v>149</v>
      </c>
      <c r="R997" s="51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1" t="s">
        <v>149</v>
      </c>
      <c r="P998" s="51">
        <f>HEX2DEC(RIGHT(Table1323212714[[#This Row],[h1]],8))</f>
        <v>0</v>
      </c>
      <c r="Q998" s="51" t="s">
        <v>149</v>
      </c>
      <c r="R998" s="51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1" t="s">
        <v>149</v>
      </c>
      <c r="P999" s="51">
        <f>HEX2DEC(RIGHT(Table1323212714[[#This Row],[h1]],8))</f>
        <v>0</v>
      </c>
      <c r="Q999" s="51" t="s">
        <v>149</v>
      </c>
      <c r="R999" s="51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1" t="s">
        <v>149</v>
      </c>
      <c r="P1000" s="51">
        <f>HEX2DEC(RIGHT(Table1323212714[[#This Row],[h1]],8))</f>
        <v>0</v>
      </c>
      <c r="Q1000" s="51" t="s">
        <v>149</v>
      </c>
      <c r="R1000" s="51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1" t="s">
        <v>149</v>
      </c>
      <c r="P1001" s="51">
        <f>HEX2DEC(RIGHT(Table1323212714[[#This Row],[h1]],8))</f>
        <v>0</v>
      </c>
      <c r="Q1001" s="51" t="s">
        <v>149</v>
      </c>
      <c r="R1001" s="51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1" t="s">
        <v>149</v>
      </c>
      <c r="P1002" s="51">
        <f>HEX2DEC(RIGHT(Table1323212714[[#This Row],[h1]],8))</f>
        <v>0</v>
      </c>
      <c r="Q1002" s="51" t="s">
        <v>149</v>
      </c>
      <c r="R1002" s="51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1" t="s">
        <v>149</v>
      </c>
      <c r="P1003" s="51">
        <f>HEX2DEC(RIGHT(Table1323212714[[#This Row],[h1]],8))</f>
        <v>0</v>
      </c>
      <c r="Q1003" s="51" t="s">
        <v>149</v>
      </c>
      <c r="R1003" s="51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1" t="s">
        <v>149</v>
      </c>
      <c r="P1004" s="51">
        <f>HEX2DEC(RIGHT(Table1323212714[[#This Row],[h1]],8))</f>
        <v>0</v>
      </c>
      <c r="Q1004" s="51" t="s">
        <v>149</v>
      </c>
      <c r="R1004" s="51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1" t="s">
        <v>149</v>
      </c>
      <c r="P1005" s="51">
        <f>HEX2DEC(RIGHT(Table1323212714[[#This Row],[h1]],8))</f>
        <v>0</v>
      </c>
      <c r="Q1005" s="51" t="s">
        <v>149</v>
      </c>
      <c r="R1005" s="51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1" t="s">
        <v>149</v>
      </c>
      <c r="P1006" s="51">
        <f>HEX2DEC(RIGHT(Table1323212714[[#This Row],[h1]],8))</f>
        <v>0</v>
      </c>
      <c r="Q1006" s="51" t="s">
        <v>149</v>
      </c>
      <c r="R1006" s="51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1" t="s">
        <v>149</v>
      </c>
      <c r="P1007" s="51">
        <f>HEX2DEC(RIGHT(Table1323212714[[#This Row],[h1]],8))</f>
        <v>0</v>
      </c>
      <c r="Q1007" s="51" t="s">
        <v>149</v>
      </c>
      <c r="R1007" s="51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1" t="s">
        <v>149</v>
      </c>
      <c r="P1008" s="51">
        <f>HEX2DEC(RIGHT(Table1323212714[[#This Row],[h1]],8))</f>
        <v>0</v>
      </c>
      <c r="Q1008" s="51" t="s">
        <v>149</v>
      </c>
      <c r="R1008" s="51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1" t="s">
        <v>149</v>
      </c>
      <c r="P1009" s="51">
        <f>HEX2DEC(RIGHT(Table1323212714[[#This Row],[h1]],8))</f>
        <v>0</v>
      </c>
      <c r="Q1009" s="51" t="s">
        <v>149</v>
      </c>
      <c r="R1009" s="51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1" t="s">
        <v>149</v>
      </c>
      <c r="P1010" s="51">
        <f>HEX2DEC(RIGHT(Table1323212714[[#This Row],[h1]],8))</f>
        <v>0</v>
      </c>
      <c r="Q1010" s="51" t="s">
        <v>149</v>
      </c>
      <c r="R1010" s="51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1" t="s">
        <v>149</v>
      </c>
      <c r="P1011" s="51">
        <f>HEX2DEC(RIGHT(Table1323212714[[#This Row],[h1]],8))</f>
        <v>0</v>
      </c>
      <c r="Q1011" s="51" t="s">
        <v>149</v>
      </c>
      <c r="R1011" s="51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1" t="s">
        <v>149</v>
      </c>
      <c r="P1012" s="51">
        <f>HEX2DEC(RIGHT(Table1323212714[[#This Row],[h1]],8))</f>
        <v>0</v>
      </c>
      <c r="Q1012" s="51" t="s">
        <v>149</v>
      </c>
      <c r="R1012" s="51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1" t="s">
        <v>149</v>
      </c>
      <c r="P1013" s="51">
        <f>HEX2DEC(RIGHT(Table1323212714[[#This Row],[h1]],8))</f>
        <v>0</v>
      </c>
      <c r="Q1013" s="51" t="s">
        <v>149</v>
      </c>
      <c r="R1013" s="51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1" t="s">
        <v>149</v>
      </c>
      <c r="P1014" s="51">
        <f>HEX2DEC(RIGHT(Table1323212714[[#This Row],[h1]],8))</f>
        <v>0</v>
      </c>
      <c r="Q1014" s="51" t="s">
        <v>149</v>
      </c>
      <c r="R1014" s="51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1" t="s">
        <v>149</v>
      </c>
      <c r="P1015" s="51">
        <f>HEX2DEC(RIGHT(Table1323212714[[#This Row],[h1]],8))</f>
        <v>0</v>
      </c>
      <c r="Q1015" s="51" t="s">
        <v>149</v>
      </c>
      <c r="R1015" s="51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1" t="s">
        <v>149</v>
      </c>
      <c r="P1016" s="51">
        <f>HEX2DEC(RIGHT(Table1323212714[[#This Row],[h1]],8))</f>
        <v>0</v>
      </c>
      <c r="Q1016" s="51" t="s">
        <v>149</v>
      </c>
      <c r="R1016" s="51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1" t="s">
        <v>149</v>
      </c>
      <c r="P1017" s="51">
        <f>HEX2DEC(RIGHT(Table1323212714[[#This Row],[h1]],8))</f>
        <v>0</v>
      </c>
      <c r="Q1017" s="51" t="s">
        <v>149</v>
      </c>
      <c r="R1017" s="51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1" t="s">
        <v>149</v>
      </c>
      <c r="P1018" s="51">
        <f>HEX2DEC(RIGHT(Table1323212714[[#This Row],[h1]],8))</f>
        <v>0</v>
      </c>
      <c r="Q1018" s="51" t="s">
        <v>149</v>
      </c>
      <c r="R1018" s="51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1" t="s">
        <v>149</v>
      </c>
      <c r="P1019" s="51">
        <f>HEX2DEC(RIGHT(Table1323212714[[#This Row],[h1]],8))</f>
        <v>0</v>
      </c>
      <c r="Q1019" s="51" t="s">
        <v>149</v>
      </c>
      <c r="R1019" s="51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1" t="s">
        <v>149</v>
      </c>
      <c r="P1020" s="51">
        <f>HEX2DEC(RIGHT(Table1323212714[[#This Row],[h1]],8))</f>
        <v>0</v>
      </c>
      <c r="Q1020" s="51" t="s">
        <v>149</v>
      </c>
      <c r="R1020" s="51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1" t="s">
        <v>149</v>
      </c>
      <c r="P1021" s="51">
        <f>HEX2DEC(RIGHT(Table1323212714[[#This Row],[h1]],8))</f>
        <v>0</v>
      </c>
      <c r="Q1021" s="51" t="s">
        <v>149</v>
      </c>
      <c r="R1021" s="51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1" t="s">
        <v>149</v>
      </c>
      <c r="P1022" s="51">
        <f>HEX2DEC(RIGHT(Table1323212714[[#This Row],[h1]],8))</f>
        <v>0</v>
      </c>
      <c r="Q1022" s="51" t="s">
        <v>149</v>
      </c>
      <c r="R1022" s="51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1" t="s">
        <v>149</v>
      </c>
      <c r="P1023" s="51">
        <f>HEX2DEC(RIGHT(Table1323212714[[#This Row],[h1]],8))</f>
        <v>0</v>
      </c>
      <c r="Q1023" s="51" t="s">
        <v>149</v>
      </c>
      <c r="R1023" s="51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1" t="s">
        <v>149</v>
      </c>
      <c r="P1024" s="51">
        <f>HEX2DEC(RIGHT(Table1323212714[[#This Row],[h1]],8))</f>
        <v>0</v>
      </c>
      <c r="Q1024" s="51" t="s">
        <v>149</v>
      </c>
      <c r="R1024" s="51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1" t="s">
        <v>149</v>
      </c>
      <c r="P1025" s="51">
        <f>HEX2DEC(RIGHT(Table1323212714[[#This Row],[h1]],8))</f>
        <v>0</v>
      </c>
      <c r="Q1025" s="51" t="s">
        <v>149</v>
      </c>
      <c r="R1025" s="51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1" t="s">
        <v>149</v>
      </c>
      <c r="P1026" s="51">
        <f>HEX2DEC(RIGHT(Table1323212714[[#This Row],[h1]],8))</f>
        <v>0</v>
      </c>
      <c r="Q1026" s="51" t="s">
        <v>149</v>
      </c>
      <c r="R1026" s="51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1" t="s">
        <v>149</v>
      </c>
      <c r="P1027" s="51">
        <f>HEX2DEC(RIGHT(Table1323212714[[#This Row],[h1]],8))</f>
        <v>0</v>
      </c>
      <c r="Q1027" s="51" t="s">
        <v>149</v>
      </c>
      <c r="R1027" s="51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1" t="s">
        <v>149</v>
      </c>
      <c r="P1028" s="51">
        <f>HEX2DEC(RIGHT(Table1323212714[[#This Row],[h1]],8))</f>
        <v>0</v>
      </c>
      <c r="Q1028" s="51" t="s">
        <v>149</v>
      </c>
      <c r="R1028" s="51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1" t="s">
        <v>149</v>
      </c>
      <c r="P1029" s="51">
        <f>HEX2DEC(RIGHT(Table1323212714[[#This Row],[h1]],8))</f>
        <v>0</v>
      </c>
      <c r="Q1029" s="51" t="s">
        <v>149</v>
      </c>
      <c r="R1029" s="51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1" t="s">
        <v>149</v>
      </c>
      <c r="P1030" s="51">
        <f>HEX2DEC(RIGHT(Table1323212714[[#This Row],[h1]],8))</f>
        <v>0</v>
      </c>
      <c r="Q1030" s="51" t="s">
        <v>149</v>
      </c>
      <c r="R1030" s="51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1" t="s">
        <v>149</v>
      </c>
      <c r="P1031" s="51">
        <f>HEX2DEC(RIGHT(Table1323212714[[#This Row],[h1]],8))</f>
        <v>0</v>
      </c>
      <c r="Q1031" s="51" t="s">
        <v>149</v>
      </c>
      <c r="R1031" s="51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1" t="s">
        <v>149</v>
      </c>
      <c r="P1032" s="51">
        <f>HEX2DEC(RIGHT(Table1323212714[[#This Row],[h1]],8))</f>
        <v>0</v>
      </c>
      <c r="Q1032" s="51" t="s">
        <v>149</v>
      </c>
      <c r="R1032" s="51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1" t="s">
        <v>149</v>
      </c>
      <c r="P1033" s="51">
        <f>HEX2DEC(RIGHT(Table1323212714[[#This Row],[h1]],8))</f>
        <v>0</v>
      </c>
      <c r="Q1033" s="51" t="s">
        <v>149</v>
      </c>
      <c r="R1033" s="51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1" t="s">
        <v>149</v>
      </c>
      <c r="P1034" s="51">
        <f>HEX2DEC(RIGHT(Table1323212714[[#This Row],[h1]],8))</f>
        <v>0</v>
      </c>
      <c r="Q1034" s="51" t="s">
        <v>149</v>
      </c>
      <c r="R1034" s="51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1" t="s">
        <v>149</v>
      </c>
      <c r="P1035" s="51">
        <f>HEX2DEC(RIGHT(Table1323212714[[#This Row],[h1]],8))</f>
        <v>0</v>
      </c>
      <c r="Q1035" s="51" t="s">
        <v>149</v>
      </c>
      <c r="R1035" s="51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1" t="s">
        <v>149</v>
      </c>
      <c r="P1036" s="51">
        <f>HEX2DEC(RIGHT(Table1323212714[[#This Row],[h1]],8))</f>
        <v>0</v>
      </c>
      <c r="Q1036" s="51" t="s">
        <v>149</v>
      </c>
      <c r="R1036" s="51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1" t="s">
        <v>149</v>
      </c>
      <c r="P1037" s="51">
        <f>HEX2DEC(RIGHT(Table1323212714[[#This Row],[h1]],8))</f>
        <v>0</v>
      </c>
      <c r="Q1037" s="51" t="s">
        <v>149</v>
      </c>
      <c r="R1037" s="51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1" t="s">
        <v>149</v>
      </c>
      <c r="P1038" s="51">
        <f>HEX2DEC(RIGHT(Table1323212714[[#This Row],[h1]],8))</f>
        <v>0</v>
      </c>
      <c r="Q1038" s="51" t="s">
        <v>149</v>
      </c>
      <c r="R1038" s="51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1" t="s">
        <v>149</v>
      </c>
      <c r="P1039" s="51">
        <f>HEX2DEC(RIGHT(Table1323212714[[#This Row],[h1]],8))</f>
        <v>0</v>
      </c>
      <c r="Q1039" s="51" t="s">
        <v>149</v>
      </c>
      <c r="R1039" s="51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1" t="s">
        <v>149</v>
      </c>
      <c r="P1040" s="51">
        <f>HEX2DEC(RIGHT(Table1323212714[[#This Row],[h1]],8))</f>
        <v>0</v>
      </c>
      <c r="Q1040" s="51" t="s">
        <v>149</v>
      </c>
      <c r="R1040" s="51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1" t="s">
        <v>149</v>
      </c>
      <c r="P1041" s="51">
        <f>HEX2DEC(RIGHT(Table1323212714[[#This Row],[h1]],8))</f>
        <v>0</v>
      </c>
      <c r="Q1041" s="51" t="s">
        <v>149</v>
      </c>
      <c r="R1041" s="51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1" t="s">
        <v>149</v>
      </c>
      <c r="P1042" s="51">
        <f>HEX2DEC(RIGHT(Table1323212714[[#This Row],[h1]],8))</f>
        <v>0</v>
      </c>
      <c r="Q1042" s="51" t="s">
        <v>149</v>
      </c>
      <c r="R1042" s="51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1" t="s">
        <v>149</v>
      </c>
      <c r="P1043" s="51">
        <f>HEX2DEC(RIGHT(Table1323212714[[#This Row],[h1]],8))</f>
        <v>0</v>
      </c>
      <c r="Q1043" s="51" t="s">
        <v>149</v>
      </c>
      <c r="R1043" s="51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1" t="s">
        <v>149</v>
      </c>
      <c r="P1044" s="51">
        <f>HEX2DEC(RIGHT(Table1323212714[[#This Row],[h1]],8))</f>
        <v>0</v>
      </c>
      <c r="Q1044" s="51" t="s">
        <v>149</v>
      </c>
      <c r="R1044" s="51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1" t="s">
        <v>149</v>
      </c>
      <c r="P1045" s="51">
        <f>HEX2DEC(RIGHT(Table1323212714[[#This Row],[h1]],8))</f>
        <v>0</v>
      </c>
      <c r="Q1045" s="51" t="s">
        <v>149</v>
      </c>
      <c r="R1045" s="51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1" t="s">
        <v>149</v>
      </c>
      <c r="P1046" s="51">
        <f>HEX2DEC(RIGHT(Table1323212714[[#This Row],[h1]],8))</f>
        <v>0</v>
      </c>
      <c r="Q1046" s="51" t="s">
        <v>149</v>
      </c>
      <c r="R1046" s="51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1" t="s">
        <v>149</v>
      </c>
      <c r="P1047" s="51">
        <f>HEX2DEC(RIGHT(Table1323212714[[#This Row],[h1]],8))</f>
        <v>0</v>
      </c>
      <c r="Q1047" s="51" t="s">
        <v>149</v>
      </c>
      <c r="R1047" s="51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1" t="s">
        <v>149</v>
      </c>
      <c r="P1048" s="51">
        <f>HEX2DEC(RIGHT(Table1323212714[[#This Row],[h1]],8))</f>
        <v>0</v>
      </c>
      <c r="Q1048" s="51" t="s">
        <v>149</v>
      </c>
      <c r="R1048" s="51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1" t="s">
        <v>149</v>
      </c>
      <c r="P1049" s="51">
        <f>HEX2DEC(RIGHT(Table1323212714[[#This Row],[h1]],8))</f>
        <v>0</v>
      </c>
      <c r="Q1049" s="51" t="s">
        <v>149</v>
      </c>
      <c r="R1049" s="51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1" t="s">
        <v>149</v>
      </c>
      <c r="P1050" s="51">
        <f>HEX2DEC(RIGHT(Table1323212714[[#This Row],[h1]],8))</f>
        <v>0</v>
      </c>
      <c r="Q1050" s="51" t="s">
        <v>149</v>
      </c>
      <c r="R1050" s="51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1" t="s">
        <v>149</v>
      </c>
      <c r="P1051" s="51">
        <f>HEX2DEC(RIGHT(Table1323212714[[#This Row],[h1]],8))</f>
        <v>0</v>
      </c>
      <c r="Q1051" s="51" t="s">
        <v>149</v>
      </c>
      <c r="R1051" s="51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1" t="s">
        <v>149</v>
      </c>
      <c r="P1052" s="51">
        <f>HEX2DEC(RIGHT(Table1323212714[[#This Row],[h1]],8))</f>
        <v>0</v>
      </c>
      <c r="Q1052" s="51" t="s">
        <v>149</v>
      </c>
      <c r="R1052" s="51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1" t="s">
        <v>149</v>
      </c>
      <c r="P1053" s="51">
        <f>HEX2DEC(RIGHT(Table1323212714[[#This Row],[h1]],8))</f>
        <v>0</v>
      </c>
      <c r="Q1053" s="51" t="s">
        <v>149</v>
      </c>
      <c r="R1053" s="51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1" t="s">
        <v>149</v>
      </c>
      <c r="P1054" s="51">
        <f>HEX2DEC(RIGHT(Table1323212714[[#This Row],[h1]],8))</f>
        <v>0</v>
      </c>
      <c r="Q1054" s="51" t="s">
        <v>149</v>
      </c>
      <c r="R1054" s="51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1" t="s">
        <v>149</v>
      </c>
      <c r="P1055" s="51">
        <f>HEX2DEC(RIGHT(Table1323212714[[#This Row],[h1]],8))</f>
        <v>0</v>
      </c>
      <c r="Q1055" s="51" t="s">
        <v>149</v>
      </c>
      <c r="R1055" s="51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1" t="s">
        <v>149</v>
      </c>
      <c r="P1056" s="51">
        <f>HEX2DEC(RIGHT(Table1323212714[[#This Row],[h1]],8))</f>
        <v>0</v>
      </c>
      <c r="Q1056" s="51" t="s">
        <v>149</v>
      </c>
      <c r="R1056" s="51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1" t="s">
        <v>149</v>
      </c>
      <c r="P1057" s="51">
        <f>HEX2DEC(RIGHT(Table1323212714[[#This Row],[h1]],8))</f>
        <v>0</v>
      </c>
      <c r="Q1057" s="51" t="s">
        <v>149</v>
      </c>
      <c r="R1057" s="51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1" t="s">
        <v>149</v>
      </c>
      <c r="P1058" s="51">
        <f>HEX2DEC(RIGHT(Table1323212714[[#This Row],[h1]],8))</f>
        <v>0</v>
      </c>
      <c r="Q1058" s="51" t="s">
        <v>149</v>
      </c>
      <c r="R1058" s="51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1" t="s">
        <v>149</v>
      </c>
      <c r="P1059" s="51">
        <f>HEX2DEC(RIGHT(Table1323212714[[#This Row],[h1]],8))</f>
        <v>0</v>
      </c>
      <c r="Q1059" s="51" t="s">
        <v>149</v>
      </c>
      <c r="R1059" s="51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1" t="s">
        <v>149</v>
      </c>
      <c r="P1060" s="51">
        <f>HEX2DEC(RIGHT(Table1323212714[[#This Row],[h1]],8))</f>
        <v>0</v>
      </c>
      <c r="Q1060" s="51" t="s">
        <v>149</v>
      </c>
      <c r="R1060" s="51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1" t="s">
        <v>149</v>
      </c>
      <c r="P1061" s="51">
        <f>HEX2DEC(RIGHT(Table1323212714[[#This Row],[h1]],8))</f>
        <v>0</v>
      </c>
      <c r="Q1061" s="51" t="s">
        <v>149</v>
      </c>
      <c r="R1061" s="51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1" t="s">
        <v>149</v>
      </c>
      <c r="P1062" s="51">
        <f>HEX2DEC(RIGHT(Table1323212714[[#This Row],[h1]],8))</f>
        <v>0</v>
      </c>
      <c r="Q1062" s="51" t="s">
        <v>149</v>
      </c>
      <c r="R1062" s="51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1" t="s">
        <v>149</v>
      </c>
      <c r="P1063" s="51">
        <f>HEX2DEC(RIGHT(Table1323212714[[#This Row],[h1]],8))</f>
        <v>0</v>
      </c>
      <c r="Q1063" s="51" t="s">
        <v>149</v>
      </c>
      <c r="R1063" s="51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1" t="s">
        <v>149</v>
      </c>
      <c r="P1064" s="51">
        <f>HEX2DEC(RIGHT(Table1323212714[[#This Row],[h1]],8))</f>
        <v>0</v>
      </c>
      <c r="Q1064" s="51" t="s">
        <v>149</v>
      </c>
      <c r="R1064" s="51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1" t="s">
        <v>149</v>
      </c>
      <c r="P1065" s="51">
        <f>HEX2DEC(RIGHT(Table1323212714[[#This Row],[h1]],8))</f>
        <v>0</v>
      </c>
      <c r="Q1065" s="51" t="s">
        <v>149</v>
      </c>
      <c r="R1065" s="51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1" t="s">
        <v>149</v>
      </c>
      <c r="P1066" s="51">
        <f>HEX2DEC(RIGHT(Table1323212714[[#This Row],[h1]],8))</f>
        <v>0</v>
      </c>
      <c r="Q1066" s="51" t="s">
        <v>149</v>
      </c>
      <c r="R1066" s="51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1" t="s">
        <v>149</v>
      </c>
      <c r="P1067" s="51">
        <f>HEX2DEC(RIGHT(Table1323212714[[#This Row],[h1]],8))</f>
        <v>0</v>
      </c>
      <c r="Q1067" s="51" t="s">
        <v>149</v>
      </c>
      <c r="R1067" s="51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1" t="s">
        <v>149</v>
      </c>
      <c r="P1068" s="51">
        <f>HEX2DEC(RIGHT(Table1323212714[[#This Row],[h1]],8))</f>
        <v>0</v>
      </c>
      <c r="Q1068" s="51" t="s">
        <v>149</v>
      </c>
      <c r="R1068" s="51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1" t="s">
        <v>149</v>
      </c>
      <c r="P1069" s="51">
        <f>HEX2DEC(RIGHT(Table1323212714[[#This Row],[h1]],8))</f>
        <v>0</v>
      </c>
      <c r="Q1069" s="51" t="s">
        <v>149</v>
      </c>
      <c r="R1069" s="51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1" t="s">
        <v>149</v>
      </c>
      <c r="P1070" s="51">
        <f>HEX2DEC(RIGHT(Table1323212714[[#This Row],[h1]],8))</f>
        <v>0</v>
      </c>
      <c r="Q1070" s="51" t="s">
        <v>149</v>
      </c>
      <c r="R1070" s="51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1" t="s">
        <v>149</v>
      </c>
      <c r="P1071" s="51">
        <f>HEX2DEC(RIGHT(Table1323212714[[#This Row],[h1]],8))</f>
        <v>0</v>
      </c>
      <c r="Q1071" s="51" t="s">
        <v>149</v>
      </c>
      <c r="R1071" s="51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1" t="s">
        <v>149</v>
      </c>
      <c r="P1072" s="51">
        <f>HEX2DEC(RIGHT(Table1323212714[[#This Row],[h1]],8))</f>
        <v>0</v>
      </c>
      <c r="Q1072" s="51" t="s">
        <v>149</v>
      </c>
      <c r="R1072" s="51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1" t="s">
        <v>149</v>
      </c>
      <c r="P1073" s="51">
        <f>HEX2DEC(RIGHT(Table1323212714[[#This Row],[h1]],8))</f>
        <v>0</v>
      </c>
      <c r="Q1073" s="51" t="s">
        <v>149</v>
      </c>
      <c r="R1073" s="51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1" t="s">
        <v>149</v>
      </c>
      <c r="P1074" s="51">
        <f>HEX2DEC(RIGHT(Table1323212714[[#This Row],[h1]],8))</f>
        <v>0</v>
      </c>
      <c r="Q1074" s="51" t="s">
        <v>149</v>
      </c>
      <c r="R1074" s="51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1" t="s">
        <v>149</v>
      </c>
      <c r="P1075" s="51">
        <f>HEX2DEC(RIGHT(Table1323212714[[#This Row],[h1]],8))</f>
        <v>0</v>
      </c>
      <c r="Q1075" s="51" t="s">
        <v>149</v>
      </c>
      <c r="R1075" s="51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1" t="s">
        <v>149</v>
      </c>
      <c r="P1076" s="51">
        <f>HEX2DEC(RIGHT(Table1323212714[[#This Row],[h1]],8))</f>
        <v>0</v>
      </c>
      <c r="Q1076" s="51" t="s">
        <v>149</v>
      </c>
      <c r="R1076" s="51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1" t="s">
        <v>149</v>
      </c>
      <c r="P1077" s="51">
        <f>HEX2DEC(RIGHT(Table1323212714[[#This Row],[h1]],8))</f>
        <v>0</v>
      </c>
      <c r="Q1077" s="51" t="s">
        <v>149</v>
      </c>
      <c r="R1077" s="51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1" t="s">
        <v>149</v>
      </c>
      <c r="P1078" s="51">
        <f>HEX2DEC(RIGHT(Table1323212714[[#This Row],[h1]],8))</f>
        <v>0</v>
      </c>
      <c r="Q1078" s="51" t="s">
        <v>149</v>
      </c>
      <c r="R1078" s="51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1" t="s">
        <v>149</v>
      </c>
      <c r="P1079" s="51">
        <f>HEX2DEC(RIGHT(Table1323212714[[#This Row],[h1]],8))</f>
        <v>0</v>
      </c>
      <c r="Q1079" s="51" t="s">
        <v>149</v>
      </c>
      <c r="R1079" s="51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1" t="s">
        <v>149</v>
      </c>
      <c r="P1080" s="51">
        <f>HEX2DEC(RIGHT(Table1323212714[[#This Row],[h1]],8))</f>
        <v>0</v>
      </c>
      <c r="Q1080" s="51" t="s">
        <v>149</v>
      </c>
      <c r="R1080" s="51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1" t="s">
        <v>149</v>
      </c>
      <c r="P1081" s="51">
        <f>HEX2DEC(RIGHT(Table1323212714[[#This Row],[h1]],8))</f>
        <v>0</v>
      </c>
      <c r="Q1081" s="51" t="s">
        <v>149</v>
      </c>
      <c r="R1081" s="51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1" t="s">
        <v>149</v>
      </c>
      <c r="P1082" s="51">
        <f>HEX2DEC(RIGHT(Table1323212714[[#This Row],[h1]],8))</f>
        <v>0</v>
      </c>
      <c r="Q1082" s="51" t="s">
        <v>149</v>
      </c>
      <c r="R1082" s="51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1" t="s">
        <v>149</v>
      </c>
      <c r="P1083" s="51">
        <f>HEX2DEC(RIGHT(Table1323212714[[#This Row],[h1]],8))</f>
        <v>0</v>
      </c>
      <c r="Q1083" s="51" t="s">
        <v>149</v>
      </c>
      <c r="R1083" s="51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1" t="s">
        <v>149</v>
      </c>
      <c r="P1084" s="51">
        <f>HEX2DEC(RIGHT(Table1323212714[[#This Row],[h1]],8))</f>
        <v>0</v>
      </c>
      <c r="Q1084" s="51" t="s">
        <v>149</v>
      </c>
      <c r="R1084" s="51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1" t="s">
        <v>149</v>
      </c>
      <c r="P1085" s="51">
        <f>HEX2DEC(RIGHT(Table1323212714[[#This Row],[h1]],8))</f>
        <v>0</v>
      </c>
      <c r="Q1085" s="51" t="s">
        <v>149</v>
      </c>
      <c r="R1085" s="51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1" t="s">
        <v>149</v>
      </c>
      <c r="P1086" s="51">
        <f>HEX2DEC(RIGHT(Table1323212714[[#This Row],[h1]],8))</f>
        <v>0</v>
      </c>
      <c r="Q1086" s="51" t="s">
        <v>149</v>
      </c>
      <c r="R1086" s="51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1" t="s">
        <v>149</v>
      </c>
      <c r="P1087" s="51">
        <f>HEX2DEC(RIGHT(Table1323212714[[#This Row],[h1]],8))</f>
        <v>0</v>
      </c>
      <c r="Q1087" s="51" t="s">
        <v>149</v>
      </c>
      <c r="R1087" s="51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1" t="s">
        <v>149</v>
      </c>
      <c r="P1088" s="51">
        <f>HEX2DEC(RIGHT(Table1323212714[[#This Row],[h1]],8))</f>
        <v>0</v>
      </c>
      <c r="Q1088" s="51" t="s">
        <v>149</v>
      </c>
      <c r="R1088" s="51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1" t="s">
        <v>149</v>
      </c>
      <c r="P1089" s="51">
        <f>HEX2DEC(RIGHT(Table1323212714[[#This Row],[h1]],8))</f>
        <v>0</v>
      </c>
      <c r="Q1089" s="51" t="s">
        <v>149</v>
      </c>
      <c r="R1089" s="51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1" t="s">
        <v>149</v>
      </c>
      <c r="P1090" s="51">
        <f>HEX2DEC(RIGHT(Table1323212714[[#This Row],[h1]],8))</f>
        <v>0</v>
      </c>
      <c r="Q1090" s="51" t="s">
        <v>149</v>
      </c>
      <c r="R1090" s="51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1" t="s">
        <v>149</v>
      </c>
      <c r="P1091" s="51">
        <f>HEX2DEC(RIGHT(Table1323212714[[#This Row],[h1]],8))</f>
        <v>0</v>
      </c>
      <c r="Q1091" s="51" t="s">
        <v>149</v>
      </c>
      <c r="R1091" s="51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1" t="s">
        <v>149</v>
      </c>
      <c r="P1092" s="51">
        <f>HEX2DEC(RIGHT(Table1323212714[[#This Row],[h1]],8))</f>
        <v>0</v>
      </c>
      <c r="Q1092" s="51" t="s">
        <v>149</v>
      </c>
      <c r="R1092" s="51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1" t="s">
        <v>149</v>
      </c>
      <c r="P1093" s="51">
        <f>HEX2DEC(RIGHT(Table1323212714[[#This Row],[h1]],8))</f>
        <v>0</v>
      </c>
      <c r="Q1093" s="51" t="s">
        <v>149</v>
      </c>
      <c r="R1093" s="51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1" t="s">
        <v>149</v>
      </c>
      <c r="P1094" s="51">
        <f>HEX2DEC(RIGHT(Table1323212714[[#This Row],[h1]],8))</f>
        <v>0</v>
      </c>
      <c r="Q1094" s="51" t="s">
        <v>149</v>
      </c>
      <c r="R1094" s="51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1" t="s">
        <v>149</v>
      </c>
      <c r="P1095" s="51">
        <f>HEX2DEC(RIGHT(Table1323212714[[#This Row],[h1]],8))</f>
        <v>0</v>
      </c>
      <c r="Q1095" s="51" t="s">
        <v>149</v>
      </c>
      <c r="R1095" s="51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1" t="s">
        <v>149</v>
      </c>
      <c r="P1096" s="51">
        <f>HEX2DEC(RIGHT(Table1323212714[[#This Row],[h1]],8))</f>
        <v>0</v>
      </c>
      <c r="Q1096" s="51" t="s">
        <v>149</v>
      </c>
      <c r="R1096" s="51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1" t="s">
        <v>149</v>
      </c>
      <c r="P1097" s="51">
        <f>HEX2DEC(RIGHT(Table1323212714[[#This Row],[h1]],8))</f>
        <v>0</v>
      </c>
      <c r="Q1097" s="51" t="s">
        <v>149</v>
      </c>
      <c r="R1097" s="51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1" t="s">
        <v>149</v>
      </c>
      <c r="P1098" s="51">
        <f>HEX2DEC(RIGHT(Table1323212714[[#This Row],[h1]],8))</f>
        <v>0</v>
      </c>
      <c r="Q1098" s="51" t="s">
        <v>149</v>
      </c>
      <c r="R1098" s="51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1" t="s">
        <v>149</v>
      </c>
      <c r="P1099" s="51">
        <f>HEX2DEC(RIGHT(Table1323212714[[#This Row],[h1]],8))</f>
        <v>0</v>
      </c>
      <c r="Q1099" s="51" t="s">
        <v>149</v>
      </c>
      <c r="R1099" s="51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1" t="s">
        <v>149</v>
      </c>
      <c r="P1100" s="51">
        <f>HEX2DEC(RIGHT(Table1323212714[[#This Row],[h1]],8))</f>
        <v>0</v>
      </c>
      <c r="Q1100" s="51" t="s">
        <v>149</v>
      </c>
      <c r="R1100" s="51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1" t="s">
        <v>149</v>
      </c>
      <c r="P1101" s="51">
        <f>HEX2DEC(RIGHT(Table1323212714[[#This Row],[h1]],8))</f>
        <v>0</v>
      </c>
      <c r="Q1101" s="51" t="s">
        <v>149</v>
      </c>
      <c r="R1101" s="51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1" t="s">
        <v>149</v>
      </c>
      <c r="P1102" s="51">
        <f>HEX2DEC(RIGHT(Table1323212714[[#This Row],[h1]],8))</f>
        <v>0</v>
      </c>
      <c r="Q1102" s="51" t="s">
        <v>149</v>
      </c>
      <c r="R1102" s="51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1" t="s">
        <v>149</v>
      </c>
      <c r="P1103" s="51">
        <f>HEX2DEC(RIGHT(Table1323212714[[#This Row],[h1]],8))</f>
        <v>0</v>
      </c>
      <c r="Q1103" s="51" t="s">
        <v>149</v>
      </c>
      <c r="R1103" s="51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1" t="s">
        <v>149</v>
      </c>
      <c r="P1104" s="51">
        <f>HEX2DEC(RIGHT(Table1323212714[[#This Row],[h1]],8))</f>
        <v>0</v>
      </c>
      <c r="Q1104" s="51" t="s">
        <v>149</v>
      </c>
      <c r="R1104" s="51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1" t="s">
        <v>149</v>
      </c>
      <c r="P1105" s="51">
        <f>HEX2DEC(RIGHT(Table1323212714[[#This Row],[h1]],8))</f>
        <v>0</v>
      </c>
      <c r="Q1105" s="51" t="s">
        <v>149</v>
      </c>
      <c r="R1105" s="51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1" t="s">
        <v>149</v>
      </c>
      <c r="P1106" s="51">
        <f>HEX2DEC(RIGHT(Table1323212714[[#This Row],[h1]],8))</f>
        <v>0</v>
      </c>
      <c r="Q1106" s="51" t="s">
        <v>149</v>
      </c>
      <c r="R1106" s="51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1" t="s">
        <v>149</v>
      </c>
      <c r="P1107" s="51">
        <f>HEX2DEC(RIGHT(Table1323212714[[#This Row],[h1]],8))</f>
        <v>0</v>
      </c>
      <c r="Q1107" s="51" t="s">
        <v>149</v>
      </c>
      <c r="R1107" s="51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1" t="s">
        <v>149</v>
      </c>
      <c r="P1108" s="51">
        <f>HEX2DEC(RIGHT(Table1323212714[[#This Row],[h1]],8))</f>
        <v>0</v>
      </c>
      <c r="Q1108" s="51" t="s">
        <v>149</v>
      </c>
      <c r="R1108" s="51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1" t="s">
        <v>149</v>
      </c>
      <c r="P1109" s="51">
        <f>HEX2DEC(RIGHT(Table1323212714[[#This Row],[h1]],8))</f>
        <v>0</v>
      </c>
      <c r="Q1109" s="51" t="s">
        <v>149</v>
      </c>
      <c r="R1109" s="51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1" t="s">
        <v>149</v>
      </c>
      <c r="P1110" s="51">
        <f>HEX2DEC(RIGHT(Table1323212714[[#This Row],[h1]],8))</f>
        <v>0</v>
      </c>
      <c r="Q1110" s="51" t="s">
        <v>149</v>
      </c>
      <c r="R1110" s="51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1" t="s">
        <v>149</v>
      </c>
      <c r="P1111" s="51">
        <f>HEX2DEC(RIGHT(Table1323212714[[#This Row],[h1]],8))</f>
        <v>0</v>
      </c>
      <c r="Q1111" s="51" t="s">
        <v>149</v>
      </c>
      <c r="R1111" s="51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1" t="s">
        <v>149</v>
      </c>
      <c r="P1112" s="51">
        <f>HEX2DEC(RIGHT(Table1323212714[[#This Row],[h1]],8))</f>
        <v>0</v>
      </c>
      <c r="Q1112" s="51" t="s">
        <v>149</v>
      </c>
      <c r="R1112" s="51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1" t="s">
        <v>149</v>
      </c>
      <c r="P1113" s="51">
        <f>HEX2DEC(RIGHT(Table1323212714[[#This Row],[h1]],8))</f>
        <v>0</v>
      </c>
      <c r="Q1113" s="51" t="s">
        <v>149</v>
      </c>
      <c r="R1113" s="51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1" t="s">
        <v>149</v>
      </c>
      <c r="P1114" s="51">
        <f>HEX2DEC(RIGHT(Table1323212714[[#This Row],[h1]],8))</f>
        <v>0</v>
      </c>
      <c r="Q1114" s="51" t="s">
        <v>149</v>
      </c>
      <c r="R1114" s="51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1" t="s">
        <v>149</v>
      </c>
      <c r="P1115" s="51">
        <f>HEX2DEC(RIGHT(Table1323212714[[#This Row],[h1]],8))</f>
        <v>0</v>
      </c>
      <c r="Q1115" s="51" t="s">
        <v>149</v>
      </c>
      <c r="R1115" s="51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1" t="s">
        <v>149</v>
      </c>
      <c r="P1116" s="51">
        <f>HEX2DEC(RIGHT(Table1323212714[[#This Row],[h1]],8))</f>
        <v>0</v>
      </c>
      <c r="Q1116" s="51" t="s">
        <v>149</v>
      </c>
      <c r="R1116" s="51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1" t="s">
        <v>149</v>
      </c>
      <c r="P1117" s="51">
        <f>HEX2DEC(RIGHT(Table1323212714[[#This Row],[h1]],8))</f>
        <v>0</v>
      </c>
      <c r="Q1117" s="51" t="s">
        <v>149</v>
      </c>
      <c r="R1117" s="51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1" t="s">
        <v>149</v>
      </c>
      <c r="P1118" s="51">
        <f>HEX2DEC(RIGHT(Table1323212714[[#This Row],[h1]],8))</f>
        <v>0</v>
      </c>
      <c r="Q1118" s="51" t="s">
        <v>149</v>
      </c>
      <c r="R1118" s="51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1" t="s">
        <v>149</v>
      </c>
      <c r="P1119" s="51">
        <f>HEX2DEC(RIGHT(Table1323212714[[#This Row],[h1]],8))</f>
        <v>0</v>
      </c>
      <c r="Q1119" s="51" t="s">
        <v>149</v>
      </c>
      <c r="R1119" s="51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1" t="s">
        <v>149</v>
      </c>
      <c r="P1120" s="51">
        <f>HEX2DEC(RIGHT(Table1323212714[[#This Row],[h1]],8))</f>
        <v>0</v>
      </c>
      <c r="Q1120" s="51" t="s">
        <v>149</v>
      </c>
      <c r="R1120" s="51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1" t="s">
        <v>149</v>
      </c>
      <c r="P1121" s="51">
        <f>HEX2DEC(RIGHT(Table1323212714[[#This Row],[h1]],8))</f>
        <v>0</v>
      </c>
      <c r="Q1121" s="51" t="s">
        <v>149</v>
      </c>
      <c r="R1121" s="51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1" t="s">
        <v>149</v>
      </c>
      <c r="P1122" s="51">
        <f>HEX2DEC(RIGHT(Table1323212714[[#This Row],[h1]],8))</f>
        <v>0</v>
      </c>
      <c r="Q1122" s="51" t="s">
        <v>149</v>
      </c>
      <c r="R1122" s="51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1" t="s">
        <v>149</v>
      </c>
      <c r="P1123" s="51">
        <f>HEX2DEC(RIGHT(Table1323212714[[#This Row],[h1]],8))</f>
        <v>0</v>
      </c>
      <c r="Q1123" s="51" t="s">
        <v>149</v>
      </c>
      <c r="R1123" s="51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1" t="s">
        <v>149</v>
      </c>
      <c r="P1124" s="51">
        <f>HEX2DEC(RIGHT(Table1323212714[[#This Row],[h1]],8))</f>
        <v>0</v>
      </c>
      <c r="Q1124" s="51" t="s">
        <v>149</v>
      </c>
      <c r="R1124" s="51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1" t="s">
        <v>149</v>
      </c>
      <c r="P1125" s="51">
        <f>HEX2DEC(RIGHT(Table1323212714[[#This Row],[h1]],8))</f>
        <v>0</v>
      </c>
      <c r="Q1125" s="51" t="s">
        <v>149</v>
      </c>
      <c r="R1125" s="51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1" t="s">
        <v>149</v>
      </c>
      <c r="P1126" s="51">
        <f>HEX2DEC(RIGHT(Table1323212714[[#This Row],[h1]],8))</f>
        <v>0</v>
      </c>
      <c r="Q1126" s="51" t="s">
        <v>149</v>
      </c>
      <c r="R1126" s="51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1" t="s">
        <v>149</v>
      </c>
      <c r="P1127" s="51">
        <f>HEX2DEC(RIGHT(Table1323212714[[#This Row],[h1]],8))</f>
        <v>0</v>
      </c>
      <c r="Q1127" s="51" t="s">
        <v>149</v>
      </c>
      <c r="R1127" s="51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1" t="s">
        <v>149</v>
      </c>
      <c r="P1128" s="51">
        <f>HEX2DEC(RIGHT(Table1323212714[[#This Row],[h1]],8))</f>
        <v>0</v>
      </c>
      <c r="Q1128" s="51" t="s">
        <v>149</v>
      </c>
      <c r="R1128" s="51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1" t="s">
        <v>149</v>
      </c>
      <c r="P1129" s="51">
        <f>HEX2DEC(RIGHT(Table1323212714[[#This Row],[h1]],8))</f>
        <v>0</v>
      </c>
      <c r="Q1129" s="51" t="s">
        <v>149</v>
      </c>
      <c r="R1129" s="51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1" t="s">
        <v>149</v>
      </c>
      <c r="P1130" s="51">
        <f>HEX2DEC(RIGHT(Table1323212714[[#This Row],[h1]],8))</f>
        <v>0</v>
      </c>
      <c r="Q1130" s="51" t="s">
        <v>149</v>
      </c>
      <c r="R1130" s="51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1" t="s">
        <v>149</v>
      </c>
      <c r="P1131" s="51">
        <f>HEX2DEC(RIGHT(Table1323212714[[#This Row],[h1]],8))</f>
        <v>0</v>
      </c>
      <c r="Q1131" s="51" t="s">
        <v>149</v>
      </c>
      <c r="R1131" s="51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1" t="s">
        <v>149</v>
      </c>
      <c r="P1132" s="51">
        <f>HEX2DEC(RIGHT(Table1323212714[[#This Row],[h1]],8))</f>
        <v>0</v>
      </c>
      <c r="Q1132" s="51" t="s">
        <v>149</v>
      </c>
      <c r="R1132" s="51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1" t="s">
        <v>149</v>
      </c>
      <c r="P1133" s="51">
        <f>HEX2DEC(RIGHT(Table1323212714[[#This Row],[h1]],8))</f>
        <v>0</v>
      </c>
      <c r="Q1133" s="51" t="s">
        <v>149</v>
      </c>
      <c r="R1133" s="51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1" t="s">
        <v>149</v>
      </c>
      <c r="P1134" s="51">
        <f>HEX2DEC(RIGHT(Table1323212714[[#This Row],[h1]],8))</f>
        <v>0</v>
      </c>
      <c r="Q1134" s="51" t="s">
        <v>149</v>
      </c>
      <c r="R1134" s="51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1" t="s">
        <v>149</v>
      </c>
      <c r="P1135" s="51">
        <f>HEX2DEC(RIGHT(Table1323212714[[#This Row],[h1]],8))</f>
        <v>0</v>
      </c>
      <c r="Q1135" s="51" t="s">
        <v>149</v>
      </c>
      <c r="R1135" s="51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1" t="s">
        <v>149</v>
      </c>
      <c r="P1136" s="51">
        <f>HEX2DEC(RIGHT(Table1323212714[[#This Row],[h1]],8))</f>
        <v>0</v>
      </c>
      <c r="Q1136" s="51" t="s">
        <v>149</v>
      </c>
      <c r="R1136" s="51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1" t="s">
        <v>149</v>
      </c>
      <c r="P1137" s="51">
        <f>HEX2DEC(RIGHT(Table1323212714[[#This Row],[h1]],8))</f>
        <v>0</v>
      </c>
      <c r="Q1137" s="51" t="s">
        <v>149</v>
      </c>
      <c r="R1137" s="51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1" t="s">
        <v>149</v>
      </c>
      <c r="P1138" s="51">
        <f>HEX2DEC(RIGHT(Table1323212714[[#This Row],[h1]],8))</f>
        <v>0</v>
      </c>
      <c r="Q1138" s="51" t="s">
        <v>149</v>
      </c>
      <c r="R1138" s="51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1" t="s">
        <v>149</v>
      </c>
      <c r="P1139" s="51">
        <f>HEX2DEC(RIGHT(Table1323212714[[#This Row],[h1]],8))</f>
        <v>0</v>
      </c>
      <c r="Q1139" s="51" t="s">
        <v>149</v>
      </c>
      <c r="R1139" s="51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1" t="s">
        <v>149</v>
      </c>
      <c r="P1140" s="51">
        <f>HEX2DEC(RIGHT(Table1323212714[[#This Row],[h1]],8))</f>
        <v>0</v>
      </c>
      <c r="Q1140" s="51" t="s">
        <v>149</v>
      </c>
      <c r="R1140" s="51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1" t="s">
        <v>149</v>
      </c>
      <c r="P1141" s="51">
        <f>HEX2DEC(RIGHT(Table1323212714[[#This Row],[h1]],8))</f>
        <v>0</v>
      </c>
      <c r="Q1141" s="51" t="s">
        <v>149</v>
      </c>
      <c r="R1141" s="51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1" t="s">
        <v>149</v>
      </c>
      <c r="P1142" s="51">
        <f>HEX2DEC(RIGHT(Table1323212714[[#This Row],[h1]],8))</f>
        <v>0</v>
      </c>
      <c r="Q1142" s="51" t="s">
        <v>149</v>
      </c>
      <c r="R1142" s="51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1" t="s">
        <v>149</v>
      </c>
      <c r="P1143" s="51">
        <f>HEX2DEC(RIGHT(Table1323212714[[#This Row],[h1]],8))</f>
        <v>0</v>
      </c>
      <c r="Q1143" s="51" t="s">
        <v>149</v>
      </c>
      <c r="R1143" s="51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1" t="s">
        <v>149</v>
      </c>
      <c r="P1144" s="51">
        <f>HEX2DEC(RIGHT(Table1323212714[[#This Row],[h1]],8))</f>
        <v>0</v>
      </c>
      <c r="Q1144" s="51" t="s">
        <v>149</v>
      </c>
      <c r="R1144" s="51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1" t="s">
        <v>149</v>
      </c>
      <c r="P1145" s="51">
        <f>HEX2DEC(RIGHT(Table1323212714[[#This Row],[h1]],8))</f>
        <v>0</v>
      </c>
      <c r="Q1145" s="51" t="s">
        <v>149</v>
      </c>
      <c r="R1145" s="51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1" t="s">
        <v>149</v>
      </c>
      <c r="P1146" s="51">
        <f>HEX2DEC(RIGHT(Table1323212714[[#This Row],[h1]],8))</f>
        <v>0</v>
      </c>
      <c r="Q1146" s="51" t="s">
        <v>149</v>
      </c>
      <c r="R1146" s="51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1" t="s">
        <v>149</v>
      </c>
      <c r="P1147" s="51">
        <f>HEX2DEC(RIGHT(Table1323212714[[#This Row],[h1]],8))</f>
        <v>0</v>
      </c>
      <c r="Q1147" s="51" t="s">
        <v>149</v>
      </c>
      <c r="R1147" s="51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1" t="s">
        <v>149</v>
      </c>
      <c r="P1148" s="51">
        <f>HEX2DEC(RIGHT(Table1323212714[[#This Row],[h1]],8))</f>
        <v>0</v>
      </c>
      <c r="Q1148" s="51" t="s">
        <v>149</v>
      </c>
      <c r="R1148" s="51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1" t="s">
        <v>149</v>
      </c>
      <c r="P1149" s="51">
        <f>HEX2DEC(RIGHT(Table1323212714[[#This Row],[h1]],8))</f>
        <v>0</v>
      </c>
      <c r="Q1149" s="51" t="s">
        <v>149</v>
      </c>
      <c r="R1149" s="51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1" t="s">
        <v>149</v>
      </c>
      <c r="P1150" s="51">
        <f>HEX2DEC(RIGHT(Table1323212714[[#This Row],[h1]],8))</f>
        <v>0</v>
      </c>
      <c r="Q1150" s="51" t="s">
        <v>149</v>
      </c>
      <c r="R1150" s="51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1" t="s">
        <v>149</v>
      </c>
      <c r="P1151" s="51">
        <f>HEX2DEC(RIGHT(Table1323212714[[#This Row],[h1]],8))</f>
        <v>0</v>
      </c>
      <c r="Q1151" s="51" t="s">
        <v>149</v>
      </c>
      <c r="R1151" s="51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1" t="s">
        <v>149</v>
      </c>
      <c r="P1152" s="51">
        <f>HEX2DEC(RIGHT(Table1323212714[[#This Row],[h1]],8))</f>
        <v>0</v>
      </c>
      <c r="Q1152" s="51" t="s">
        <v>149</v>
      </c>
      <c r="R1152" s="51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1" t="s">
        <v>149</v>
      </c>
      <c r="P1153" s="51">
        <f>HEX2DEC(RIGHT(Table1323212714[[#This Row],[h1]],8))</f>
        <v>0</v>
      </c>
      <c r="Q1153" s="51" t="s">
        <v>149</v>
      </c>
      <c r="R1153" s="51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1" t="s">
        <v>149</v>
      </c>
      <c r="P1154" s="51">
        <f>HEX2DEC(RIGHT(Table1323212714[[#This Row],[h1]],8))</f>
        <v>0</v>
      </c>
      <c r="Q1154" s="51" t="s">
        <v>149</v>
      </c>
      <c r="R1154" s="51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1" t="s">
        <v>149</v>
      </c>
      <c r="P1155" s="51">
        <f>HEX2DEC(RIGHT(Table1323212714[[#This Row],[h1]],8))</f>
        <v>0</v>
      </c>
      <c r="Q1155" s="51" t="s">
        <v>149</v>
      </c>
      <c r="R1155" s="51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1" t="s">
        <v>149</v>
      </c>
      <c r="P1156" s="51">
        <f>HEX2DEC(RIGHT(Table1323212714[[#This Row],[h1]],8))</f>
        <v>0</v>
      </c>
      <c r="Q1156" s="51" t="s">
        <v>149</v>
      </c>
      <c r="R1156" s="51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1" t="s">
        <v>149</v>
      </c>
      <c r="P1157" s="51">
        <f>HEX2DEC(RIGHT(Table1323212714[[#This Row],[h1]],8))</f>
        <v>0</v>
      </c>
      <c r="Q1157" s="51" t="s">
        <v>149</v>
      </c>
      <c r="R1157" s="51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1" t="s">
        <v>149</v>
      </c>
      <c r="P1158" s="51">
        <f>HEX2DEC(RIGHT(Table1323212714[[#This Row],[h1]],8))</f>
        <v>0</v>
      </c>
      <c r="Q1158" s="51" t="s">
        <v>149</v>
      </c>
      <c r="R1158" s="51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1" t="s">
        <v>149</v>
      </c>
      <c r="P1159" s="51">
        <f>HEX2DEC(RIGHT(Table1323212714[[#This Row],[h1]],8))</f>
        <v>0</v>
      </c>
      <c r="Q1159" s="51" t="s">
        <v>149</v>
      </c>
      <c r="R1159" s="51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1" t="s">
        <v>149</v>
      </c>
      <c r="P1160" s="51">
        <f>HEX2DEC(RIGHT(Table1323212714[[#This Row],[h1]],8))</f>
        <v>0</v>
      </c>
      <c r="Q1160" s="51" t="s">
        <v>149</v>
      </c>
      <c r="R1160" s="51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1" t="s">
        <v>149</v>
      </c>
      <c r="P1161" s="51">
        <f>HEX2DEC(RIGHT(Table1323212714[[#This Row],[h1]],8))</f>
        <v>0</v>
      </c>
      <c r="Q1161" s="51" t="s">
        <v>149</v>
      </c>
      <c r="R1161" s="51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1" t="s">
        <v>149</v>
      </c>
      <c r="P1162" s="51">
        <f>HEX2DEC(RIGHT(Table1323212714[[#This Row],[h1]],8))</f>
        <v>0</v>
      </c>
      <c r="Q1162" s="51" t="s">
        <v>149</v>
      </c>
      <c r="R1162" s="51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1" t="s">
        <v>149</v>
      </c>
      <c r="P1163" s="51">
        <f>HEX2DEC(RIGHT(Table1323212714[[#This Row],[h1]],8))</f>
        <v>0</v>
      </c>
      <c r="Q1163" s="51" t="s">
        <v>149</v>
      </c>
      <c r="R1163" s="51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1" t="s">
        <v>149</v>
      </c>
      <c r="P1164" s="51">
        <f>HEX2DEC(RIGHT(Table1323212714[[#This Row],[h1]],8))</f>
        <v>0</v>
      </c>
      <c r="Q1164" s="51" t="s">
        <v>149</v>
      </c>
      <c r="R1164" s="51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1" t="s">
        <v>149</v>
      </c>
      <c r="P1165" s="51">
        <f>HEX2DEC(RIGHT(Table1323212714[[#This Row],[h1]],8))</f>
        <v>0</v>
      </c>
      <c r="Q1165" s="51" t="s">
        <v>149</v>
      </c>
      <c r="R1165" s="51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1" t="s">
        <v>149</v>
      </c>
      <c r="P1166" s="51">
        <f>HEX2DEC(RIGHT(Table1323212714[[#This Row],[h1]],8))</f>
        <v>0</v>
      </c>
      <c r="Q1166" s="51" t="s">
        <v>149</v>
      </c>
      <c r="R1166" s="51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1" t="s">
        <v>149</v>
      </c>
      <c r="P1167" s="51">
        <f>HEX2DEC(RIGHT(Table1323212714[[#This Row],[h1]],8))</f>
        <v>0</v>
      </c>
      <c r="Q1167" s="51" t="s">
        <v>149</v>
      </c>
      <c r="R1167" s="51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1" t="s">
        <v>149</v>
      </c>
      <c r="P1168" s="51">
        <f>HEX2DEC(RIGHT(Table1323212714[[#This Row],[h1]],8))</f>
        <v>0</v>
      </c>
      <c r="Q1168" s="51" t="s">
        <v>149</v>
      </c>
      <c r="R1168" s="51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1" t="s">
        <v>149</v>
      </c>
      <c r="P1169" s="51">
        <f>HEX2DEC(RIGHT(Table1323212714[[#This Row],[h1]],8))</f>
        <v>0</v>
      </c>
      <c r="Q1169" s="51" t="s">
        <v>149</v>
      </c>
      <c r="R1169" s="51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1" t="s">
        <v>149</v>
      </c>
      <c r="P1170" s="51">
        <f>HEX2DEC(RIGHT(Table1323212714[[#This Row],[h1]],8))</f>
        <v>0</v>
      </c>
      <c r="Q1170" s="51" t="s">
        <v>149</v>
      </c>
      <c r="R1170" s="51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1" t="s">
        <v>149</v>
      </c>
      <c r="P1171" s="51">
        <f>HEX2DEC(RIGHT(Table1323212714[[#This Row],[h1]],8))</f>
        <v>0</v>
      </c>
      <c r="Q1171" s="51" t="s">
        <v>149</v>
      </c>
      <c r="R1171" s="51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1" t="s">
        <v>149</v>
      </c>
      <c r="P1172" s="51">
        <f>HEX2DEC(RIGHT(Table1323212714[[#This Row],[h1]],8))</f>
        <v>0</v>
      </c>
      <c r="Q1172" s="51" t="s">
        <v>149</v>
      </c>
      <c r="R1172" s="51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1" t="s">
        <v>149</v>
      </c>
      <c r="P1173" s="51">
        <f>HEX2DEC(RIGHT(Table1323212714[[#This Row],[h1]],8))</f>
        <v>0</v>
      </c>
      <c r="Q1173" s="51" t="s">
        <v>149</v>
      </c>
      <c r="R1173" s="51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1" t="s">
        <v>149</v>
      </c>
      <c r="P1174" s="51">
        <f>HEX2DEC(RIGHT(Table1323212714[[#This Row],[h1]],8))</f>
        <v>0</v>
      </c>
      <c r="Q1174" s="51" t="s">
        <v>149</v>
      </c>
      <c r="R1174" s="51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1" t="s">
        <v>149</v>
      </c>
      <c r="P1175" s="51">
        <f>HEX2DEC(RIGHT(Table1323212714[[#This Row],[h1]],8))</f>
        <v>0</v>
      </c>
      <c r="Q1175" s="51" t="s">
        <v>149</v>
      </c>
      <c r="R1175" s="51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1" t="s">
        <v>149</v>
      </c>
      <c r="P1176" s="51">
        <f>HEX2DEC(RIGHT(Table1323212714[[#This Row],[h1]],8))</f>
        <v>0</v>
      </c>
      <c r="Q1176" s="51" t="s">
        <v>149</v>
      </c>
      <c r="R1176" s="51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1" t="s">
        <v>149</v>
      </c>
      <c r="P1177" s="51">
        <f>HEX2DEC(RIGHT(Table1323212714[[#This Row],[h1]],8))</f>
        <v>0</v>
      </c>
      <c r="Q1177" s="51" t="s">
        <v>149</v>
      </c>
      <c r="R1177" s="51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1" t="s">
        <v>149</v>
      </c>
      <c r="P1178" s="51">
        <f>HEX2DEC(RIGHT(Table1323212714[[#This Row],[h1]],8))</f>
        <v>0</v>
      </c>
      <c r="Q1178" s="51" t="s">
        <v>149</v>
      </c>
      <c r="R1178" s="51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1" t="s">
        <v>149</v>
      </c>
      <c r="P1179" s="51">
        <f>HEX2DEC(RIGHT(Table1323212714[[#This Row],[h1]],8))</f>
        <v>0</v>
      </c>
      <c r="Q1179" s="51" t="s">
        <v>149</v>
      </c>
      <c r="R1179" s="51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1" t="s">
        <v>149</v>
      </c>
      <c r="P1180" s="51">
        <f>HEX2DEC(RIGHT(Table1323212714[[#This Row],[h1]],8))</f>
        <v>0</v>
      </c>
      <c r="Q1180" s="51" t="s">
        <v>149</v>
      </c>
      <c r="R1180" s="51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1" t="s">
        <v>149</v>
      </c>
      <c r="P1181" s="51">
        <f>HEX2DEC(RIGHT(Table1323212714[[#This Row],[h1]],8))</f>
        <v>0</v>
      </c>
      <c r="Q1181" s="51" t="s">
        <v>149</v>
      </c>
      <c r="R1181" s="51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1" t="s">
        <v>149</v>
      </c>
      <c r="P1182" s="51">
        <f>HEX2DEC(RIGHT(Table1323212714[[#This Row],[h1]],8))</f>
        <v>0</v>
      </c>
      <c r="Q1182" s="51" t="s">
        <v>149</v>
      </c>
      <c r="R1182" s="51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1" t="s">
        <v>149</v>
      </c>
      <c r="P1183" s="51">
        <f>HEX2DEC(RIGHT(Table1323212714[[#This Row],[h1]],8))</f>
        <v>0</v>
      </c>
      <c r="Q1183" s="51" t="s">
        <v>149</v>
      </c>
      <c r="R1183" s="51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1" t="s">
        <v>149</v>
      </c>
      <c r="P1184" s="51">
        <f>HEX2DEC(RIGHT(Table1323212714[[#This Row],[h1]],8))</f>
        <v>0</v>
      </c>
      <c r="Q1184" s="51" t="s">
        <v>149</v>
      </c>
      <c r="R1184" s="51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1" t="s">
        <v>149</v>
      </c>
      <c r="P1185" s="51">
        <f>HEX2DEC(RIGHT(Table1323212714[[#This Row],[h1]],8))</f>
        <v>0</v>
      </c>
      <c r="Q1185" s="51" t="s">
        <v>149</v>
      </c>
      <c r="R1185" s="51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1" t="s">
        <v>149</v>
      </c>
      <c r="P1186" s="51">
        <f>HEX2DEC(RIGHT(Table1323212714[[#This Row],[h1]],8))</f>
        <v>0</v>
      </c>
      <c r="Q1186" s="51" t="s">
        <v>149</v>
      </c>
      <c r="R1186" s="51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1" t="s">
        <v>149</v>
      </c>
      <c r="P1187" s="51">
        <f>HEX2DEC(RIGHT(Table1323212714[[#This Row],[h1]],8))</f>
        <v>0</v>
      </c>
      <c r="Q1187" s="51" t="s">
        <v>149</v>
      </c>
      <c r="R1187" s="51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1" t="s">
        <v>149</v>
      </c>
      <c r="P1188" s="51">
        <f>HEX2DEC(RIGHT(Table1323212714[[#This Row],[h1]],8))</f>
        <v>0</v>
      </c>
      <c r="Q1188" s="51" t="s">
        <v>149</v>
      </c>
      <c r="R1188" s="51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1" t="s">
        <v>149</v>
      </c>
      <c r="P1189" s="51">
        <f>HEX2DEC(RIGHT(Table1323212714[[#This Row],[h1]],8))</f>
        <v>0</v>
      </c>
      <c r="Q1189" s="51" t="s">
        <v>149</v>
      </c>
      <c r="R1189" s="51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1" t="s">
        <v>149</v>
      </c>
      <c r="P1190" s="51">
        <f>HEX2DEC(RIGHT(Table1323212714[[#This Row],[h1]],8))</f>
        <v>0</v>
      </c>
      <c r="Q1190" s="51" t="s">
        <v>149</v>
      </c>
      <c r="R1190" s="51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1" t="s">
        <v>149</v>
      </c>
      <c r="P1191" s="51">
        <f>HEX2DEC(RIGHT(Table1323212714[[#This Row],[h1]],8))</f>
        <v>0</v>
      </c>
      <c r="Q1191" s="51" t="s">
        <v>149</v>
      </c>
      <c r="R1191" s="51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1" t="s">
        <v>149</v>
      </c>
      <c r="P1192" s="51">
        <f>HEX2DEC(RIGHT(Table1323212714[[#This Row],[h1]],8))</f>
        <v>0</v>
      </c>
      <c r="Q1192" s="51" t="s">
        <v>149</v>
      </c>
      <c r="R1192" s="51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1" t="s">
        <v>149</v>
      </c>
      <c r="P1193" s="51">
        <f>HEX2DEC(RIGHT(Table1323212714[[#This Row],[h1]],8))</f>
        <v>0</v>
      </c>
      <c r="Q1193" s="51" t="s">
        <v>149</v>
      </c>
      <c r="R1193" s="51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1" t="s">
        <v>149</v>
      </c>
      <c r="P1194" s="51">
        <f>HEX2DEC(RIGHT(Table1323212714[[#This Row],[h1]],8))</f>
        <v>0</v>
      </c>
      <c r="Q1194" s="51" t="s">
        <v>149</v>
      </c>
      <c r="R1194" s="51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1" t="s">
        <v>149</v>
      </c>
      <c r="P1195" s="51">
        <f>HEX2DEC(RIGHT(Table1323212714[[#This Row],[h1]],8))</f>
        <v>0</v>
      </c>
      <c r="Q1195" s="51" t="s">
        <v>149</v>
      </c>
      <c r="R1195" s="51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1" t="s">
        <v>149</v>
      </c>
      <c r="P1196" s="51">
        <f>HEX2DEC(RIGHT(Table1323212714[[#This Row],[h1]],8))</f>
        <v>0</v>
      </c>
      <c r="Q1196" s="51" t="s">
        <v>149</v>
      </c>
      <c r="R1196" s="51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1" t="s">
        <v>149</v>
      </c>
      <c r="P1197" s="51">
        <f>HEX2DEC(RIGHT(Table1323212714[[#This Row],[h1]],8))</f>
        <v>0</v>
      </c>
      <c r="Q1197" s="51" t="s">
        <v>149</v>
      </c>
      <c r="R1197" s="51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1" t="s">
        <v>149</v>
      </c>
      <c r="P1198" s="51">
        <f>HEX2DEC(RIGHT(Table1323212714[[#This Row],[h1]],8))</f>
        <v>0</v>
      </c>
      <c r="Q1198" s="51" t="s">
        <v>149</v>
      </c>
      <c r="R1198" s="51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1" t="s">
        <v>149</v>
      </c>
      <c r="P1199" s="51">
        <f>HEX2DEC(RIGHT(Table1323212714[[#This Row],[h1]],8))</f>
        <v>0</v>
      </c>
      <c r="Q1199" s="51" t="s">
        <v>149</v>
      </c>
      <c r="R1199" s="51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1" t="s">
        <v>149</v>
      </c>
      <c r="P1200" s="51">
        <f>HEX2DEC(RIGHT(Table1323212714[[#This Row],[h1]],8))</f>
        <v>0</v>
      </c>
      <c r="Q1200" s="51" t="s">
        <v>149</v>
      </c>
      <c r="R1200" s="51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1" t="s">
        <v>149</v>
      </c>
      <c r="P1201" s="51">
        <f>HEX2DEC(RIGHT(Table1323212714[[#This Row],[h1]],8))</f>
        <v>0</v>
      </c>
      <c r="Q1201" s="51" t="s">
        <v>149</v>
      </c>
      <c r="R1201" s="51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1" t="s">
        <v>149</v>
      </c>
      <c r="P1202" s="51">
        <f>HEX2DEC(RIGHT(Table1323212714[[#This Row],[h1]],8))</f>
        <v>0</v>
      </c>
      <c r="Q1202" s="51" t="s">
        <v>149</v>
      </c>
      <c r="R1202" s="51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1" t="s">
        <v>149</v>
      </c>
      <c r="P1203" s="51">
        <f>HEX2DEC(RIGHT(Table1323212714[[#This Row],[h1]],8))</f>
        <v>0</v>
      </c>
      <c r="Q1203" s="51" t="s">
        <v>149</v>
      </c>
      <c r="R1203" s="51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1" t="s">
        <v>149</v>
      </c>
      <c r="P1204" s="51">
        <f>HEX2DEC(RIGHT(Table1323212714[[#This Row],[h1]],8))</f>
        <v>0</v>
      </c>
      <c r="Q1204" s="51" t="s">
        <v>149</v>
      </c>
      <c r="R1204" s="51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1" t="s">
        <v>149</v>
      </c>
      <c r="P1205" s="51">
        <f>HEX2DEC(RIGHT(Table1323212714[[#This Row],[h1]],8))</f>
        <v>0</v>
      </c>
      <c r="Q1205" s="51" t="s">
        <v>149</v>
      </c>
      <c r="R1205" s="51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1" t="s">
        <v>149</v>
      </c>
      <c r="P1206" s="51">
        <f>HEX2DEC(RIGHT(Table1323212714[[#This Row],[h1]],8))</f>
        <v>0</v>
      </c>
      <c r="Q1206" s="51" t="s">
        <v>149</v>
      </c>
      <c r="R1206" s="51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1" t="s">
        <v>149</v>
      </c>
      <c r="P1207" s="51">
        <f>HEX2DEC(RIGHT(Table1323212714[[#This Row],[h1]],8))</f>
        <v>0</v>
      </c>
      <c r="Q1207" s="51" t="s">
        <v>149</v>
      </c>
      <c r="R1207" s="51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1" t="s">
        <v>149</v>
      </c>
      <c r="P1208" s="51">
        <f>HEX2DEC(RIGHT(Table1323212714[[#This Row],[h1]],8))</f>
        <v>0</v>
      </c>
      <c r="Q1208" s="51" t="s">
        <v>149</v>
      </c>
      <c r="R1208" s="51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1" t="s">
        <v>149</v>
      </c>
      <c r="P1209" s="51">
        <f>HEX2DEC(RIGHT(Table1323212714[[#This Row],[h1]],8))</f>
        <v>0</v>
      </c>
      <c r="Q1209" s="51" t="s">
        <v>149</v>
      </c>
      <c r="R1209" s="51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1" t="s">
        <v>149</v>
      </c>
      <c r="P1210" s="51">
        <f>HEX2DEC(RIGHT(Table1323212714[[#This Row],[h1]],8))</f>
        <v>0</v>
      </c>
      <c r="Q1210" s="51" t="s">
        <v>149</v>
      </c>
      <c r="R1210" s="51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1" t="s">
        <v>149</v>
      </c>
      <c r="P1211" s="51">
        <f>HEX2DEC(RIGHT(Table1323212714[[#This Row],[h1]],8))</f>
        <v>0</v>
      </c>
      <c r="Q1211" s="51" t="s">
        <v>149</v>
      </c>
      <c r="R1211" s="51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1" t="s">
        <v>149</v>
      </c>
      <c r="P1212" s="51">
        <f>HEX2DEC(RIGHT(Table1323212714[[#This Row],[h1]],8))</f>
        <v>0</v>
      </c>
      <c r="Q1212" s="51" t="s">
        <v>149</v>
      </c>
      <c r="R1212" s="51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1" t="s">
        <v>149</v>
      </c>
      <c r="P1213" s="51">
        <f>HEX2DEC(RIGHT(Table1323212714[[#This Row],[h1]],8))</f>
        <v>0</v>
      </c>
      <c r="Q1213" s="51" t="s">
        <v>149</v>
      </c>
      <c r="R1213" s="51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1" t="s">
        <v>149</v>
      </c>
      <c r="P1214" s="51">
        <f>HEX2DEC(RIGHT(Table1323212714[[#This Row],[h1]],8))</f>
        <v>0</v>
      </c>
      <c r="Q1214" s="51" t="s">
        <v>149</v>
      </c>
      <c r="R1214" s="51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1" t="s">
        <v>149</v>
      </c>
      <c r="P1215" s="51">
        <f>HEX2DEC(RIGHT(Table1323212714[[#This Row],[h1]],8))</f>
        <v>0</v>
      </c>
      <c r="Q1215" s="51" t="s">
        <v>149</v>
      </c>
      <c r="R1215" s="51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1" t="s">
        <v>149</v>
      </c>
      <c r="P1216" s="51">
        <f>HEX2DEC(RIGHT(Table1323212714[[#This Row],[h1]],8))</f>
        <v>0</v>
      </c>
      <c r="Q1216" s="51" t="s">
        <v>149</v>
      </c>
      <c r="R1216" s="51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1" t="s">
        <v>149</v>
      </c>
      <c r="P1217" s="51">
        <f>HEX2DEC(RIGHT(Table1323212714[[#This Row],[h1]],8))</f>
        <v>0</v>
      </c>
      <c r="Q1217" s="51" t="s">
        <v>149</v>
      </c>
      <c r="R1217" s="51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1" t="s">
        <v>149</v>
      </c>
      <c r="P1218" s="51">
        <f>HEX2DEC(RIGHT(Table1323212714[[#This Row],[h1]],8))</f>
        <v>0</v>
      </c>
      <c r="Q1218" s="51" t="s">
        <v>149</v>
      </c>
      <c r="R1218" s="51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1" t="s">
        <v>149</v>
      </c>
      <c r="P1219" s="51">
        <f>HEX2DEC(RIGHT(Table1323212714[[#This Row],[h1]],8))</f>
        <v>0</v>
      </c>
      <c r="Q1219" s="51" t="s">
        <v>149</v>
      </c>
      <c r="R1219" s="51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1" t="s">
        <v>149</v>
      </c>
      <c r="P1220" s="51">
        <f>HEX2DEC(RIGHT(Table1323212714[[#This Row],[h1]],8))</f>
        <v>0</v>
      </c>
      <c r="Q1220" s="51" t="s">
        <v>149</v>
      </c>
      <c r="R1220" s="51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1" t="s">
        <v>149</v>
      </c>
      <c r="P1221" s="51">
        <f>HEX2DEC(RIGHT(Table1323212714[[#This Row],[h1]],8))</f>
        <v>0</v>
      </c>
      <c r="Q1221" s="51" t="s">
        <v>149</v>
      </c>
      <c r="R1221" s="51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1" t="s">
        <v>149</v>
      </c>
      <c r="P1222" s="51">
        <f>HEX2DEC(RIGHT(Table1323212714[[#This Row],[h1]],8))</f>
        <v>0</v>
      </c>
      <c r="Q1222" s="51" t="s">
        <v>149</v>
      </c>
      <c r="R1222" s="51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1" t="s">
        <v>149</v>
      </c>
      <c r="P1223" s="51">
        <f>HEX2DEC(RIGHT(Table1323212714[[#This Row],[h1]],8))</f>
        <v>0</v>
      </c>
      <c r="Q1223" s="51" t="s">
        <v>149</v>
      </c>
      <c r="R1223" s="51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1" t="s">
        <v>149</v>
      </c>
      <c r="P1224" s="51">
        <f>HEX2DEC(RIGHT(Table1323212714[[#This Row],[h1]],8))</f>
        <v>0</v>
      </c>
      <c r="Q1224" s="51" t="s">
        <v>149</v>
      </c>
      <c r="R1224" s="51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1" t="s">
        <v>149</v>
      </c>
      <c r="P1225" s="51">
        <f>HEX2DEC(RIGHT(Table1323212714[[#This Row],[h1]],8))</f>
        <v>0</v>
      </c>
      <c r="Q1225" s="51" t="s">
        <v>149</v>
      </c>
      <c r="R1225" s="51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1" t="s">
        <v>149</v>
      </c>
      <c r="P1226" s="51">
        <f>HEX2DEC(RIGHT(Table1323212714[[#This Row],[h1]],8))</f>
        <v>0</v>
      </c>
      <c r="Q1226" s="51" t="s">
        <v>149</v>
      </c>
      <c r="R1226" s="51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1" t="s">
        <v>149</v>
      </c>
      <c r="P1227" s="51">
        <f>HEX2DEC(RIGHT(Table1323212714[[#This Row],[h1]],8))</f>
        <v>0</v>
      </c>
      <c r="Q1227" s="51" t="s">
        <v>149</v>
      </c>
      <c r="R1227" s="51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1" t="s">
        <v>149</v>
      </c>
      <c r="P1228" s="51">
        <f>HEX2DEC(RIGHT(Table1323212714[[#This Row],[h1]],8))</f>
        <v>0</v>
      </c>
      <c r="Q1228" s="51" t="s">
        <v>149</v>
      </c>
      <c r="R1228" s="51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1" t="s">
        <v>149</v>
      </c>
      <c r="P1229" s="51">
        <f>HEX2DEC(RIGHT(Table1323212714[[#This Row],[h1]],8))</f>
        <v>0</v>
      </c>
      <c r="Q1229" s="51" t="s">
        <v>149</v>
      </c>
      <c r="R1229" s="51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1" t="s">
        <v>149</v>
      </c>
      <c r="P1230" s="51">
        <f>HEX2DEC(RIGHT(Table1323212714[[#This Row],[h1]],8))</f>
        <v>0</v>
      </c>
      <c r="Q1230" s="51" t="s">
        <v>149</v>
      </c>
      <c r="R1230" s="51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1" t="s">
        <v>149</v>
      </c>
      <c r="P1231" s="51">
        <f>HEX2DEC(RIGHT(Table1323212714[[#This Row],[h1]],8))</f>
        <v>0</v>
      </c>
      <c r="Q1231" s="51" t="s">
        <v>149</v>
      </c>
      <c r="R1231" s="51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1" t="s">
        <v>149</v>
      </c>
      <c r="P1232" s="51">
        <f>HEX2DEC(RIGHT(Table1323212714[[#This Row],[h1]],8))</f>
        <v>0</v>
      </c>
      <c r="Q1232" s="51" t="s">
        <v>149</v>
      </c>
      <c r="R1232" s="51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1" t="s">
        <v>149</v>
      </c>
      <c r="P1233" s="51">
        <f>HEX2DEC(RIGHT(Table1323212714[[#This Row],[h1]],8))</f>
        <v>0</v>
      </c>
      <c r="Q1233" s="51" t="s">
        <v>149</v>
      </c>
      <c r="R1233" s="51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1" t="s">
        <v>149</v>
      </c>
      <c r="P1234" s="51">
        <f>HEX2DEC(RIGHT(Table1323212714[[#This Row],[h1]],8))</f>
        <v>0</v>
      </c>
      <c r="Q1234" s="51" t="s">
        <v>149</v>
      </c>
      <c r="R1234" s="51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1" t="s">
        <v>149</v>
      </c>
      <c r="P1235" s="51">
        <f>HEX2DEC(RIGHT(Table1323212714[[#This Row],[h1]],8))</f>
        <v>0</v>
      </c>
      <c r="Q1235" s="51" t="s">
        <v>149</v>
      </c>
      <c r="R1235" s="51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1" t="s">
        <v>149</v>
      </c>
      <c r="P1236" s="51">
        <f>HEX2DEC(RIGHT(Table1323212714[[#This Row],[h1]],8))</f>
        <v>0</v>
      </c>
      <c r="Q1236" s="51" t="s">
        <v>149</v>
      </c>
      <c r="R1236" s="51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1" t="s">
        <v>149</v>
      </c>
      <c r="P1237" s="51">
        <f>HEX2DEC(RIGHT(Table1323212714[[#This Row],[h1]],8))</f>
        <v>0</v>
      </c>
      <c r="Q1237" s="51" t="s">
        <v>149</v>
      </c>
      <c r="R1237" s="51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1" t="s">
        <v>149</v>
      </c>
      <c r="P1238" s="51">
        <f>HEX2DEC(RIGHT(Table1323212714[[#This Row],[h1]],8))</f>
        <v>0</v>
      </c>
      <c r="Q1238" s="51" t="s">
        <v>149</v>
      </c>
      <c r="R1238" s="51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1" t="s">
        <v>149</v>
      </c>
      <c r="P1239" s="51">
        <f>HEX2DEC(RIGHT(Table1323212714[[#This Row],[h1]],8))</f>
        <v>0</v>
      </c>
      <c r="Q1239" s="51" t="s">
        <v>149</v>
      </c>
      <c r="R1239" s="51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1" t="s">
        <v>149</v>
      </c>
      <c r="P1240" s="51">
        <f>HEX2DEC(RIGHT(Table1323212714[[#This Row],[h1]],8))</f>
        <v>0</v>
      </c>
      <c r="Q1240" s="51" t="s">
        <v>149</v>
      </c>
      <c r="R1240" s="51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1" t="s">
        <v>149</v>
      </c>
      <c r="P1241" s="51">
        <f>HEX2DEC(RIGHT(Table1323212714[[#This Row],[h1]],8))</f>
        <v>0</v>
      </c>
      <c r="Q1241" s="51" t="s">
        <v>149</v>
      </c>
      <c r="R1241" s="51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1" t="s">
        <v>149</v>
      </c>
      <c r="P1242" s="51">
        <f>HEX2DEC(RIGHT(Table1323212714[[#This Row],[h1]],8))</f>
        <v>0</v>
      </c>
      <c r="Q1242" s="51" t="s">
        <v>149</v>
      </c>
      <c r="R1242" s="51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1" t="s">
        <v>149</v>
      </c>
      <c r="P1243" s="51">
        <f>HEX2DEC(RIGHT(Table1323212714[[#This Row],[h1]],8))</f>
        <v>0</v>
      </c>
      <c r="Q1243" s="51" t="s">
        <v>149</v>
      </c>
      <c r="R1243" s="51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1" t="s">
        <v>149</v>
      </c>
      <c r="P1244" s="51">
        <f>HEX2DEC(RIGHT(Table1323212714[[#This Row],[h1]],8))</f>
        <v>0</v>
      </c>
      <c r="Q1244" s="51" t="s">
        <v>149</v>
      </c>
      <c r="R1244" s="51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1" t="s">
        <v>149</v>
      </c>
      <c r="P1245" s="51">
        <f>HEX2DEC(RIGHT(Table1323212714[[#This Row],[h1]],8))</f>
        <v>0</v>
      </c>
      <c r="Q1245" s="51" t="s">
        <v>149</v>
      </c>
      <c r="R1245" s="51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1" t="s">
        <v>149</v>
      </c>
      <c r="P1246" s="51">
        <f>HEX2DEC(RIGHT(Table1323212714[[#This Row],[h1]],8))</f>
        <v>0</v>
      </c>
      <c r="Q1246" s="51" t="s">
        <v>149</v>
      </c>
      <c r="R1246" s="51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1" t="s">
        <v>149</v>
      </c>
      <c r="P1247" s="51">
        <f>HEX2DEC(RIGHT(Table1323212714[[#This Row],[h1]],8))</f>
        <v>0</v>
      </c>
      <c r="Q1247" s="51" t="s">
        <v>149</v>
      </c>
      <c r="R1247" s="51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1" t="s">
        <v>149</v>
      </c>
      <c r="P1248" s="51">
        <f>HEX2DEC(RIGHT(Table1323212714[[#This Row],[h1]],8))</f>
        <v>0</v>
      </c>
      <c r="Q1248" s="51" t="s">
        <v>149</v>
      </c>
      <c r="R1248" s="51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1" t="s">
        <v>149</v>
      </c>
      <c r="P1249" s="51">
        <f>HEX2DEC(RIGHT(Table1323212714[[#This Row],[h1]],8))</f>
        <v>0</v>
      </c>
      <c r="Q1249" s="51" t="s">
        <v>149</v>
      </c>
      <c r="R1249" s="51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1" t="s">
        <v>149</v>
      </c>
      <c r="P1250" s="51">
        <f>HEX2DEC(RIGHT(Table1323212714[[#This Row],[h1]],8))</f>
        <v>0</v>
      </c>
      <c r="Q1250" s="51" t="s">
        <v>149</v>
      </c>
      <c r="R1250" s="51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1" t="s">
        <v>149</v>
      </c>
      <c r="P1251" s="51">
        <f>HEX2DEC(RIGHT(Table1323212714[[#This Row],[h1]],8))</f>
        <v>0</v>
      </c>
      <c r="Q1251" s="51" t="s">
        <v>149</v>
      </c>
      <c r="R1251" s="51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1" t="s">
        <v>149</v>
      </c>
      <c r="P1252" s="51">
        <f>HEX2DEC(RIGHT(Table1323212714[[#This Row],[h1]],8))</f>
        <v>0</v>
      </c>
      <c r="Q1252" s="51" t="s">
        <v>149</v>
      </c>
      <c r="R1252" s="51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1" t="s">
        <v>149</v>
      </c>
      <c r="P1253" s="51">
        <f>HEX2DEC(RIGHT(Table1323212714[[#This Row],[h1]],8))</f>
        <v>0</v>
      </c>
      <c r="Q1253" s="51" t="s">
        <v>149</v>
      </c>
      <c r="R1253" s="51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1" t="s">
        <v>149</v>
      </c>
      <c r="P1254" s="51">
        <f>HEX2DEC(RIGHT(Table1323212714[[#This Row],[h1]],8))</f>
        <v>0</v>
      </c>
      <c r="Q1254" s="51" t="s">
        <v>149</v>
      </c>
      <c r="R1254" s="51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1" t="s">
        <v>149</v>
      </c>
      <c r="P1255" s="51">
        <f>HEX2DEC(RIGHT(Table1323212714[[#This Row],[h1]],8))</f>
        <v>0</v>
      </c>
      <c r="Q1255" s="51" t="s">
        <v>149</v>
      </c>
      <c r="R1255" s="51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1" t="s">
        <v>149</v>
      </c>
      <c r="P1256" s="51">
        <f>HEX2DEC(RIGHT(Table1323212714[[#This Row],[h1]],8))</f>
        <v>0</v>
      </c>
      <c r="Q1256" s="51" t="s">
        <v>149</v>
      </c>
      <c r="R1256" s="51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1" t="s">
        <v>149</v>
      </c>
      <c r="P1257" s="51">
        <f>HEX2DEC(RIGHT(Table1323212714[[#This Row],[h1]],8))</f>
        <v>0</v>
      </c>
      <c r="Q1257" s="51" t="s">
        <v>149</v>
      </c>
      <c r="R1257" s="51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1" t="s">
        <v>149</v>
      </c>
      <c r="P1258" s="51">
        <f>HEX2DEC(RIGHT(Table1323212714[[#This Row],[h1]],8))</f>
        <v>0</v>
      </c>
      <c r="Q1258" s="51" t="s">
        <v>149</v>
      </c>
      <c r="R1258" s="51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1" t="s">
        <v>149</v>
      </c>
      <c r="P1259" s="51">
        <f>HEX2DEC(RIGHT(Table1323212714[[#This Row],[h1]],8))</f>
        <v>0</v>
      </c>
      <c r="Q1259" s="51" t="s">
        <v>149</v>
      </c>
      <c r="R1259" s="51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1" t="s">
        <v>149</v>
      </c>
      <c r="P1260" s="51">
        <f>HEX2DEC(RIGHT(Table1323212714[[#This Row],[h1]],8))</f>
        <v>0</v>
      </c>
      <c r="Q1260" s="51" t="s">
        <v>149</v>
      </c>
      <c r="R1260" s="51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1" t="s">
        <v>149</v>
      </c>
      <c r="P1261" s="51">
        <f>HEX2DEC(RIGHT(Table1323212714[[#This Row],[h1]],8))</f>
        <v>0</v>
      </c>
      <c r="Q1261" s="51" t="s">
        <v>149</v>
      </c>
      <c r="R1261" s="51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1" t="s">
        <v>149</v>
      </c>
      <c r="P1262" s="51">
        <f>HEX2DEC(RIGHT(Table1323212714[[#This Row],[h1]],8))</f>
        <v>0</v>
      </c>
      <c r="Q1262" s="51" t="s">
        <v>149</v>
      </c>
      <c r="R1262" s="51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1" t="s">
        <v>149</v>
      </c>
      <c r="P1263" s="51">
        <f>HEX2DEC(RIGHT(Table1323212714[[#This Row],[h1]],8))</f>
        <v>0</v>
      </c>
      <c r="Q1263" s="51" t="s">
        <v>149</v>
      </c>
      <c r="R1263" s="51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1" t="s">
        <v>149</v>
      </c>
      <c r="P1264" s="51">
        <f>HEX2DEC(RIGHT(Table1323212714[[#This Row],[h1]],8))</f>
        <v>0</v>
      </c>
      <c r="Q1264" s="51" t="s">
        <v>149</v>
      </c>
      <c r="R1264" s="51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1" t="s">
        <v>149</v>
      </c>
      <c r="P1265" s="51">
        <f>HEX2DEC(RIGHT(Table1323212714[[#This Row],[h1]],8))</f>
        <v>0</v>
      </c>
      <c r="Q1265" s="51" t="s">
        <v>149</v>
      </c>
      <c r="R1265" s="51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1" t="s">
        <v>149</v>
      </c>
      <c r="P1266" s="51">
        <f>HEX2DEC(RIGHT(Table1323212714[[#This Row],[h1]],8))</f>
        <v>0</v>
      </c>
      <c r="Q1266" s="51" t="s">
        <v>149</v>
      </c>
      <c r="R1266" s="51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1" t="s">
        <v>149</v>
      </c>
      <c r="P1267" s="51">
        <f>HEX2DEC(RIGHT(Table1323212714[[#This Row],[h1]],8))</f>
        <v>0</v>
      </c>
      <c r="Q1267" s="51" t="s">
        <v>149</v>
      </c>
      <c r="R1267" s="51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1" t="s">
        <v>149</v>
      </c>
      <c r="P1268" s="51">
        <f>HEX2DEC(RIGHT(Table1323212714[[#This Row],[h1]],8))</f>
        <v>0</v>
      </c>
      <c r="Q1268" s="51" t="s">
        <v>149</v>
      </c>
      <c r="R1268" s="51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1" t="s">
        <v>149</v>
      </c>
      <c r="P1269" s="51">
        <f>HEX2DEC(RIGHT(Table1323212714[[#This Row],[h1]],8))</f>
        <v>0</v>
      </c>
      <c r="Q1269" s="51" t="s">
        <v>149</v>
      </c>
      <c r="R1269" s="51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1" t="s">
        <v>149</v>
      </c>
      <c r="P1270" s="51">
        <f>HEX2DEC(RIGHT(Table1323212714[[#This Row],[h1]],8))</f>
        <v>0</v>
      </c>
      <c r="Q1270" s="51" t="s">
        <v>149</v>
      </c>
      <c r="R1270" s="51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1" t="s">
        <v>149</v>
      </c>
      <c r="P1271" s="51">
        <f>HEX2DEC(RIGHT(Table1323212714[[#This Row],[h1]],8))</f>
        <v>0</v>
      </c>
      <c r="Q1271" s="51" t="s">
        <v>149</v>
      </c>
      <c r="R1271" s="51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1" t="s">
        <v>149</v>
      </c>
      <c r="P1272" s="51">
        <f>HEX2DEC(RIGHT(Table1323212714[[#This Row],[h1]],8))</f>
        <v>0</v>
      </c>
      <c r="Q1272" s="51" t="s">
        <v>149</v>
      </c>
      <c r="R1272" s="51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1" t="s">
        <v>149</v>
      </c>
      <c r="P1273" s="51">
        <f>HEX2DEC(RIGHT(Table1323212714[[#This Row],[h1]],8))</f>
        <v>0</v>
      </c>
      <c r="Q1273" s="51" t="s">
        <v>149</v>
      </c>
      <c r="R1273" s="51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1" t="s">
        <v>149</v>
      </c>
      <c r="P1274" s="51">
        <f>HEX2DEC(RIGHT(Table1323212714[[#This Row],[h1]],8))</f>
        <v>0</v>
      </c>
      <c r="Q1274" s="51" t="s">
        <v>149</v>
      </c>
      <c r="R1274" s="51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1" t="s">
        <v>149</v>
      </c>
      <c r="P1275" s="51">
        <f>HEX2DEC(RIGHT(Table1323212714[[#This Row],[h1]],8))</f>
        <v>0</v>
      </c>
      <c r="Q1275" s="51" t="s">
        <v>149</v>
      </c>
      <c r="R1275" s="51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1" t="s">
        <v>149</v>
      </c>
      <c r="P1276" s="51">
        <f>HEX2DEC(RIGHT(Table1323212714[[#This Row],[h1]],8))</f>
        <v>0</v>
      </c>
      <c r="Q1276" s="51" t="s">
        <v>149</v>
      </c>
      <c r="R1276" s="51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1" t="s">
        <v>149</v>
      </c>
      <c r="P1277" s="51">
        <f>HEX2DEC(RIGHT(Table1323212714[[#This Row],[h1]],8))</f>
        <v>0</v>
      </c>
      <c r="Q1277" s="51" t="s">
        <v>149</v>
      </c>
      <c r="R1277" s="51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1" t="s">
        <v>149</v>
      </c>
      <c r="P1278" s="51">
        <f>HEX2DEC(RIGHT(Table1323212714[[#This Row],[h1]],8))</f>
        <v>0</v>
      </c>
      <c r="Q1278" s="51" t="s">
        <v>149</v>
      </c>
      <c r="R1278" s="51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1" t="s">
        <v>149</v>
      </c>
      <c r="P1279" s="51">
        <f>HEX2DEC(RIGHT(Table1323212714[[#This Row],[h1]],8))</f>
        <v>0</v>
      </c>
      <c r="Q1279" s="51" t="s">
        <v>149</v>
      </c>
      <c r="R1279" s="51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1" t="s">
        <v>149</v>
      </c>
      <c r="P1280" s="51">
        <f>HEX2DEC(RIGHT(Table1323212714[[#This Row],[h1]],8))</f>
        <v>0</v>
      </c>
      <c r="Q1280" s="51" t="s">
        <v>149</v>
      </c>
      <c r="R1280" s="51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1" t="s">
        <v>149</v>
      </c>
      <c r="P1281" s="51">
        <f>HEX2DEC(RIGHT(Table1323212714[[#This Row],[h1]],8))</f>
        <v>0</v>
      </c>
      <c r="Q1281" s="51" t="s">
        <v>149</v>
      </c>
      <c r="R1281" s="51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1" t="s">
        <v>149</v>
      </c>
      <c r="P1282" s="51">
        <f>HEX2DEC(RIGHT(Table1323212714[[#This Row],[h1]],8))</f>
        <v>0</v>
      </c>
      <c r="Q1282" s="51" t="s">
        <v>149</v>
      </c>
      <c r="R1282" s="51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1" t="s">
        <v>149</v>
      </c>
      <c r="P1283" s="51">
        <f>HEX2DEC(RIGHT(Table1323212714[[#This Row],[h1]],8))</f>
        <v>0</v>
      </c>
      <c r="Q1283" s="51" t="s">
        <v>149</v>
      </c>
      <c r="R1283" s="51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1" t="s">
        <v>149</v>
      </c>
      <c r="P1284" s="51">
        <f>HEX2DEC(RIGHT(Table1323212714[[#This Row],[h1]],8))</f>
        <v>0</v>
      </c>
      <c r="Q1284" s="51" t="s">
        <v>149</v>
      </c>
      <c r="R1284" s="51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1" t="s">
        <v>149</v>
      </c>
      <c r="P1285" s="51">
        <f>HEX2DEC(RIGHT(Table1323212714[[#This Row],[h1]],8))</f>
        <v>0</v>
      </c>
      <c r="Q1285" s="51" t="s">
        <v>149</v>
      </c>
      <c r="R1285" s="51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1" t="s">
        <v>149</v>
      </c>
      <c r="P1286" s="51">
        <f>HEX2DEC(RIGHT(Table1323212714[[#This Row],[h1]],8))</f>
        <v>0</v>
      </c>
      <c r="Q1286" s="51" t="s">
        <v>149</v>
      </c>
      <c r="R1286" s="51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1" t="s">
        <v>149</v>
      </c>
      <c r="P1287" s="51">
        <f>HEX2DEC(RIGHT(Table1323212714[[#This Row],[h1]],8))</f>
        <v>0</v>
      </c>
      <c r="Q1287" s="51" t="s">
        <v>149</v>
      </c>
      <c r="R1287" s="51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1" t="s">
        <v>149</v>
      </c>
      <c r="P1288" s="51">
        <f>HEX2DEC(RIGHT(Table1323212714[[#This Row],[h1]],8))</f>
        <v>0</v>
      </c>
      <c r="Q1288" s="51" t="s">
        <v>149</v>
      </c>
      <c r="R1288" s="51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1" t="s">
        <v>149</v>
      </c>
      <c r="P1289" s="51">
        <f>HEX2DEC(RIGHT(Table1323212714[[#This Row],[h1]],8))</f>
        <v>0</v>
      </c>
      <c r="Q1289" s="51" t="s">
        <v>149</v>
      </c>
      <c r="R1289" s="51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1" t="s">
        <v>149</v>
      </c>
      <c r="P1290" s="51">
        <f>HEX2DEC(RIGHT(Table1323212714[[#This Row],[h1]],8))</f>
        <v>0</v>
      </c>
      <c r="Q1290" s="51" t="s">
        <v>149</v>
      </c>
      <c r="R1290" s="51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1" t="s">
        <v>149</v>
      </c>
      <c r="P1291" s="51">
        <f>HEX2DEC(RIGHT(Table1323212714[[#This Row],[h1]],8))</f>
        <v>0</v>
      </c>
      <c r="Q1291" s="51" t="s">
        <v>149</v>
      </c>
      <c r="R1291" s="51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1" t="s">
        <v>149</v>
      </c>
      <c r="P1292" s="51">
        <f>HEX2DEC(RIGHT(Table1323212714[[#This Row],[h1]],8))</f>
        <v>0</v>
      </c>
      <c r="Q1292" s="51" t="s">
        <v>149</v>
      </c>
      <c r="R1292" s="51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1" t="s">
        <v>149</v>
      </c>
      <c r="P1293" s="51">
        <f>HEX2DEC(RIGHT(Table1323212714[[#This Row],[h1]],8))</f>
        <v>0</v>
      </c>
      <c r="Q1293" s="51" t="s">
        <v>149</v>
      </c>
      <c r="R1293" s="51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1" t="s">
        <v>149</v>
      </c>
      <c r="P1294" s="51">
        <f>HEX2DEC(RIGHT(Table1323212714[[#This Row],[h1]],8))</f>
        <v>0</v>
      </c>
      <c r="Q1294" s="51" t="s">
        <v>149</v>
      </c>
      <c r="R1294" s="51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1" t="s">
        <v>149</v>
      </c>
      <c r="P1295" s="51">
        <f>HEX2DEC(RIGHT(Table1323212714[[#This Row],[h1]],8))</f>
        <v>0</v>
      </c>
      <c r="Q1295" s="51" t="s">
        <v>149</v>
      </c>
      <c r="R1295" s="51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1" t="s">
        <v>149</v>
      </c>
      <c r="P1296" s="51">
        <f>HEX2DEC(RIGHT(Table1323212714[[#This Row],[h1]],8))</f>
        <v>0</v>
      </c>
      <c r="Q1296" s="51" t="s">
        <v>149</v>
      </c>
      <c r="R1296" s="51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1" t="s">
        <v>149</v>
      </c>
      <c r="P1297" s="51">
        <f>HEX2DEC(RIGHT(Table1323212714[[#This Row],[h1]],8))</f>
        <v>0</v>
      </c>
      <c r="Q1297" s="51" t="s">
        <v>149</v>
      </c>
      <c r="R1297" s="51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1" t="s">
        <v>149</v>
      </c>
      <c r="P1298" s="51">
        <f>HEX2DEC(RIGHT(Table1323212714[[#This Row],[h1]],8))</f>
        <v>0</v>
      </c>
      <c r="Q1298" s="51" t="s">
        <v>149</v>
      </c>
      <c r="R1298" s="51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1" t="s">
        <v>149</v>
      </c>
      <c r="P1299" s="51">
        <f>HEX2DEC(RIGHT(Table1323212714[[#This Row],[h1]],8))</f>
        <v>0</v>
      </c>
      <c r="Q1299" s="51" t="s">
        <v>149</v>
      </c>
      <c r="R1299" s="51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1" t="s">
        <v>149</v>
      </c>
      <c r="P1300" s="51">
        <f>HEX2DEC(RIGHT(Table1323212714[[#This Row],[h1]],8))</f>
        <v>0</v>
      </c>
      <c r="Q1300" s="51" t="s">
        <v>149</v>
      </c>
      <c r="R1300" s="51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1" t="s">
        <v>149</v>
      </c>
      <c r="P1301" s="51">
        <f>HEX2DEC(RIGHT(Table1323212714[[#This Row],[h1]],8))</f>
        <v>0</v>
      </c>
      <c r="Q1301" s="51" t="s">
        <v>149</v>
      </c>
      <c r="R1301" s="51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1" t="s">
        <v>149</v>
      </c>
      <c r="P1302" s="51">
        <f>HEX2DEC(RIGHT(Table1323212714[[#This Row],[h1]],8))</f>
        <v>0</v>
      </c>
      <c r="Q1302" s="51" t="s">
        <v>149</v>
      </c>
      <c r="R1302" s="51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1" t="s">
        <v>149</v>
      </c>
      <c r="P1303" s="51">
        <f>HEX2DEC(RIGHT(Table1323212714[[#This Row],[h1]],8))</f>
        <v>0</v>
      </c>
      <c r="Q1303" s="51" t="s">
        <v>149</v>
      </c>
      <c r="R1303" s="51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1" t="s">
        <v>149</v>
      </c>
      <c r="P1304" s="51">
        <f>HEX2DEC(RIGHT(Table1323212714[[#This Row],[h1]],8))</f>
        <v>0</v>
      </c>
      <c r="Q1304" s="51" t="s">
        <v>149</v>
      </c>
      <c r="R1304" s="51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1" t="s">
        <v>149</v>
      </c>
      <c r="P1305" s="51">
        <f>HEX2DEC(RIGHT(Table1323212714[[#This Row],[h1]],8))</f>
        <v>0</v>
      </c>
      <c r="Q1305" s="51" t="s">
        <v>149</v>
      </c>
      <c r="R1305" s="51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1" t="s">
        <v>149</v>
      </c>
      <c r="P1306" s="51">
        <f>HEX2DEC(RIGHT(Table1323212714[[#This Row],[h1]],8))</f>
        <v>0</v>
      </c>
      <c r="Q1306" s="51" t="s">
        <v>149</v>
      </c>
      <c r="R1306" s="51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1" t="s">
        <v>149</v>
      </c>
      <c r="P1307" s="51">
        <f>HEX2DEC(RIGHT(Table1323212714[[#This Row],[h1]],8))</f>
        <v>0</v>
      </c>
      <c r="Q1307" s="51" t="s">
        <v>149</v>
      </c>
      <c r="R1307" s="51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1" t="s">
        <v>149</v>
      </c>
      <c r="P1308" s="51">
        <f>HEX2DEC(RIGHT(Table1323212714[[#This Row],[h1]],8))</f>
        <v>0</v>
      </c>
      <c r="Q1308" s="51" t="s">
        <v>149</v>
      </c>
      <c r="R1308" s="51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1" t="s">
        <v>149</v>
      </c>
      <c r="P1309" s="51">
        <f>HEX2DEC(RIGHT(Table1323212714[[#This Row],[h1]],8))</f>
        <v>0</v>
      </c>
      <c r="Q1309" s="51" t="s">
        <v>149</v>
      </c>
      <c r="R1309" s="51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1" t="s">
        <v>149</v>
      </c>
      <c r="P1310" s="51">
        <f>HEX2DEC(RIGHT(Table1323212714[[#This Row],[h1]],8))</f>
        <v>0</v>
      </c>
      <c r="Q1310" s="51" t="s">
        <v>149</v>
      </c>
      <c r="R1310" s="51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1" t="s">
        <v>149</v>
      </c>
      <c r="P1311" s="51">
        <f>HEX2DEC(RIGHT(Table1323212714[[#This Row],[h1]],8))</f>
        <v>0</v>
      </c>
      <c r="Q1311" s="51" t="s">
        <v>149</v>
      </c>
      <c r="R1311" s="51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1" t="s">
        <v>149</v>
      </c>
      <c r="P1312" s="51">
        <f>HEX2DEC(RIGHT(Table1323212714[[#This Row],[h1]],8))</f>
        <v>0</v>
      </c>
      <c r="Q1312" s="51" t="s">
        <v>149</v>
      </c>
      <c r="R1312" s="51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1" t="s">
        <v>149</v>
      </c>
      <c r="P1313" s="51">
        <f>HEX2DEC(RIGHT(Table1323212714[[#This Row],[h1]],8))</f>
        <v>0</v>
      </c>
      <c r="Q1313" s="51" t="s">
        <v>149</v>
      </c>
      <c r="R1313" s="51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1" t="s">
        <v>149</v>
      </c>
      <c r="P1314" s="51">
        <f>HEX2DEC(RIGHT(Table1323212714[[#This Row],[h1]],8))</f>
        <v>0</v>
      </c>
      <c r="Q1314" s="51" t="s">
        <v>149</v>
      </c>
      <c r="R1314" s="51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1" t="s">
        <v>149</v>
      </c>
      <c r="P1315" s="51">
        <f>HEX2DEC(RIGHT(Table1323212714[[#This Row],[h1]],8))</f>
        <v>0</v>
      </c>
      <c r="Q1315" s="51" t="s">
        <v>149</v>
      </c>
      <c r="R1315" s="51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1" t="s">
        <v>149</v>
      </c>
      <c r="P1316" s="51">
        <f>HEX2DEC(RIGHT(Table1323212714[[#This Row],[h1]],8))</f>
        <v>0</v>
      </c>
      <c r="Q1316" s="51" t="s">
        <v>149</v>
      </c>
      <c r="R1316" s="51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1" t="s">
        <v>149</v>
      </c>
      <c r="P1317" s="51">
        <f>HEX2DEC(RIGHT(Table1323212714[[#This Row],[h1]],8))</f>
        <v>0</v>
      </c>
      <c r="Q1317" s="51" t="s">
        <v>149</v>
      </c>
      <c r="R1317" s="51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1" t="s">
        <v>149</v>
      </c>
      <c r="P1318" s="51">
        <f>HEX2DEC(RIGHT(Table1323212714[[#This Row],[h1]],8))</f>
        <v>0</v>
      </c>
      <c r="Q1318" s="51" t="s">
        <v>149</v>
      </c>
      <c r="R1318" s="51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1" t="s">
        <v>149</v>
      </c>
      <c r="P1319" s="51">
        <f>HEX2DEC(RIGHT(Table1323212714[[#This Row],[h1]],8))</f>
        <v>0</v>
      </c>
      <c r="Q1319" s="51" t="s">
        <v>149</v>
      </c>
      <c r="R1319" s="51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1" t="s">
        <v>149</v>
      </c>
      <c r="P1320" s="51">
        <f>HEX2DEC(RIGHT(Table1323212714[[#This Row],[h1]],8))</f>
        <v>0</v>
      </c>
      <c r="Q1320" s="51" t="s">
        <v>149</v>
      </c>
      <c r="R1320" s="51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1" t="s">
        <v>149</v>
      </c>
      <c r="P1321" s="51">
        <f>HEX2DEC(RIGHT(Table1323212714[[#This Row],[h1]],8))</f>
        <v>0</v>
      </c>
      <c r="Q1321" s="51" t="s">
        <v>149</v>
      </c>
      <c r="R1321" s="51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1" t="s">
        <v>149</v>
      </c>
      <c r="P1322" s="51">
        <f>HEX2DEC(RIGHT(Table1323212714[[#This Row],[h1]],8))</f>
        <v>0</v>
      </c>
      <c r="Q1322" s="51" t="s">
        <v>149</v>
      </c>
      <c r="R1322" s="51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1" t="s">
        <v>149</v>
      </c>
      <c r="P1323" s="51">
        <f>HEX2DEC(RIGHT(Table1323212714[[#This Row],[h1]],8))</f>
        <v>0</v>
      </c>
      <c r="Q1323" s="51" t="s">
        <v>149</v>
      </c>
      <c r="R1323" s="51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1" t="s">
        <v>149</v>
      </c>
      <c r="P1324" s="51">
        <f>HEX2DEC(RIGHT(Table1323212714[[#This Row],[h1]],8))</f>
        <v>0</v>
      </c>
      <c r="Q1324" s="51" t="s">
        <v>149</v>
      </c>
      <c r="R1324" s="51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1" t="s">
        <v>149</v>
      </c>
      <c r="P1325" s="51">
        <f>HEX2DEC(RIGHT(Table1323212714[[#This Row],[h1]],8))</f>
        <v>0</v>
      </c>
      <c r="Q1325" s="51" t="s">
        <v>149</v>
      </c>
      <c r="R1325" s="51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1" t="s">
        <v>149</v>
      </c>
      <c r="P1326" s="51">
        <f>HEX2DEC(RIGHT(Table1323212714[[#This Row],[h1]],8))</f>
        <v>0</v>
      </c>
      <c r="Q1326" s="51" t="s">
        <v>149</v>
      </c>
      <c r="R1326" s="51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1" t="s">
        <v>149</v>
      </c>
      <c r="P1327" s="51">
        <f>HEX2DEC(RIGHT(Table1323212714[[#This Row],[h1]],8))</f>
        <v>0</v>
      </c>
      <c r="Q1327" s="51" t="s">
        <v>149</v>
      </c>
      <c r="R1327" s="51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1" t="s">
        <v>149</v>
      </c>
      <c r="P1328" s="51">
        <f>HEX2DEC(RIGHT(Table1323212714[[#This Row],[h1]],8))</f>
        <v>0</v>
      </c>
      <c r="Q1328" s="51" t="s">
        <v>149</v>
      </c>
      <c r="R1328" s="51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1" t="s">
        <v>149</v>
      </c>
      <c r="P1329" s="51">
        <f>HEX2DEC(RIGHT(Table1323212714[[#This Row],[h1]],8))</f>
        <v>0</v>
      </c>
      <c r="Q1329" s="51" t="s">
        <v>149</v>
      </c>
      <c r="R1329" s="51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1" t="s">
        <v>149</v>
      </c>
      <c r="P1330" s="51">
        <f>HEX2DEC(RIGHT(Table1323212714[[#This Row],[h1]],8))</f>
        <v>0</v>
      </c>
      <c r="Q1330" s="51" t="s">
        <v>149</v>
      </c>
      <c r="R1330" s="51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1" t="s">
        <v>149</v>
      </c>
      <c r="P1331" s="51">
        <f>HEX2DEC(RIGHT(Table1323212714[[#This Row],[h1]],8))</f>
        <v>0</v>
      </c>
      <c r="Q1331" s="51" t="s">
        <v>149</v>
      </c>
      <c r="R1331" s="51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1" t="s">
        <v>149</v>
      </c>
      <c r="P1332" s="51">
        <f>HEX2DEC(RIGHT(Table1323212714[[#This Row],[h1]],8))</f>
        <v>0</v>
      </c>
      <c r="Q1332" s="51" t="s">
        <v>149</v>
      </c>
      <c r="R1332" s="51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1" t="s">
        <v>149</v>
      </c>
      <c r="P1333" s="51">
        <f>HEX2DEC(RIGHT(Table1323212714[[#This Row],[h1]],8))</f>
        <v>0</v>
      </c>
      <c r="Q1333" s="51" t="s">
        <v>149</v>
      </c>
      <c r="R1333" s="51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1" t="s">
        <v>149</v>
      </c>
      <c r="P1334" s="51">
        <f>HEX2DEC(RIGHT(Table1323212714[[#This Row],[h1]],8))</f>
        <v>0</v>
      </c>
      <c r="Q1334" s="51" t="s">
        <v>149</v>
      </c>
      <c r="R1334" s="51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1" t="s">
        <v>149</v>
      </c>
      <c r="P1335" s="51">
        <f>HEX2DEC(RIGHT(Table1323212714[[#This Row],[h1]],8))</f>
        <v>0</v>
      </c>
      <c r="Q1335" s="51" t="s">
        <v>149</v>
      </c>
      <c r="R1335" s="51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1" t="s">
        <v>149</v>
      </c>
      <c r="P1336" s="51">
        <f>HEX2DEC(RIGHT(Table1323212714[[#This Row],[h1]],8))</f>
        <v>0</v>
      </c>
      <c r="Q1336" s="51" t="s">
        <v>149</v>
      </c>
      <c r="R1336" s="51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1" t="s">
        <v>149</v>
      </c>
      <c r="P1337" s="51">
        <f>HEX2DEC(RIGHT(Table1323212714[[#This Row],[h1]],8))</f>
        <v>0</v>
      </c>
      <c r="Q1337" s="51" t="s">
        <v>149</v>
      </c>
      <c r="R1337" s="51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1" t="s">
        <v>149</v>
      </c>
      <c r="P1338" s="51">
        <f>HEX2DEC(RIGHT(Table1323212714[[#This Row],[h1]],8))</f>
        <v>0</v>
      </c>
      <c r="Q1338" s="51" t="s">
        <v>149</v>
      </c>
      <c r="R1338" s="51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1" t="s">
        <v>149</v>
      </c>
      <c r="P1339" s="51">
        <f>HEX2DEC(RIGHT(Table1323212714[[#This Row],[h1]],8))</f>
        <v>0</v>
      </c>
      <c r="Q1339" s="51" t="s">
        <v>149</v>
      </c>
      <c r="R1339" s="51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1" t="s">
        <v>149</v>
      </c>
      <c r="P1340" s="51">
        <f>HEX2DEC(RIGHT(Table1323212714[[#This Row],[h1]],8))</f>
        <v>0</v>
      </c>
      <c r="Q1340" s="51" t="s">
        <v>149</v>
      </c>
      <c r="R1340" s="51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1" t="s">
        <v>149</v>
      </c>
      <c r="P1341" s="51">
        <f>HEX2DEC(RIGHT(Table1323212714[[#This Row],[h1]],8))</f>
        <v>0</v>
      </c>
      <c r="Q1341" s="51" t="s">
        <v>149</v>
      </c>
      <c r="R1341" s="51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1" t="s">
        <v>149</v>
      </c>
      <c r="P1342" s="51">
        <f>HEX2DEC(RIGHT(Table1323212714[[#This Row],[h1]],8))</f>
        <v>0</v>
      </c>
      <c r="Q1342" s="51" t="s">
        <v>149</v>
      </c>
      <c r="R1342" s="51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1" t="s">
        <v>149</v>
      </c>
      <c r="P1343" s="51">
        <f>HEX2DEC(RIGHT(Table1323212714[[#This Row],[h1]],8))</f>
        <v>0</v>
      </c>
      <c r="Q1343" s="51" t="s">
        <v>149</v>
      </c>
      <c r="R1343" s="51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1" t="s">
        <v>149</v>
      </c>
      <c r="P1344" s="51">
        <f>HEX2DEC(RIGHT(Table1323212714[[#This Row],[h1]],8))</f>
        <v>0</v>
      </c>
      <c r="Q1344" s="51" t="s">
        <v>149</v>
      </c>
      <c r="R1344" s="51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1" t="s">
        <v>149</v>
      </c>
      <c r="P1345" s="51">
        <f>HEX2DEC(RIGHT(Table1323212714[[#This Row],[h1]],8))</f>
        <v>0</v>
      </c>
      <c r="Q1345" s="51" t="s">
        <v>149</v>
      </c>
      <c r="R1345" s="51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1" t="s">
        <v>149</v>
      </c>
      <c r="P1346" s="51">
        <f>HEX2DEC(RIGHT(Table1323212714[[#This Row],[h1]],8))</f>
        <v>0</v>
      </c>
      <c r="Q1346" s="51" t="s">
        <v>149</v>
      </c>
      <c r="R1346" s="51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1" t="s">
        <v>149</v>
      </c>
      <c r="P1347" s="51">
        <f>HEX2DEC(RIGHT(Table1323212714[[#This Row],[h1]],8))</f>
        <v>0</v>
      </c>
      <c r="Q1347" s="51" t="s">
        <v>149</v>
      </c>
      <c r="R1347" s="51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1" t="s">
        <v>149</v>
      </c>
      <c r="P1348" s="51">
        <f>HEX2DEC(RIGHT(Table1323212714[[#This Row],[h1]],8))</f>
        <v>0</v>
      </c>
      <c r="Q1348" s="51" t="s">
        <v>149</v>
      </c>
      <c r="R1348" s="51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1" t="s">
        <v>149</v>
      </c>
      <c r="P1349" s="51">
        <f>HEX2DEC(RIGHT(Table1323212714[[#This Row],[h1]],8))</f>
        <v>0</v>
      </c>
      <c r="Q1349" s="51" t="s">
        <v>149</v>
      </c>
      <c r="R1349" s="51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1" t="s">
        <v>149</v>
      </c>
      <c r="P1350" s="51">
        <f>HEX2DEC(RIGHT(Table1323212714[[#This Row],[h1]],8))</f>
        <v>0</v>
      </c>
      <c r="Q1350" s="51" t="s">
        <v>149</v>
      </c>
      <c r="R1350" s="51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1" t="s">
        <v>149</v>
      </c>
      <c r="P1351" s="51">
        <f>HEX2DEC(RIGHT(Table1323212714[[#This Row],[h1]],8))</f>
        <v>0</v>
      </c>
      <c r="Q1351" s="51" t="s">
        <v>149</v>
      </c>
      <c r="R1351" s="51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1" t="s">
        <v>149</v>
      </c>
      <c r="P1352" s="51">
        <f>HEX2DEC(RIGHT(Table1323212714[[#This Row],[h1]],8))</f>
        <v>0</v>
      </c>
      <c r="Q1352" s="51" t="s">
        <v>149</v>
      </c>
      <c r="R1352" s="51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1" t="s">
        <v>149</v>
      </c>
      <c r="P1353" s="51">
        <f>HEX2DEC(RIGHT(Table1323212714[[#This Row],[h1]],8))</f>
        <v>0</v>
      </c>
      <c r="Q1353" s="51" t="s">
        <v>149</v>
      </c>
      <c r="R1353" s="51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1" t="s">
        <v>149</v>
      </c>
      <c r="P1354" s="51">
        <f>HEX2DEC(RIGHT(Table1323212714[[#This Row],[h1]],8))</f>
        <v>0</v>
      </c>
      <c r="Q1354" s="51" t="s">
        <v>149</v>
      </c>
      <c r="R1354" s="51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1" t="s">
        <v>149</v>
      </c>
      <c r="P1355" s="51">
        <f>HEX2DEC(RIGHT(Table1323212714[[#This Row],[h1]],8))</f>
        <v>0</v>
      </c>
      <c r="Q1355" s="51" t="s">
        <v>149</v>
      </c>
      <c r="R1355" s="51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1" t="s">
        <v>149</v>
      </c>
      <c r="P1356" s="51">
        <f>HEX2DEC(RIGHT(Table1323212714[[#This Row],[h1]],8))</f>
        <v>0</v>
      </c>
      <c r="Q1356" s="51" t="s">
        <v>149</v>
      </c>
      <c r="R1356" s="51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1" t="s">
        <v>149</v>
      </c>
      <c r="P1357" s="51">
        <f>HEX2DEC(RIGHT(Table1323212714[[#This Row],[h1]],8))</f>
        <v>0</v>
      </c>
      <c r="Q1357" s="51" t="s">
        <v>149</v>
      </c>
      <c r="R1357" s="51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1" t="s">
        <v>149</v>
      </c>
      <c r="P1358" s="51">
        <f>HEX2DEC(RIGHT(Table1323212714[[#This Row],[h1]],8))</f>
        <v>0</v>
      </c>
      <c r="Q1358" s="51" t="s">
        <v>149</v>
      </c>
      <c r="R1358" s="51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1" t="s">
        <v>149</v>
      </c>
      <c r="P1359" s="51">
        <f>HEX2DEC(RIGHT(Table1323212714[[#This Row],[h1]],8))</f>
        <v>0</v>
      </c>
      <c r="Q1359" s="51" t="s">
        <v>149</v>
      </c>
      <c r="R1359" s="51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1" t="s">
        <v>149</v>
      </c>
      <c r="P1360" s="51">
        <f>HEX2DEC(RIGHT(Table1323212714[[#This Row],[h1]],8))</f>
        <v>0</v>
      </c>
      <c r="Q1360" s="51" t="s">
        <v>149</v>
      </c>
      <c r="R1360" s="51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1" t="s">
        <v>149</v>
      </c>
      <c r="P1361" s="51">
        <f>HEX2DEC(RIGHT(Table1323212714[[#This Row],[h1]],8))</f>
        <v>0</v>
      </c>
      <c r="Q1361" s="51" t="s">
        <v>149</v>
      </c>
      <c r="R1361" s="51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1" t="s">
        <v>149</v>
      </c>
      <c r="P1362" s="51">
        <f>HEX2DEC(RIGHT(Table1323212714[[#This Row],[h1]],8))</f>
        <v>0</v>
      </c>
      <c r="Q1362" s="51" t="s">
        <v>149</v>
      </c>
      <c r="R1362" s="51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1" t="s">
        <v>149</v>
      </c>
      <c r="P1363" s="51">
        <f>HEX2DEC(RIGHT(Table1323212714[[#This Row],[h1]],8))</f>
        <v>0</v>
      </c>
      <c r="Q1363" s="51" t="s">
        <v>149</v>
      </c>
      <c r="R1363" s="51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1" t="s">
        <v>149</v>
      </c>
      <c r="P1364" s="51">
        <f>HEX2DEC(RIGHT(Table1323212714[[#This Row],[h1]],8))</f>
        <v>0</v>
      </c>
      <c r="Q1364" s="51" t="s">
        <v>149</v>
      </c>
      <c r="R1364" s="51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1" t="s">
        <v>149</v>
      </c>
      <c r="P1365" s="51">
        <f>HEX2DEC(RIGHT(Table1323212714[[#This Row],[h1]],8))</f>
        <v>0</v>
      </c>
      <c r="Q1365" s="51" t="s">
        <v>149</v>
      </c>
      <c r="R1365" s="51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1" t="s">
        <v>149</v>
      </c>
      <c r="P1366" s="51">
        <f>HEX2DEC(RIGHT(Table1323212714[[#This Row],[h1]],8))</f>
        <v>0</v>
      </c>
      <c r="Q1366" s="51" t="s">
        <v>149</v>
      </c>
      <c r="R1366" s="51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1" t="s">
        <v>149</v>
      </c>
      <c r="P1367" s="51">
        <f>HEX2DEC(RIGHT(Table1323212714[[#This Row],[h1]],8))</f>
        <v>0</v>
      </c>
      <c r="Q1367" s="51" t="s">
        <v>149</v>
      </c>
      <c r="R1367" s="51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1" t="s">
        <v>149</v>
      </c>
      <c r="P1368" s="51">
        <f>HEX2DEC(RIGHT(Table1323212714[[#This Row],[h1]],8))</f>
        <v>0</v>
      </c>
      <c r="Q1368" s="51" t="s">
        <v>149</v>
      </c>
      <c r="R1368" s="51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1" t="s">
        <v>149</v>
      </c>
      <c r="P1369" s="51">
        <f>HEX2DEC(RIGHT(Table1323212714[[#This Row],[h1]],8))</f>
        <v>0</v>
      </c>
      <c r="Q1369" s="51" t="s">
        <v>149</v>
      </c>
      <c r="R1369" s="51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1" t="s">
        <v>149</v>
      </c>
      <c r="P1370" s="51">
        <f>HEX2DEC(RIGHT(Table1323212714[[#This Row],[h1]],8))</f>
        <v>0</v>
      </c>
      <c r="Q1370" s="51" t="s">
        <v>149</v>
      </c>
      <c r="R1370" s="51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1" t="s">
        <v>149</v>
      </c>
      <c r="P1371" s="51">
        <f>HEX2DEC(RIGHT(Table1323212714[[#This Row],[h1]],8))</f>
        <v>0</v>
      </c>
      <c r="Q1371" s="51" t="s">
        <v>149</v>
      </c>
      <c r="R1371" s="51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1" t="s">
        <v>149</v>
      </c>
      <c r="P1372" s="51">
        <f>HEX2DEC(RIGHT(Table1323212714[[#This Row],[h1]],8))</f>
        <v>0</v>
      </c>
      <c r="Q1372" s="51" t="s">
        <v>149</v>
      </c>
      <c r="R1372" s="51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1" t="s">
        <v>149</v>
      </c>
      <c r="P1373" s="51">
        <f>HEX2DEC(RIGHT(Table1323212714[[#This Row],[h1]],8))</f>
        <v>0</v>
      </c>
      <c r="Q1373" s="51" t="s">
        <v>149</v>
      </c>
      <c r="R1373" s="51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1" t="s">
        <v>149</v>
      </c>
      <c r="P1374" s="51">
        <f>HEX2DEC(RIGHT(Table1323212714[[#This Row],[h1]],8))</f>
        <v>0</v>
      </c>
      <c r="Q1374" s="51" t="s">
        <v>149</v>
      </c>
      <c r="R1374" s="51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1" t="s">
        <v>149</v>
      </c>
      <c r="P1375" s="51">
        <f>HEX2DEC(RIGHT(Table1323212714[[#This Row],[h1]],8))</f>
        <v>0</v>
      </c>
      <c r="Q1375" s="51" t="s">
        <v>149</v>
      </c>
      <c r="R1375" s="51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1" t="s">
        <v>149</v>
      </c>
      <c r="P1376" s="51">
        <f>HEX2DEC(RIGHT(Table1323212714[[#This Row],[h1]],8))</f>
        <v>0</v>
      </c>
      <c r="Q1376" s="51" t="s">
        <v>149</v>
      </c>
      <c r="R1376" s="51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1" t="s">
        <v>149</v>
      </c>
      <c r="P1377" s="51">
        <f>HEX2DEC(RIGHT(Table1323212714[[#This Row],[h1]],8))</f>
        <v>0</v>
      </c>
      <c r="Q1377" s="51" t="s">
        <v>149</v>
      </c>
      <c r="R1377" s="51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1" t="s">
        <v>149</v>
      </c>
      <c r="P1378" s="51">
        <f>HEX2DEC(RIGHT(Table1323212714[[#This Row],[h1]],8))</f>
        <v>0</v>
      </c>
      <c r="Q1378" s="51" t="s">
        <v>149</v>
      </c>
      <c r="R1378" s="51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1" t="s">
        <v>149</v>
      </c>
      <c r="P1379" s="51">
        <f>HEX2DEC(RIGHT(Table1323212714[[#This Row],[h1]],8))</f>
        <v>0</v>
      </c>
      <c r="Q1379" s="51" t="s">
        <v>149</v>
      </c>
      <c r="R1379" s="51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1" t="s">
        <v>149</v>
      </c>
      <c r="P1380" s="51">
        <f>HEX2DEC(RIGHT(Table1323212714[[#This Row],[h1]],8))</f>
        <v>0</v>
      </c>
      <c r="Q1380" s="51" t="s">
        <v>149</v>
      </c>
      <c r="R1380" s="51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1" t="s">
        <v>149</v>
      </c>
      <c r="P1381" s="51">
        <f>HEX2DEC(RIGHT(Table1323212714[[#This Row],[h1]],8))</f>
        <v>0</v>
      </c>
      <c r="Q1381" s="51" t="s">
        <v>149</v>
      </c>
      <c r="R1381" s="51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1" t="s">
        <v>149</v>
      </c>
      <c r="P1382" s="51">
        <f>HEX2DEC(RIGHT(Table1323212714[[#This Row],[h1]],8))</f>
        <v>0</v>
      </c>
      <c r="Q1382" s="51" t="s">
        <v>149</v>
      </c>
      <c r="R1382" s="51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1" t="s">
        <v>149</v>
      </c>
      <c r="P1383" s="51">
        <f>HEX2DEC(RIGHT(Table1323212714[[#This Row],[h1]],8))</f>
        <v>0</v>
      </c>
      <c r="Q1383" s="51" t="s">
        <v>149</v>
      </c>
      <c r="R1383" s="51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1" t="s">
        <v>149</v>
      </c>
      <c r="P1384" s="51">
        <f>HEX2DEC(RIGHT(Table1323212714[[#This Row],[h1]],8))</f>
        <v>0</v>
      </c>
      <c r="Q1384" s="51" t="s">
        <v>149</v>
      </c>
      <c r="R1384" s="51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1" t="s">
        <v>149</v>
      </c>
      <c r="P1385" s="51">
        <f>HEX2DEC(RIGHT(Table1323212714[[#This Row],[h1]],8))</f>
        <v>0</v>
      </c>
      <c r="Q1385" s="51" t="s">
        <v>149</v>
      </c>
      <c r="R1385" s="51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1" t="s">
        <v>149</v>
      </c>
      <c r="P1386" s="51">
        <f>HEX2DEC(RIGHT(Table1323212714[[#This Row],[h1]],8))</f>
        <v>0</v>
      </c>
      <c r="Q1386" s="51" t="s">
        <v>149</v>
      </c>
      <c r="R1386" s="51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1" t="s">
        <v>149</v>
      </c>
      <c r="P1387" s="51">
        <f>HEX2DEC(RIGHT(Table1323212714[[#This Row],[h1]],8))</f>
        <v>0</v>
      </c>
      <c r="Q1387" s="51" t="s">
        <v>149</v>
      </c>
      <c r="R1387" s="51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1" t="s">
        <v>149</v>
      </c>
      <c r="P1388" s="51">
        <f>HEX2DEC(RIGHT(Table1323212714[[#This Row],[h1]],8))</f>
        <v>0</v>
      </c>
      <c r="Q1388" s="51" t="s">
        <v>149</v>
      </c>
      <c r="R1388" s="51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1" t="s">
        <v>149</v>
      </c>
      <c r="P1389" s="51">
        <f>HEX2DEC(RIGHT(Table1323212714[[#This Row],[h1]],8))</f>
        <v>0</v>
      </c>
      <c r="Q1389" s="51" t="s">
        <v>149</v>
      </c>
      <c r="R1389" s="51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1" t="s">
        <v>149</v>
      </c>
      <c r="P1390" s="51">
        <f>HEX2DEC(RIGHT(Table1323212714[[#This Row],[h1]],8))</f>
        <v>0</v>
      </c>
      <c r="Q1390" s="51" t="s">
        <v>149</v>
      </c>
      <c r="R1390" s="51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1" t="s">
        <v>149</v>
      </c>
      <c r="P1391" s="51">
        <f>HEX2DEC(RIGHT(Table1323212714[[#This Row],[h1]],8))</f>
        <v>0</v>
      </c>
      <c r="Q1391" s="51" t="s">
        <v>149</v>
      </c>
      <c r="R1391" s="51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1" t="s">
        <v>149</v>
      </c>
      <c r="P1392" s="51">
        <f>HEX2DEC(RIGHT(Table1323212714[[#This Row],[h1]],8))</f>
        <v>0</v>
      </c>
      <c r="Q1392" s="51" t="s">
        <v>149</v>
      </c>
      <c r="R1392" s="51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1" t="s">
        <v>149</v>
      </c>
      <c r="P1393" s="51">
        <f>HEX2DEC(RIGHT(Table1323212714[[#This Row],[h1]],8))</f>
        <v>0</v>
      </c>
      <c r="Q1393" s="51" t="s">
        <v>149</v>
      </c>
      <c r="R1393" s="51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1" t="s">
        <v>149</v>
      </c>
      <c r="P1394" s="51">
        <f>HEX2DEC(RIGHT(Table1323212714[[#This Row],[h1]],8))</f>
        <v>0</v>
      </c>
      <c r="Q1394" s="51" t="s">
        <v>149</v>
      </c>
      <c r="R1394" s="51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1" t="s">
        <v>149</v>
      </c>
      <c r="P1395" s="51">
        <f>HEX2DEC(RIGHT(Table1323212714[[#This Row],[h1]],8))</f>
        <v>0</v>
      </c>
      <c r="Q1395" s="51" t="s">
        <v>149</v>
      </c>
      <c r="R1395" s="51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1" t="s">
        <v>149</v>
      </c>
      <c r="P1396" s="51">
        <f>HEX2DEC(RIGHT(Table1323212714[[#This Row],[h1]],8))</f>
        <v>0</v>
      </c>
      <c r="Q1396" s="51" t="s">
        <v>149</v>
      </c>
      <c r="R1396" s="51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1" t="s">
        <v>149</v>
      </c>
      <c r="P1397" s="51">
        <f>HEX2DEC(RIGHT(Table1323212714[[#This Row],[h1]],8))</f>
        <v>0</v>
      </c>
      <c r="Q1397" s="51" t="s">
        <v>149</v>
      </c>
      <c r="R1397" s="51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1" t="s">
        <v>149</v>
      </c>
      <c r="P1398" s="51">
        <f>HEX2DEC(RIGHT(Table1323212714[[#This Row],[h1]],8))</f>
        <v>0</v>
      </c>
      <c r="Q1398" s="51" t="s">
        <v>149</v>
      </c>
      <c r="R1398" s="51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1" t="s">
        <v>149</v>
      </c>
      <c r="P1399" s="51">
        <f>HEX2DEC(RIGHT(Table1323212714[[#This Row],[h1]],8))</f>
        <v>0</v>
      </c>
      <c r="Q1399" s="51" t="s">
        <v>149</v>
      </c>
      <c r="R1399" s="51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1" t="s">
        <v>149</v>
      </c>
      <c r="P1400" s="51">
        <f>HEX2DEC(RIGHT(Table1323212714[[#This Row],[h1]],8))</f>
        <v>0</v>
      </c>
      <c r="Q1400" s="51" t="s">
        <v>149</v>
      </c>
      <c r="R1400" s="51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1" t="s">
        <v>149</v>
      </c>
      <c r="P1401" s="51">
        <f>HEX2DEC(RIGHT(Table1323212714[[#This Row],[h1]],8))</f>
        <v>0</v>
      </c>
      <c r="Q1401" s="51" t="s">
        <v>149</v>
      </c>
      <c r="R1401" s="51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1" t="s">
        <v>149</v>
      </c>
      <c r="P1402" s="51">
        <f>HEX2DEC(RIGHT(Table1323212714[[#This Row],[h1]],8))</f>
        <v>0</v>
      </c>
      <c r="Q1402" s="51" t="s">
        <v>149</v>
      </c>
      <c r="R1402" s="51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1" t="s">
        <v>149</v>
      </c>
      <c r="P1403" s="51">
        <f>HEX2DEC(RIGHT(Table1323212714[[#This Row],[h1]],8))</f>
        <v>0</v>
      </c>
      <c r="Q1403" s="51" t="s">
        <v>149</v>
      </c>
      <c r="R1403" s="51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1" t="s">
        <v>149</v>
      </c>
      <c r="P1404" s="51">
        <f>HEX2DEC(RIGHT(Table1323212714[[#This Row],[h1]],8))</f>
        <v>0</v>
      </c>
      <c r="Q1404" s="51" t="s">
        <v>149</v>
      </c>
      <c r="R1404" s="51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1" t="s">
        <v>149</v>
      </c>
      <c r="P1405" s="51">
        <f>HEX2DEC(RIGHT(Table1323212714[[#This Row],[h1]],8))</f>
        <v>0</v>
      </c>
      <c r="Q1405" s="51" t="s">
        <v>149</v>
      </c>
      <c r="R1405" s="51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1" t="s">
        <v>149</v>
      </c>
      <c r="P1406" s="51">
        <f>HEX2DEC(RIGHT(Table1323212714[[#This Row],[h1]],8))</f>
        <v>0</v>
      </c>
      <c r="Q1406" s="51" t="s">
        <v>149</v>
      </c>
      <c r="R1406" s="51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1" t="s">
        <v>149</v>
      </c>
      <c r="P1407" s="51">
        <f>HEX2DEC(RIGHT(Table1323212714[[#This Row],[h1]],8))</f>
        <v>0</v>
      </c>
      <c r="Q1407" s="51" t="s">
        <v>149</v>
      </c>
      <c r="R1407" s="51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1" t="s">
        <v>149</v>
      </c>
      <c r="P1408" s="51">
        <f>HEX2DEC(RIGHT(Table1323212714[[#This Row],[h1]],8))</f>
        <v>0</v>
      </c>
      <c r="Q1408" s="51" t="s">
        <v>149</v>
      </c>
      <c r="R1408" s="51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1" t="s">
        <v>149</v>
      </c>
      <c r="P1409" s="51">
        <f>HEX2DEC(RIGHT(Table1323212714[[#This Row],[h1]],8))</f>
        <v>0</v>
      </c>
      <c r="Q1409" s="51" t="s">
        <v>149</v>
      </c>
      <c r="R1409" s="51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1" t="s">
        <v>149</v>
      </c>
      <c r="P1410" s="51">
        <f>HEX2DEC(RIGHT(Table1323212714[[#This Row],[h1]],8))</f>
        <v>0</v>
      </c>
      <c r="Q1410" s="51" t="s">
        <v>149</v>
      </c>
      <c r="R1410" s="51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48</v>
      </c>
      <c r="F1411" s="22"/>
      <c r="G1411" s="22"/>
      <c r="J1411" s="24">
        <v>50000</v>
      </c>
      <c r="M1411" s="24">
        <v>50000</v>
      </c>
      <c r="O1411" s="51" t="s">
        <v>149</v>
      </c>
      <c r="P1411" s="51">
        <f>HEX2DEC(RIGHT(Table1323212714[[#This Row],[h1]],8))</f>
        <v>0</v>
      </c>
      <c r="Q1411" s="51" t="s">
        <v>149</v>
      </c>
      <c r="R1411" s="51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1" t="s">
        <v>149</v>
      </c>
      <c r="P1412" s="51">
        <f>HEX2DEC(RIGHT(Table1323212714[[#This Row],[h1]],8))</f>
        <v>0</v>
      </c>
      <c r="Q1412" s="51" t="s">
        <v>149</v>
      </c>
      <c r="R1412" s="51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1" t="s">
        <v>149</v>
      </c>
      <c r="P1413" s="51">
        <f>HEX2DEC(RIGHT(Table1323212714[[#This Row],[h1]],8))</f>
        <v>0</v>
      </c>
      <c r="Q1413" s="51" t="s">
        <v>149</v>
      </c>
      <c r="R1413" s="51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1" t="s">
        <v>149</v>
      </c>
      <c r="P1414" s="51">
        <f>HEX2DEC(RIGHT(Table1323212714[[#This Row],[h1]],8))</f>
        <v>0</v>
      </c>
      <c r="Q1414" s="51" t="s">
        <v>149</v>
      </c>
      <c r="R1414" s="51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1" t="s">
        <v>149</v>
      </c>
      <c r="P1415" s="51">
        <f>HEX2DEC(RIGHT(Table1323212714[[#This Row],[h1]],8))</f>
        <v>0</v>
      </c>
      <c r="Q1415" s="51" t="s">
        <v>149</v>
      </c>
      <c r="R1415" s="51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1" t="s">
        <v>149</v>
      </c>
      <c r="P1416" s="51">
        <f>HEX2DEC(RIGHT(Table1323212714[[#This Row],[h1]],8))</f>
        <v>0</v>
      </c>
      <c r="Q1416" s="51" t="s">
        <v>149</v>
      </c>
      <c r="R1416" s="51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1" t="s">
        <v>149</v>
      </c>
      <c r="P1417" s="51">
        <f>HEX2DEC(RIGHT(Table1323212714[[#This Row],[h1]],8))</f>
        <v>0</v>
      </c>
      <c r="Q1417" s="51" t="s">
        <v>149</v>
      </c>
      <c r="R1417" s="51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1" t="s">
        <v>149</v>
      </c>
      <c r="P1418" s="51">
        <f>HEX2DEC(RIGHT(Table1323212714[[#This Row],[h1]],8))</f>
        <v>0</v>
      </c>
      <c r="Q1418" s="51" t="s">
        <v>149</v>
      </c>
      <c r="R1418" s="51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1" t="s">
        <v>149</v>
      </c>
      <c r="P1419" s="51">
        <f>HEX2DEC(RIGHT(Table1323212714[[#This Row],[h1]],8))</f>
        <v>0</v>
      </c>
      <c r="Q1419" s="51" t="s">
        <v>149</v>
      </c>
      <c r="R1419" s="51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1" t="s">
        <v>149</v>
      </c>
      <c r="P1420" s="51">
        <f>HEX2DEC(RIGHT(Table1323212714[[#This Row],[h1]],8))</f>
        <v>0</v>
      </c>
      <c r="Q1420" s="51" t="s">
        <v>149</v>
      </c>
      <c r="R1420" s="51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1" t="s">
        <v>149</v>
      </c>
      <c r="P1421" s="51">
        <f>HEX2DEC(RIGHT(Table1323212714[[#This Row],[h1]],8))</f>
        <v>0</v>
      </c>
      <c r="Q1421" s="51" t="s">
        <v>149</v>
      </c>
      <c r="R1421" s="51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1" t="s">
        <v>149</v>
      </c>
      <c r="P1422" s="51">
        <f>HEX2DEC(RIGHT(Table1323212714[[#This Row],[h1]],8))</f>
        <v>0</v>
      </c>
      <c r="Q1422" s="51" t="s">
        <v>149</v>
      </c>
      <c r="R1422" s="51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1" t="s">
        <v>149</v>
      </c>
      <c r="P1423" s="51">
        <f>HEX2DEC(RIGHT(Table1323212714[[#This Row],[h1]],8))</f>
        <v>0</v>
      </c>
      <c r="Q1423" s="51" t="s">
        <v>149</v>
      </c>
      <c r="R1423" s="51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1" t="s">
        <v>149</v>
      </c>
      <c r="P1424" s="51">
        <f>HEX2DEC(RIGHT(Table1323212714[[#This Row],[h1]],8))</f>
        <v>0</v>
      </c>
      <c r="Q1424" s="51" t="s">
        <v>149</v>
      </c>
      <c r="R1424" s="51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1" t="s">
        <v>149</v>
      </c>
      <c r="P1425" s="51">
        <f>HEX2DEC(RIGHT(Table1323212714[[#This Row],[h1]],8))</f>
        <v>0</v>
      </c>
      <c r="Q1425" s="51" t="s">
        <v>149</v>
      </c>
      <c r="R1425" s="51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1" t="s">
        <v>149</v>
      </c>
      <c r="P1426" s="51">
        <f>HEX2DEC(RIGHT(Table1323212714[[#This Row],[h1]],8))</f>
        <v>0</v>
      </c>
      <c r="Q1426" s="51" t="s">
        <v>149</v>
      </c>
      <c r="R1426" s="51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1" t="s">
        <v>149</v>
      </c>
      <c r="P1427" s="51">
        <f>HEX2DEC(RIGHT(Table1323212714[[#This Row],[h1]],8))</f>
        <v>0</v>
      </c>
      <c r="Q1427" s="51" t="s">
        <v>149</v>
      </c>
      <c r="R1427" s="51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1" t="s">
        <v>149</v>
      </c>
      <c r="P1428" s="51">
        <f>HEX2DEC(RIGHT(Table1323212714[[#This Row],[h1]],8))</f>
        <v>0</v>
      </c>
      <c r="Q1428" s="51" t="s">
        <v>149</v>
      </c>
      <c r="R1428" s="51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1" t="s">
        <v>149</v>
      </c>
      <c r="P1429" s="51">
        <f>HEX2DEC(RIGHT(Table1323212714[[#This Row],[h1]],8))</f>
        <v>0</v>
      </c>
      <c r="Q1429" s="51" t="s">
        <v>149</v>
      </c>
      <c r="R1429" s="51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1" t="s">
        <v>149</v>
      </c>
      <c r="P1430" s="51">
        <f>HEX2DEC(RIGHT(Table1323212714[[#This Row],[h1]],8))</f>
        <v>0</v>
      </c>
      <c r="Q1430" s="51" t="s">
        <v>149</v>
      </c>
      <c r="R1430" s="51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1" t="s">
        <v>149</v>
      </c>
      <c r="P1431" s="51">
        <f>HEX2DEC(RIGHT(Table1323212714[[#This Row],[h1]],8))</f>
        <v>0</v>
      </c>
      <c r="Q1431" s="51" t="s">
        <v>149</v>
      </c>
      <c r="R1431" s="51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1" t="s">
        <v>149</v>
      </c>
      <c r="P1432" s="51">
        <f>HEX2DEC(RIGHT(Table1323212714[[#This Row],[h1]],8))</f>
        <v>0</v>
      </c>
      <c r="Q1432" s="51" t="s">
        <v>149</v>
      </c>
      <c r="R1432" s="51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1" t="s">
        <v>149</v>
      </c>
      <c r="P1433" s="51">
        <f>HEX2DEC(RIGHT(Table1323212714[[#This Row],[h1]],8))</f>
        <v>0</v>
      </c>
      <c r="Q1433" s="51" t="s">
        <v>149</v>
      </c>
      <c r="R1433" s="51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1" t="s">
        <v>149</v>
      </c>
      <c r="P1434" s="51">
        <f>HEX2DEC(RIGHT(Table1323212714[[#This Row],[h1]],8))</f>
        <v>0</v>
      </c>
      <c r="Q1434" s="51" t="s">
        <v>149</v>
      </c>
      <c r="R1434" s="51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1" t="s">
        <v>149</v>
      </c>
      <c r="P1435" s="51">
        <f>HEX2DEC(RIGHT(Table1323212714[[#This Row],[h1]],8))</f>
        <v>0</v>
      </c>
      <c r="Q1435" s="51" t="s">
        <v>149</v>
      </c>
      <c r="R1435" s="51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1" t="s">
        <v>149</v>
      </c>
      <c r="P1436" s="51">
        <f>HEX2DEC(RIGHT(Table1323212714[[#This Row],[h1]],8))</f>
        <v>0</v>
      </c>
      <c r="Q1436" s="51" t="s">
        <v>149</v>
      </c>
      <c r="R1436" s="51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1" t="s">
        <v>149</v>
      </c>
      <c r="P1437" s="51">
        <f>HEX2DEC(RIGHT(Table1323212714[[#This Row],[h1]],8))</f>
        <v>0</v>
      </c>
      <c r="Q1437" s="51" t="s">
        <v>149</v>
      </c>
      <c r="R1437" s="51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1" t="s">
        <v>149</v>
      </c>
      <c r="P1438" s="51">
        <f>HEX2DEC(RIGHT(Table1323212714[[#This Row],[h1]],8))</f>
        <v>0</v>
      </c>
      <c r="Q1438" s="51" t="s">
        <v>149</v>
      </c>
      <c r="R1438" s="51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1" t="s">
        <v>149</v>
      </c>
      <c r="P1439" s="51">
        <f>HEX2DEC(RIGHT(Table1323212714[[#This Row],[h1]],8))</f>
        <v>0</v>
      </c>
      <c r="Q1439" s="51" t="s">
        <v>149</v>
      </c>
      <c r="R1439" s="51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1" t="s">
        <v>149</v>
      </c>
      <c r="P1440" s="51">
        <f>HEX2DEC(RIGHT(Table1323212714[[#This Row],[h1]],8))</f>
        <v>0</v>
      </c>
      <c r="Q1440" s="51" t="s">
        <v>149</v>
      </c>
      <c r="R1440" s="51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1" t="s">
        <v>149</v>
      </c>
      <c r="P1441" s="51">
        <f>HEX2DEC(RIGHT(Table1323212714[[#This Row],[h1]],8))</f>
        <v>0</v>
      </c>
      <c r="Q1441" s="51" t="s">
        <v>149</v>
      </c>
      <c r="R1441" s="51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1" t="s">
        <v>149</v>
      </c>
      <c r="P1442" s="51">
        <f>HEX2DEC(RIGHT(Table1323212714[[#This Row],[h1]],8))</f>
        <v>0</v>
      </c>
      <c r="Q1442" s="51" t="s">
        <v>149</v>
      </c>
      <c r="R1442" s="51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1" t="s">
        <v>149</v>
      </c>
      <c r="P1443" s="51">
        <f>HEX2DEC(RIGHT(Table1323212714[[#This Row],[h1]],8))</f>
        <v>0</v>
      </c>
      <c r="Q1443" s="51" t="s">
        <v>149</v>
      </c>
      <c r="R1443" s="51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1" t="s">
        <v>149</v>
      </c>
      <c r="P1444" s="51">
        <f>HEX2DEC(RIGHT(Table1323212714[[#This Row],[h1]],8))</f>
        <v>0</v>
      </c>
      <c r="Q1444" s="51" t="s">
        <v>149</v>
      </c>
      <c r="R1444" s="51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1" t="s">
        <v>149</v>
      </c>
      <c r="P1445" s="51">
        <f>HEX2DEC(RIGHT(Table1323212714[[#This Row],[h1]],8))</f>
        <v>0</v>
      </c>
      <c r="Q1445" s="51" t="s">
        <v>149</v>
      </c>
      <c r="R1445" s="51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1" t="s">
        <v>149</v>
      </c>
      <c r="P1446" s="51">
        <f>HEX2DEC(RIGHT(Table1323212714[[#This Row],[h1]],8))</f>
        <v>0</v>
      </c>
      <c r="Q1446" s="51" t="s">
        <v>149</v>
      </c>
      <c r="R1446" s="51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1" t="s">
        <v>149</v>
      </c>
      <c r="P1447" s="51">
        <f>HEX2DEC(RIGHT(Table1323212714[[#This Row],[h1]],8))</f>
        <v>0</v>
      </c>
      <c r="Q1447" s="51" t="s">
        <v>149</v>
      </c>
      <c r="R1447" s="51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1" t="s">
        <v>149</v>
      </c>
      <c r="P1448" s="51">
        <f>HEX2DEC(RIGHT(Table1323212714[[#This Row],[h1]],8))</f>
        <v>0</v>
      </c>
      <c r="Q1448" s="51" t="s">
        <v>149</v>
      </c>
      <c r="R1448" s="51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1" t="s">
        <v>149</v>
      </c>
      <c r="P1449" s="51">
        <f>HEX2DEC(RIGHT(Table1323212714[[#This Row],[h1]],8))</f>
        <v>0</v>
      </c>
      <c r="Q1449" s="51" t="s">
        <v>149</v>
      </c>
      <c r="R1449" s="51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1" t="s">
        <v>149</v>
      </c>
      <c r="P1450" s="51">
        <f>HEX2DEC(RIGHT(Table1323212714[[#This Row],[h1]],8))</f>
        <v>0</v>
      </c>
      <c r="Q1450" s="51" t="s">
        <v>149</v>
      </c>
      <c r="R1450" s="51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1" t="s">
        <v>149</v>
      </c>
      <c r="P1451" s="51">
        <f>HEX2DEC(RIGHT(Table1323212714[[#This Row],[h1]],8))</f>
        <v>0</v>
      </c>
      <c r="Q1451" s="51" t="s">
        <v>149</v>
      </c>
      <c r="R1451" s="51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1" t="s">
        <v>149</v>
      </c>
      <c r="P1452" s="51">
        <f>HEX2DEC(RIGHT(Table1323212714[[#This Row],[h1]],8))</f>
        <v>0</v>
      </c>
      <c r="Q1452" s="51" t="s">
        <v>149</v>
      </c>
      <c r="R1452" s="51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1" t="s">
        <v>149</v>
      </c>
      <c r="P1453" s="51">
        <f>HEX2DEC(RIGHT(Table1323212714[[#This Row],[h1]],8))</f>
        <v>0</v>
      </c>
      <c r="Q1453" s="51" t="s">
        <v>149</v>
      </c>
      <c r="R1453" s="51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1" t="s">
        <v>149</v>
      </c>
      <c r="P1454" s="51">
        <f>HEX2DEC(RIGHT(Table1323212714[[#This Row],[h1]],8))</f>
        <v>0</v>
      </c>
      <c r="Q1454" s="51" t="s">
        <v>149</v>
      </c>
      <c r="R1454" s="51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1" t="s">
        <v>149</v>
      </c>
      <c r="P1455" s="51">
        <f>HEX2DEC(RIGHT(Table1323212714[[#This Row],[h1]],8))</f>
        <v>0</v>
      </c>
      <c r="Q1455" s="51" t="s">
        <v>149</v>
      </c>
      <c r="R1455" s="51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1" t="s">
        <v>149</v>
      </c>
      <c r="P1456" s="51">
        <f>HEX2DEC(RIGHT(Table1323212714[[#This Row],[h1]],8))</f>
        <v>0</v>
      </c>
      <c r="Q1456" s="51" t="s">
        <v>149</v>
      </c>
      <c r="R1456" s="51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1" t="s">
        <v>149</v>
      </c>
      <c r="P1457" s="51">
        <f>HEX2DEC(RIGHT(Table1323212714[[#This Row],[h1]],8))</f>
        <v>0</v>
      </c>
      <c r="Q1457" s="51" t="s">
        <v>149</v>
      </c>
      <c r="R1457" s="51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1" t="s">
        <v>149</v>
      </c>
      <c r="P1458" s="51">
        <f>HEX2DEC(RIGHT(Table1323212714[[#This Row],[h1]],8))</f>
        <v>0</v>
      </c>
      <c r="Q1458" s="51" t="s">
        <v>149</v>
      </c>
      <c r="R1458" s="51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1" t="s">
        <v>149</v>
      </c>
      <c r="P1459" s="51">
        <f>HEX2DEC(RIGHT(Table1323212714[[#This Row],[h1]],8))</f>
        <v>0</v>
      </c>
      <c r="Q1459" s="51" t="s">
        <v>149</v>
      </c>
      <c r="R1459" s="51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1" t="s">
        <v>149</v>
      </c>
      <c r="P1460" s="51">
        <f>HEX2DEC(RIGHT(Table1323212714[[#This Row],[h1]],8))</f>
        <v>0</v>
      </c>
      <c r="Q1460" s="51" t="s">
        <v>149</v>
      </c>
      <c r="R1460" s="51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1" t="s">
        <v>149</v>
      </c>
      <c r="P1461" s="51">
        <f>HEX2DEC(RIGHT(Table1323212714[[#This Row],[h1]],8))</f>
        <v>0</v>
      </c>
      <c r="Q1461" s="51" t="s">
        <v>149</v>
      </c>
      <c r="R1461" s="51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1" t="s">
        <v>149</v>
      </c>
      <c r="P1462" s="51">
        <f>HEX2DEC(RIGHT(Table1323212714[[#This Row],[h1]],8))</f>
        <v>0</v>
      </c>
      <c r="Q1462" s="51" t="s">
        <v>149</v>
      </c>
      <c r="R1462" s="51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1" t="s">
        <v>149</v>
      </c>
      <c r="P1463" s="51">
        <f>HEX2DEC(RIGHT(Table1323212714[[#This Row],[h1]],8))</f>
        <v>0</v>
      </c>
      <c r="Q1463" s="51" t="s">
        <v>149</v>
      </c>
      <c r="R1463" s="51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1" t="s">
        <v>149</v>
      </c>
      <c r="P1464" s="51">
        <f>HEX2DEC(RIGHT(Table1323212714[[#This Row],[h1]],8))</f>
        <v>0</v>
      </c>
      <c r="Q1464" s="51" t="s">
        <v>149</v>
      </c>
      <c r="R1464" s="51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1" t="s">
        <v>149</v>
      </c>
      <c r="P1465" s="51">
        <f>HEX2DEC(RIGHT(Table1323212714[[#This Row],[h1]],8))</f>
        <v>0</v>
      </c>
      <c r="Q1465" s="51" t="s">
        <v>149</v>
      </c>
      <c r="R1465" s="51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1" t="s">
        <v>149</v>
      </c>
      <c r="P1466" s="51">
        <f>HEX2DEC(RIGHT(Table1323212714[[#This Row],[h1]],8))</f>
        <v>0</v>
      </c>
      <c r="Q1466" s="51" t="s">
        <v>149</v>
      </c>
      <c r="R1466" s="51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1" t="s">
        <v>149</v>
      </c>
      <c r="P1467" s="51">
        <f>HEX2DEC(RIGHT(Table1323212714[[#This Row],[h1]],8))</f>
        <v>0</v>
      </c>
      <c r="Q1467" s="51" t="s">
        <v>149</v>
      </c>
      <c r="R1467" s="51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1" t="s">
        <v>149</v>
      </c>
      <c r="P1468" s="51">
        <f>HEX2DEC(RIGHT(Table1323212714[[#This Row],[h1]],8))</f>
        <v>0</v>
      </c>
      <c r="Q1468" s="51" t="s">
        <v>149</v>
      </c>
      <c r="R1468" s="51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1" t="s">
        <v>149</v>
      </c>
      <c r="P1469" s="51">
        <f>HEX2DEC(RIGHT(Table1323212714[[#This Row],[h1]],8))</f>
        <v>0</v>
      </c>
      <c r="Q1469" s="51" t="s">
        <v>149</v>
      </c>
      <c r="R1469" s="51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1" t="s">
        <v>149</v>
      </c>
      <c r="P1470" s="51">
        <f>HEX2DEC(RIGHT(Table1323212714[[#This Row],[h1]],8))</f>
        <v>0</v>
      </c>
      <c r="Q1470" s="51" t="s">
        <v>149</v>
      </c>
      <c r="R1470" s="51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1" t="s">
        <v>149</v>
      </c>
      <c r="P1471" s="51">
        <f>HEX2DEC(RIGHT(Table1323212714[[#This Row],[h1]],8))</f>
        <v>0</v>
      </c>
      <c r="Q1471" s="51" t="s">
        <v>149</v>
      </c>
      <c r="R1471" s="51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1" t="s">
        <v>149</v>
      </c>
      <c r="P1472" s="51">
        <f>HEX2DEC(RIGHT(Table1323212714[[#This Row],[h1]],8))</f>
        <v>0</v>
      </c>
      <c r="Q1472" s="51" t="s">
        <v>149</v>
      </c>
      <c r="R1472" s="51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1" t="s">
        <v>149</v>
      </c>
      <c r="P1473" s="51">
        <f>HEX2DEC(RIGHT(Table1323212714[[#This Row],[h1]],8))</f>
        <v>0</v>
      </c>
      <c r="Q1473" s="51" t="s">
        <v>149</v>
      </c>
      <c r="R1473" s="51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1" t="s">
        <v>149</v>
      </c>
      <c r="P1474" s="51">
        <f>HEX2DEC(RIGHT(Table1323212714[[#This Row],[h1]],8))</f>
        <v>0</v>
      </c>
      <c r="Q1474" s="51" t="s">
        <v>149</v>
      </c>
      <c r="R1474" s="51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1" t="s">
        <v>149</v>
      </c>
      <c r="P1475" s="51">
        <f>HEX2DEC(RIGHT(Table1323212714[[#This Row],[h1]],8))</f>
        <v>0</v>
      </c>
      <c r="Q1475" s="51" t="s">
        <v>149</v>
      </c>
      <c r="R1475" s="51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1" t="s">
        <v>149</v>
      </c>
      <c r="P1476" s="51">
        <f>HEX2DEC(RIGHT(Table1323212714[[#This Row],[h1]],8))</f>
        <v>0</v>
      </c>
      <c r="Q1476" s="51" t="s">
        <v>149</v>
      </c>
      <c r="R1476" s="51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1" t="s">
        <v>149</v>
      </c>
      <c r="P1477" s="51">
        <f>HEX2DEC(RIGHT(Table1323212714[[#This Row],[h1]],8))</f>
        <v>0</v>
      </c>
      <c r="Q1477" s="51" t="s">
        <v>149</v>
      </c>
      <c r="R1477" s="51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1" t="s">
        <v>149</v>
      </c>
      <c r="P1478" s="51">
        <f>HEX2DEC(RIGHT(Table1323212714[[#This Row],[h1]],8))</f>
        <v>0</v>
      </c>
      <c r="Q1478" s="51" t="s">
        <v>149</v>
      </c>
      <c r="R1478" s="51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1" t="s">
        <v>149</v>
      </c>
      <c r="P1479" s="51">
        <f>HEX2DEC(RIGHT(Table1323212714[[#This Row],[h1]],8))</f>
        <v>0</v>
      </c>
      <c r="Q1479" s="51" t="s">
        <v>149</v>
      </c>
      <c r="R1479" s="51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1" t="s">
        <v>149</v>
      </c>
      <c r="P1480" s="51">
        <f>HEX2DEC(RIGHT(Table1323212714[[#This Row],[h1]],8))</f>
        <v>0</v>
      </c>
      <c r="Q1480" s="51" t="s">
        <v>149</v>
      </c>
      <c r="R1480" s="51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1" t="s">
        <v>149</v>
      </c>
      <c r="P1481" s="51">
        <f>HEX2DEC(RIGHT(Table1323212714[[#This Row],[h1]],8))</f>
        <v>0</v>
      </c>
      <c r="Q1481" s="51" t="s">
        <v>149</v>
      </c>
      <c r="R1481" s="51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1" t="s">
        <v>149</v>
      </c>
      <c r="P1482" s="51">
        <f>HEX2DEC(RIGHT(Table1323212714[[#This Row],[h1]],8))</f>
        <v>0</v>
      </c>
      <c r="Q1482" s="51" t="s">
        <v>149</v>
      </c>
      <c r="R1482" s="51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1" t="s">
        <v>149</v>
      </c>
      <c r="P1483" s="51">
        <f>HEX2DEC(RIGHT(Table1323212714[[#This Row],[h1]],8))</f>
        <v>0</v>
      </c>
      <c r="Q1483" s="51" t="s">
        <v>149</v>
      </c>
      <c r="R1483" s="51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1" t="s">
        <v>149</v>
      </c>
      <c r="P1484" s="51">
        <f>HEX2DEC(RIGHT(Table1323212714[[#This Row],[h1]],8))</f>
        <v>0</v>
      </c>
      <c r="Q1484" s="51" t="s">
        <v>149</v>
      </c>
      <c r="R1484" s="51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1" t="s">
        <v>149</v>
      </c>
      <c r="P1485" s="51">
        <f>HEX2DEC(RIGHT(Table1323212714[[#This Row],[h1]],8))</f>
        <v>0</v>
      </c>
      <c r="Q1485" s="51" t="s">
        <v>149</v>
      </c>
      <c r="R1485" s="51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1" t="s">
        <v>149</v>
      </c>
      <c r="P1486" s="51">
        <f>HEX2DEC(RIGHT(Table1323212714[[#This Row],[h1]],8))</f>
        <v>0</v>
      </c>
      <c r="Q1486" s="51" t="s">
        <v>149</v>
      </c>
      <c r="R1486" s="51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1" t="s">
        <v>149</v>
      </c>
      <c r="P1487" s="51">
        <f>HEX2DEC(RIGHT(Table1323212714[[#This Row],[h1]],8))</f>
        <v>0</v>
      </c>
      <c r="Q1487" s="51" t="s">
        <v>149</v>
      </c>
      <c r="R1487" s="51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1" t="s">
        <v>149</v>
      </c>
      <c r="P1488" s="51">
        <f>HEX2DEC(RIGHT(Table1323212714[[#This Row],[h1]],8))</f>
        <v>0</v>
      </c>
      <c r="Q1488" s="51" t="s">
        <v>149</v>
      </c>
      <c r="R1488" s="51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1" t="s">
        <v>149</v>
      </c>
      <c r="P1489" s="51">
        <f>HEX2DEC(RIGHT(Table1323212714[[#This Row],[h1]],8))</f>
        <v>0</v>
      </c>
      <c r="Q1489" s="51" t="s">
        <v>149</v>
      </c>
      <c r="R1489" s="51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1" t="s">
        <v>149</v>
      </c>
      <c r="P1490" s="51">
        <f>HEX2DEC(RIGHT(Table1323212714[[#This Row],[h1]],8))</f>
        <v>0</v>
      </c>
      <c r="Q1490" s="51" t="s">
        <v>149</v>
      </c>
      <c r="R1490" s="51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1" t="s">
        <v>149</v>
      </c>
      <c r="P1491" s="51">
        <f>HEX2DEC(RIGHT(Table1323212714[[#This Row],[h1]],8))</f>
        <v>0</v>
      </c>
      <c r="Q1491" s="51" t="s">
        <v>149</v>
      </c>
      <c r="R1491" s="51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1" t="s">
        <v>149</v>
      </c>
      <c r="P1492" s="51">
        <f>HEX2DEC(RIGHT(Table1323212714[[#This Row],[h1]],8))</f>
        <v>0</v>
      </c>
      <c r="Q1492" s="51" t="s">
        <v>149</v>
      </c>
      <c r="R1492" s="51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1" t="s">
        <v>149</v>
      </c>
      <c r="P1493" s="51">
        <f>HEX2DEC(RIGHT(Table1323212714[[#This Row],[h1]],8))</f>
        <v>0</v>
      </c>
      <c r="Q1493" s="51" t="s">
        <v>149</v>
      </c>
      <c r="R1493" s="51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1" t="s">
        <v>149</v>
      </c>
      <c r="P1494" s="51">
        <f>HEX2DEC(RIGHT(Table1323212714[[#This Row],[h1]],8))</f>
        <v>0</v>
      </c>
      <c r="Q1494" s="51" t="s">
        <v>149</v>
      </c>
      <c r="R1494" s="51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1" t="s">
        <v>149</v>
      </c>
      <c r="P1495" s="51">
        <f>HEX2DEC(RIGHT(Table1323212714[[#This Row],[h1]],8))</f>
        <v>0</v>
      </c>
      <c r="Q1495" s="51" t="s">
        <v>149</v>
      </c>
      <c r="R1495" s="51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1" t="s">
        <v>149</v>
      </c>
      <c r="P1496" s="51">
        <f>HEX2DEC(RIGHT(Table1323212714[[#This Row],[h1]],8))</f>
        <v>0</v>
      </c>
      <c r="Q1496" s="51" t="s">
        <v>149</v>
      </c>
      <c r="R1496" s="51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1" t="s">
        <v>149</v>
      </c>
      <c r="P1497" s="51">
        <f>HEX2DEC(RIGHT(Table1323212714[[#This Row],[h1]],8))</f>
        <v>0</v>
      </c>
      <c r="Q1497" s="51" t="s">
        <v>149</v>
      </c>
      <c r="R1497" s="51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1" t="s">
        <v>149</v>
      </c>
      <c r="P1498" s="51">
        <f>HEX2DEC(RIGHT(Table1323212714[[#This Row],[h1]],8))</f>
        <v>0</v>
      </c>
      <c r="Q1498" s="51" t="s">
        <v>149</v>
      </c>
      <c r="R1498" s="51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1" t="s">
        <v>149</v>
      </c>
      <c r="P1499" s="51">
        <f>HEX2DEC(RIGHT(Table1323212714[[#This Row],[h1]],8))</f>
        <v>0</v>
      </c>
      <c r="Q1499" s="51" t="s">
        <v>149</v>
      </c>
      <c r="R1499" s="51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1" t="s">
        <v>149</v>
      </c>
      <c r="P1500" s="51">
        <f>HEX2DEC(RIGHT(Table1323212714[[#This Row],[h1]],8))</f>
        <v>0</v>
      </c>
      <c r="Q1500" s="51" t="s">
        <v>149</v>
      </c>
      <c r="R1500" s="51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1" t="s">
        <v>149</v>
      </c>
      <c r="P1501" s="51">
        <f>HEX2DEC(RIGHT(Table1323212714[[#This Row],[h1]],8))</f>
        <v>0</v>
      </c>
      <c r="Q1501" s="51" t="s">
        <v>149</v>
      </c>
      <c r="R1501" s="51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1" t="s">
        <v>149</v>
      </c>
      <c r="P1502" s="51">
        <f>HEX2DEC(RIGHT(Table1323212714[[#This Row],[h1]],8))</f>
        <v>0</v>
      </c>
      <c r="Q1502" s="51" t="s">
        <v>149</v>
      </c>
      <c r="R1502" s="51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1" t="s">
        <v>149</v>
      </c>
      <c r="P1503" s="51">
        <f>HEX2DEC(RIGHT(Table1323212714[[#This Row],[h1]],8))</f>
        <v>0</v>
      </c>
      <c r="Q1503" s="51" t="s">
        <v>149</v>
      </c>
      <c r="R1503" s="51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1" t="s">
        <v>149</v>
      </c>
      <c r="P1504" s="51">
        <f>HEX2DEC(RIGHT(Table1323212714[[#This Row],[h1]],8))</f>
        <v>0</v>
      </c>
      <c r="Q1504" s="51" t="s">
        <v>149</v>
      </c>
      <c r="R1504" s="51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1" t="s">
        <v>149</v>
      </c>
      <c r="P1505" s="51">
        <f>HEX2DEC(RIGHT(Table1323212714[[#This Row],[h1]],8))</f>
        <v>0</v>
      </c>
      <c r="Q1505" s="51" t="s">
        <v>149</v>
      </c>
      <c r="R1505" s="51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1" t="s">
        <v>149</v>
      </c>
      <c r="P1506" s="51">
        <f>HEX2DEC(RIGHT(Table1323212714[[#This Row],[h1]],8))</f>
        <v>0</v>
      </c>
      <c r="Q1506" s="51" t="s">
        <v>149</v>
      </c>
      <c r="R1506" s="51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1" t="s">
        <v>149</v>
      </c>
      <c r="P1507" s="51">
        <f>HEX2DEC(RIGHT(Table1323212714[[#This Row],[h1]],8))</f>
        <v>0</v>
      </c>
      <c r="Q1507" s="51" t="s">
        <v>149</v>
      </c>
      <c r="R1507" s="51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1" t="s">
        <v>149</v>
      </c>
      <c r="P1508" s="51">
        <f>HEX2DEC(RIGHT(Table1323212714[[#This Row],[h1]],8))</f>
        <v>0</v>
      </c>
      <c r="Q1508" s="51" t="s">
        <v>149</v>
      </c>
      <c r="R1508" s="51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1" t="s">
        <v>149</v>
      </c>
      <c r="P1509" s="51">
        <f>HEX2DEC(RIGHT(Table1323212714[[#This Row],[h1]],8))</f>
        <v>0</v>
      </c>
      <c r="Q1509" s="51" t="s">
        <v>149</v>
      </c>
      <c r="R1509" s="51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1" t="s">
        <v>149</v>
      </c>
      <c r="P1510" s="51">
        <f>HEX2DEC(RIGHT(Table1323212714[[#This Row],[h1]],8))</f>
        <v>0</v>
      </c>
      <c r="Q1510" s="51" t="s">
        <v>149</v>
      </c>
      <c r="R1510" s="51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1" t="s">
        <v>149</v>
      </c>
      <c r="P1511" s="51">
        <f>HEX2DEC(RIGHT(Table1323212714[[#This Row],[h1]],8))</f>
        <v>0</v>
      </c>
      <c r="Q1511" s="51" t="s">
        <v>149</v>
      </c>
      <c r="R1511" s="51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1" t="s">
        <v>149</v>
      </c>
      <c r="P1512" s="51">
        <f>HEX2DEC(RIGHT(Table1323212714[[#This Row],[h1]],8))</f>
        <v>0</v>
      </c>
      <c r="Q1512" s="51" t="s">
        <v>149</v>
      </c>
      <c r="R1512" s="51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1" t="s">
        <v>149</v>
      </c>
      <c r="P1513" s="51">
        <f>HEX2DEC(RIGHT(Table1323212714[[#This Row],[h1]],8))</f>
        <v>0</v>
      </c>
      <c r="Q1513" s="51" t="s">
        <v>149</v>
      </c>
      <c r="R1513" s="51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1" t="s">
        <v>149</v>
      </c>
      <c r="P1514" s="51">
        <f>HEX2DEC(RIGHT(Table1323212714[[#This Row],[h1]],8))</f>
        <v>0</v>
      </c>
      <c r="Q1514" s="51" t="s">
        <v>149</v>
      </c>
      <c r="R1514" s="51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1" t="s">
        <v>149</v>
      </c>
      <c r="P1515" s="51">
        <f>HEX2DEC(RIGHT(Table1323212714[[#This Row],[h1]],8))</f>
        <v>0</v>
      </c>
      <c r="Q1515" s="51" t="s">
        <v>149</v>
      </c>
      <c r="R1515" s="51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1" t="s">
        <v>149</v>
      </c>
      <c r="P1516" s="51">
        <f>HEX2DEC(RIGHT(Table1323212714[[#This Row],[h1]],8))</f>
        <v>0</v>
      </c>
      <c r="Q1516" s="51" t="s">
        <v>149</v>
      </c>
      <c r="R1516" s="51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1" t="s">
        <v>149</v>
      </c>
      <c r="P1517" s="51">
        <f>HEX2DEC(RIGHT(Table1323212714[[#This Row],[h1]],8))</f>
        <v>0</v>
      </c>
      <c r="Q1517" s="51" t="s">
        <v>149</v>
      </c>
      <c r="R1517" s="51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1" t="s">
        <v>149</v>
      </c>
      <c r="P1518" s="51">
        <f>HEX2DEC(RIGHT(Table1323212714[[#This Row],[h1]],8))</f>
        <v>0</v>
      </c>
      <c r="Q1518" s="51" t="s">
        <v>149</v>
      </c>
      <c r="R1518" s="51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1" t="s">
        <v>149</v>
      </c>
      <c r="P1519" s="51">
        <f>HEX2DEC(RIGHT(Table1323212714[[#This Row],[h1]],8))</f>
        <v>0</v>
      </c>
      <c r="Q1519" s="51" t="s">
        <v>149</v>
      </c>
      <c r="R1519" s="51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1" t="s">
        <v>149</v>
      </c>
      <c r="P1520" s="51">
        <f>HEX2DEC(RIGHT(Table1323212714[[#This Row],[h1]],8))</f>
        <v>0</v>
      </c>
      <c r="Q1520" s="51" t="s">
        <v>149</v>
      </c>
      <c r="R1520" s="51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1" t="s">
        <v>149</v>
      </c>
      <c r="P1521" s="51">
        <f>HEX2DEC(RIGHT(Table1323212714[[#This Row],[h1]],8))</f>
        <v>0</v>
      </c>
      <c r="Q1521" s="51" t="s">
        <v>149</v>
      </c>
      <c r="R1521" s="51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1" t="s">
        <v>149</v>
      </c>
      <c r="P1522" s="51">
        <f>HEX2DEC(RIGHT(Table1323212714[[#This Row],[h1]],8))</f>
        <v>0</v>
      </c>
      <c r="Q1522" s="51" t="s">
        <v>149</v>
      </c>
      <c r="R1522" s="51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1" t="s">
        <v>149</v>
      </c>
      <c r="P1523" s="51">
        <f>HEX2DEC(RIGHT(Table1323212714[[#This Row],[h1]],8))</f>
        <v>0</v>
      </c>
      <c r="Q1523" s="51" t="s">
        <v>149</v>
      </c>
      <c r="R1523" s="51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1" t="s">
        <v>149</v>
      </c>
      <c r="P1524" s="51">
        <f>HEX2DEC(RIGHT(Table1323212714[[#This Row],[h1]],8))</f>
        <v>0</v>
      </c>
      <c r="Q1524" s="51" t="s">
        <v>149</v>
      </c>
      <c r="R1524" s="51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1" t="s">
        <v>149</v>
      </c>
      <c r="P1525" s="51">
        <f>HEX2DEC(RIGHT(Table1323212714[[#This Row],[h1]],8))</f>
        <v>0</v>
      </c>
      <c r="Q1525" s="51" t="s">
        <v>149</v>
      </c>
      <c r="R1525" s="51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1" t="s">
        <v>149</v>
      </c>
      <c r="P1526" s="51">
        <f>HEX2DEC(RIGHT(Table1323212714[[#This Row],[h1]],8))</f>
        <v>0</v>
      </c>
      <c r="Q1526" s="51" t="s">
        <v>149</v>
      </c>
      <c r="R1526" s="51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1" t="s">
        <v>149</v>
      </c>
      <c r="P1527" s="51">
        <f>HEX2DEC(RIGHT(Table1323212714[[#This Row],[h1]],8))</f>
        <v>0</v>
      </c>
      <c r="Q1527" s="51" t="s">
        <v>149</v>
      </c>
      <c r="R1527" s="51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1" t="s">
        <v>149</v>
      </c>
      <c r="P1528" s="51">
        <f>HEX2DEC(RIGHT(Table1323212714[[#This Row],[h1]],8))</f>
        <v>0</v>
      </c>
      <c r="Q1528" s="51" t="s">
        <v>149</v>
      </c>
      <c r="R1528" s="51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1" t="s">
        <v>149</v>
      </c>
      <c r="P1529" s="51">
        <f>HEX2DEC(RIGHT(Table1323212714[[#This Row],[h1]],8))</f>
        <v>0</v>
      </c>
      <c r="Q1529" s="51" t="s">
        <v>149</v>
      </c>
      <c r="R1529" s="51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1" t="s">
        <v>149</v>
      </c>
      <c r="P1530" s="51">
        <f>HEX2DEC(RIGHT(Table1323212714[[#This Row],[h1]],8))</f>
        <v>0</v>
      </c>
      <c r="Q1530" s="51" t="s">
        <v>149</v>
      </c>
      <c r="R1530" s="51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1" t="s">
        <v>149</v>
      </c>
      <c r="P1531" s="51">
        <f>HEX2DEC(RIGHT(Table1323212714[[#This Row],[h1]],8))</f>
        <v>0</v>
      </c>
      <c r="Q1531" s="51" t="s">
        <v>149</v>
      </c>
      <c r="R1531" s="51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1" t="s">
        <v>149</v>
      </c>
      <c r="P1532" s="51">
        <f>HEX2DEC(RIGHT(Table1323212714[[#This Row],[h1]],8))</f>
        <v>0</v>
      </c>
      <c r="Q1532" s="51" t="s">
        <v>149</v>
      </c>
      <c r="R1532" s="51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1" t="s">
        <v>149</v>
      </c>
      <c r="P1533" s="51">
        <f>HEX2DEC(RIGHT(Table1323212714[[#This Row],[h1]],8))</f>
        <v>0</v>
      </c>
      <c r="Q1533" s="51" t="s">
        <v>149</v>
      </c>
      <c r="R1533" s="51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1" t="s">
        <v>149</v>
      </c>
      <c r="P1534" s="51">
        <f>HEX2DEC(RIGHT(Table1323212714[[#This Row],[h1]],8))</f>
        <v>0</v>
      </c>
      <c r="Q1534" s="51" t="s">
        <v>149</v>
      </c>
      <c r="R1534" s="51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1" t="s">
        <v>149</v>
      </c>
      <c r="P1535" s="51">
        <f>HEX2DEC(RIGHT(Table1323212714[[#This Row],[h1]],8))</f>
        <v>0</v>
      </c>
      <c r="Q1535" s="51" t="s">
        <v>149</v>
      </c>
      <c r="R1535" s="51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1" t="s">
        <v>149</v>
      </c>
      <c r="P1536" s="51">
        <f>HEX2DEC(RIGHT(Table1323212714[[#This Row],[h1]],8))</f>
        <v>0</v>
      </c>
      <c r="Q1536" s="51" t="s">
        <v>149</v>
      </c>
      <c r="R1536" s="51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1" t="s">
        <v>149</v>
      </c>
      <c r="P1537" s="51">
        <f>HEX2DEC(RIGHT(Table1323212714[[#This Row],[h1]],8))</f>
        <v>0</v>
      </c>
      <c r="Q1537" s="51" t="s">
        <v>149</v>
      </c>
      <c r="R1537" s="51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1" t="s">
        <v>149</v>
      </c>
      <c r="P1538" s="51">
        <f>HEX2DEC(RIGHT(Table1323212714[[#This Row],[h1]],8))</f>
        <v>0</v>
      </c>
      <c r="Q1538" s="51" t="s">
        <v>149</v>
      </c>
      <c r="R1538" s="51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1" t="s">
        <v>149</v>
      </c>
      <c r="P1539" s="51">
        <f>HEX2DEC(RIGHT(Table1323212714[[#This Row],[h1]],8))</f>
        <v>0</v>
      </c>
      <c r="Q1539" s="51" t="s">
        <v>149</v>
      </c>
      <c r="R1539" s="51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1" t="s">
        <v>149</v>
      </c>
      <c r="P1540" s="51">
        <f>HEX2DEC(RIGHT(Table1323212714[[#This Row],[h1]],8))</f>
        <v>0</v>
      </c>
      <c r="Q1540" s="51" t="s">
        <v>149</v>
      </c>
      <c r="R1540" s="51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1" t="s">
        <v>149</v>
      </c>
      <c r="P1541" s="51">
        <f>HEX2DEC(RIGHT(Table1323212714[[#This Row],[h1]],8))</f>
        <v>0</v>
      </c>
      <c r="Q1541" s="51" t="s">
        <v>149</v>
      </c>
      <c r="R1541" s="51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1" t="s">
        <v>149</v>
      </c>
      <c r="P1542" s="51">
        <f>HEX2DEC(RIGHT(Table1323212714[[#This Row],[h1]],8))</f>
        <v>0</v>
      </c>
      <c r="Q1542" s="51" t="s">
        <v>149</v>
      </c>
      <c r="R1542" s="51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1" t="s">
        <v>149</v>
      </c>
      <c r="P1543" s="51">
        <f>HEX2DEC(RIGHT(Table1323212714[[#This Row],[h1]],8))</f>
        <v>0</v>
      </c>
      <c r="Q1543" s="51" t="s">
        <v>149</v>
      </c>
      <c r="R1543" s="51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1" t="s">
        <v>149</v>
      </c>
      <c r="P1544" s="51">
        <f>HEX2DEC(RIGHT(Table1323212714[[#This Row],[h1]],8))</f>
        <v>0</v>
      </c>
      <c r="Q1544" s="51" t="s">
        <v>149</v>
      </c>
      <c r="R1544" s="51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1" t="s">
        <v>149</v>
      </c>
      <c r="P1545" s="51">
        <f>HEX2DEC(RIGHT(Table1323212714[[#This Row],[h1]],8))</f>
        <v>0</v>
      </c>
      <c r="Q1545" s="51" t="s">
        <v>149</v>
      </c>
      <c r="R1545" s="51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1" t="s">
        <v>149</v>
      </c>
      <c r="P1546" s="51">
        <f>HEX2DEC(RIGHT(Table1323212714[[#This Row],[h1]],8))</f>
        <v>0</v>
      </c>
      <c r="Q1546" s="51" t="s">
        <v>149</v>
      </c>
      <c r="R1546" s="51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1" t="s">
        <v>149</v>
      </c>
      <c r="P1547" s="51">
        <f>HEX2DEC(RIGHT(Table1323212714[[#This Row],[h1]],8))</f>
        <v>0</v>
      </c>
      <c r="Q1547" s="51" t="s">
        <v>149</v>
      </c>
      <c r="R1547" s="51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1" t="s">
        <v>149</v>
      </c>
      <c r="P1548" s="51">
        <f>HEX2DEC(RIGHT(Table1323212714[[#This Row],[h1]],8))</f>
        <v>0</v>
      </c>
      <c r="Q1548" s="51" t="s">
        <v>149</v>
      </c>
      <c r="R1548" s="51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1" t="s">
        <v>149</v>
      </c>
      <c r="P1549" s="51">
        <f>HEX2DEC(RIGHT(Table1323212714[[#This Row],[h1]],8))</f>
        <v>0</v>
      </c>
      <c r="Q1549" s="51" t="s">
        <v>149</v>
      </c>
      <c r="R1549" s="51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1" t="s">
        <v>149</v>
      </c>
      <c r="P1550" s="51">
        <f>HEX2DEC(RIGHT(Table1323212714[[#This Row],[h1]],8))</f>
        <v>0</v>
      </c>
      <c r="Q1550" s="51" t="s">
        <v>149</v>
      </c>
      <c r="R1550" s="51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1" t="s">
        <v>149</v>
      </c>
      <c r="P1551" s="51">
        <f>HEX2DEC(RIGHT(Table1323212714[[#This Row],[h1]],8))</f>
        <v>0</v>
      </c>
      <c r="Q1551" s="51" t="s">
        <v>149</v>
      </c>
      <c r="R1551" s="51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1" t="s">
        <v>149</v>
      </c>
      <c r="P1552" s="51">
        <f>HEX2DEC(RIGHT(Table1323212714[[#This Row],[h1]],8))</f>
        <v>0</v>
      </c>
      <c r="Q1552" s="51" t="s">
        <v>149</v>
      </c>
      <c r="R1552" s="51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1" t="s">
        <v>149</v>
      </c>
      <c r="P1553" s="51">
        <f>HEX2DEC(RIGHT(Table1323212714[[#This Row],[h1]],8))</f>
        <v>0</v>
      </c>
      <c r="Q1553" s="51" t="s">
        <v>149</v>
      </c>
      <c r="R1553" s="51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1" t="s">
        <v>149</v>
      </c>
      <c r="P1554" s="51">
        <f>HEX2DEC(RIGHT(Table1323212714[[#This Row],[h1]],8))</f>
        <v>0</v>
      </c>
      <c r="Q1554" s="51" t="s">
        <v>149</v>
      </c>
      <c r="R1554" s="51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1" t="s">
        <v>149</v>
      </c>
      <c r="P1555" s="51">
        <f>HEX2DEC(RIGHT(Table1323212714[[#This Row],[h1]],8))</f>
        <v>0</v>
      </c>
      <c r="Q1555" s="51" t="s">
        <v>149</v>
      </c>
      <c r="R1555" s="51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1" t="s">
        <v>149</v>
      </c>
      <c r="P1556" s="51">
        <f>HEX2DEC(RIGHT(Table1323212714[[#This Row],[h1]],8))</f>
        <v>0</v>
      </c>
      <c r="Q1556" s="51" t="s">
        <v>149</v>
      </c>
      <c r="R1556" s="51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1" t="s">
        <v>149</v>
      </c>
      <c r="P1557" s="51">
        <f>HEX2DEC(RIGHT(Table1323212714[[#This Row],[h1]],8))</f>
        <v>0</v>
      </c>
      <c r="Q1557" s="51" t="s">
        <v>149</v>
      </c>
      <c r="R1557" s="51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1" t="s">
        <v>149</v>
      </c>
      <c r="P1558" s="51">
        <f>HEX2DEC(RIGHT(Table1323212714[[#This Row],[h1]],8))</f>
        <v>0</v>
      </c>
      <c r="Q1558" s="51" t="s">
        <v>149</v>
      </c>
      <c r="R1558" s="51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1" t="s">
        <v>149</v>
      </c>
      <c r="P1559" s="51">
        <f>HEX2DEC(RIGHT(Table1323212714[[#This Row],[h1]],8))</f>
        <v>0</v>
      </c>
      <c r="Q1559" s="51" t="s">
        <v>149</v>
      </c>
      <c r="R1559" s="51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1" t="s">
        <v>149</v>
      </c>
      <c r="P1560" s="51">
        <f>HEX2DEC(RIGHT(Table1323212714[[#This Row],[h1]],8))</f>
        <v>0</v>
      </c>
      <c r="Q1560" s="51" t="s">
        <v>149</v>
      </c>
      <c r="R1560" s="51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1" t="s">
        <v>149</v>
      </c>
      <c r="P1561" s="51">
        <f>HEX2DEC(RIGHT(Table1323212714[[#This Row],[h1]],8))</f>
        <v>0</v>
      </c>
      <c r="Q1561" s="51" t="s">
        <v>149</v>
      </c>
      <c r="R1561" s="51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1" t="s">
        <v>149</v>
      </c>
      <c r="P1562" s="51">
        <f>HEX2DEC(RIGHT(Table1323212714[[#This Row],[h1]],8))</f>
        <v>0</v>
      </c>
      <c r="Q1562" s="51" t="s">
        <v>149</v>
      </c>
      <c r="R1562" s="51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1" t="s">
        <v>149</v>
      </c>
      <c r="P1563" s="51">
        <f>HEX2DEC(RIGHT(Table1323212714[[#This Row],[h1]],8))</f>
        <v>0</v>
      </c>
      <c r="Q1563" s="51" t="s">
        <v>149</v>
      </c>
      <c r="R1563" s="51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1" t="s">
        <v>149</v>
      </c>
      <c r="P1564" s="51">
        <f>HEX2DEC(RIGHT(Table1323212714[[#This Row],[h1]],8))</f>
        <v>0</v>
      </c>
      <c r="Q1564" s="51" t="s">
        <v>149</v>
      </c>
      <c r="R1564" s="51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1" t="s">
        <v>149</v>
      </c>
      <c r="P1565" s="51">
        <f>HEX2DEC(RIGHT(Table1323212714[[#This Row],[h1]],8))</f>
        <v>0</v>
      </c>
      <c r="Q1565" s="51" t="s">
        <v>149</v>
      </c>
      <c r="R1565" s="51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1" t="s">
        <v>149</v>
      </c>
      <c r="P1566" s="51">
        <f>HEX2DEC(RIGHT(Table1323212714[[#This Row],[h1]],8))</f>
        <v>0</v>
      </c>
      <c r="Q1566" s="51" t="s">
        <v>149</v>
      </c>
      <c r="R1566" s="51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1" t="s">
        <v>149</v>
      </c>
      <c r="P1567" s="51">
        <f>HEX2DEC(RIGHT(Table1323212714[[#This Row],[h1]],8))</f>
        <v>0</v>
      </c>
      <c r="Q1567" s="51" t="s">
        <v>149</v>
      </c>
      <c r="R1567" s="51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1" t="s">
        <v>149</v>
      </c>
      <c r="P1568" s="51">
        <f>HEX2DEC(RIGHT(Table1323212714[[#This Row],[h1]],8))</f>
        <v>0</v>
      </c>
      <c r="Q1568" s="51" t="s">
        <v>149</v>
      </c>
      <c r="R1568" s="51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1" t="s">
        <v>149</v>
      </c>
      <c r="P1569" s="51">
        <f>HEX2DEC(RIGHT(Table1323212714[[#This Row],[h1]],8))</f>
        <v>0</v>
      </c>
      <c r="Q1569" s="51" t="s">
        <v>149</v>
      </c>
      <c r="R1569" s="51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1" t="s">
        <v>149</v>
      </c>
      <c r="P1570" s="51">
        <f>HEX2DEC(RIGHT(Table1323212714[[#This Row],[h1]],8))</f>
        <v>0</v>
      </c>
      <c r="Q1570" s="51" t="s">
        <v>149</v>
      </c>
      <c r="R1570" s="51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1" t="s">
        <v>149</v>
      </c>
      <c r="P1571" s="51">
        <f>HEX2DEC(RIGHT(Table1323212714[[#This Row],[h1]],8))</f>
        <v>0</v>
      </c>
      <c r="Q1571" s="51" t="s">
        <v>149</v>
      </c>
      <c r="R1571" s="51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1" t="s">
        <v>149</v>
      </c>
      <c r="P1572" s="51">
        <f>HEX2DEC(RIGHT(Table1323212714[[#This Row],[h1]],8))</f>
        <v>0</v>
      </c>
      <c r="Q1572" s="51" t="s">
        <v>149</v>
      </c>
      <c r="R1572" s="51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1" t="s">
        <v>149</v>
      </c>
      <c r="P1573" s="51">
        <f>HEX2DEC(RIGHT(Table1323212714[[#This Row],[h1]],8))</f>
        <v>0</v>
      </c>
      <c r="Q1573" s="51" t="s">
        <v>149</v>
      </c>
      <c r="R1573" s="51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1" t="s">
        <v>149</v>
      </c>
      <c r="P1574" s="51">
        <f>HEX2DEC(RIGHT(Table1323212714[[#This Row],[h1]],8))</f>
        <v>0</v>
      </c>
      <c r="Q1574" s="51" t="s">
        <v>149</v>
      </c>
      <c r="R1574" s="51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1" t="s">
        <v>149</v>
      </c>
      <c r="P1575" s="51">
        <f>HEX2DEC(RIGHT(Table1323212714[[#This Row],[h1]],8))</f>
        <v>0</v>
      </c>
      <c r="Q1575" s="51" t="s">
        <v>149</v>
      </c>
      <c r="R1575" s="51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1" t="s">
        <v>149</v>
      </c>
      <c r="P1576" s="51">
        <f>HEX2DEC(RIGHT(Table1323212714[[#This Row],[h1]],8))</f>
        <v>0</v>
      </c>
      <c r="Q1576" s="51" t="s">
        <v>149</v>
      </c>
      <c r="R1576" s="51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1" t="s">
        <v>149</v>
      </c>
      <c r="P1577" s="51">
        <f>HEX2DEC(RIGHT(Table1323212714[[#This Row],[h1]],8))</f>
        <v>0</v>
      </c>
      <c r="Q1577" s="51" t="s">
        <v>149</v>
      </c>
      <c r="R1577" s="51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1" t="s">
        <v>149</v>
      </c>
      <c r="P1578" s="51">
        <f>HEX2DEC(RIGHT(Table1323212714[[#This Row],[h1]],8))</f>
        <v>0</v>
      </c>
      <c r="Q1578" s="51" t="s">
        <v>149</v>
      </c>
      <c r="R1578" s="51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1" t="s">
        <v>149</v>
      </c>
      <c r="P1579" s="51">
        <f>HEX2DEC(RIGHT(Table1323212714[[#This Row],[h1]],8))</f>
        <v>0</v>
      </c>
      <c r="Q1579" s="51" t="s">
        <v>149</v>
      </c>
      <c r="R1579" s="51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1" t="s">
        <v>149</v>
      </c>
      <c r="P1580" s="51">
        <f>HEX2DEC(RIGHT(Table1323212714[[#This Row],[h1]],8))</f>
        <v>0</v>
      </c>
      <c r="Q1580" s="51" t="s">
        <v>149</v>
      </c>
      <c r="R1580" s="51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1" t="s">
        <v>149</v>
      </c>
      <c r="P1581" s="51">
        <f>HEX2DEC(RIGHT(Table1323212714[[#This Row],[h1]],8))</f>
        <v>0</v>
      </c>
      <c r="Q1581" s="51" t="s">
        <v>149</v>
      </c>
      <c r="R1581" s="51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1" t="s">
        <v>149</v>
      </c>
      <c r="P1582" s="51">
        <f>HEX2DEC(RIGHT(Table1323212714[[#This Row],[h1]],8))</f>
        <v>0</v>
      </c>
      <c r="Q1582" s="51" t="s">
        <v>149</v>
      </c>
      <c r="R1582" s="51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1" t="s">
        <v>149</v>
      </c>
      <c r="P1583" s="51">
        <f>HEX2DEC(RIGHT(Table1323212714[[#This Row],[h1]],8))</f>
        <v>0</v>
      </c>
      <c r="Q1583" s="51" t="s">
        <v>149</v>
      </c>
      <c r="R1583" s="51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1" t="s">
        <v>149</v>
      </c>
      <c r="P1584" s="51">
        <f>HEX2DEC(RIGHT(Table1323212714[[#This Row],[h1]],8))</f>
        <v>0</v>
      </c>
      <c r="Q1584" s="51" t="s">
        <v>149</v>
      </c>
      <c r="R1584" s="51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1" t="s">
        <v>149</v>
      </c>
      <c r="P1585" s="51">
        <f>HEX2DEC(RIGHT(Table1323212714[[#This Row],[h1]],8))</f>
        <v>0</v>
      </c>
      <c r="Q1585" s="51" t="s">
        <v>149</v>
      </c>
      <c r="R1585" s="51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1" t="s">
        <v>149</v>
      </c>
      <c r="P1586" s="51">
        <f>HEX2DEC(RIGHT(Table1323212714[[#This Row],[h1]],8))</f>
        <v>0</v>
      </c>
      <c r="Q1586" s="51" t="s">
        <v>149</v>
      </c>
      <c r="R1586" s="51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1" t="s">
        <v>149</v>
      </c>
      <c r="P1587" s="51">
        <f>HEX2DEC(RIGHT(Table1323212714[[#This Row],[h1]],8))</f>
        <v>0</v>
      </c>
      <c r="Q1587" s="51" t="s">
        <v>149</v>
      </c>
      <c r="R1587" s="51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1" t="s">
        <v>149</v>
      </c>
      <c r="P1588" s="51">
        <f>HEX2DEC(RIGHT(Table1323212714[[#This Row],[h1]],8))</f>
        <v>0</v>
      </c>
      <c r="Q1588" s="51" t="s">
        <v>149</v>
      </c>
      <c r="R1588" s="51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1" t="s">
        <v>149</v>
      </c>
      <c r="P1589" s="51">
        <f>HEX2DEC(RIGHT(Table1323212714[[#This Row],[h1]],8))</f>
        <v>0</v>
      </c>
      <c r="Q1589" s="51" t="s">
        <v>149</v>
      </c>
      <c r="R1589" s="51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1" t="s">
        <v>149</v>
      </c>
      <c r="P1590" s="51">
        <f>HEX2DEC(RIGHT(Table1323212714[[#This Row],[h1]],8))</f>
        <v>0</v>
      </c>
      <c r="Q1590" s="51" t="s">
        <v>149</v>
      </c>
      <c r="R1590" s="51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1" t="s">
        <v>149</v>
      </c>
      <c r="P1591" s="51">
        <f>HEX2DEC(RIGHT(Table1323212714[[#This Row],[h1]],8))</f>
        <v>0</v>
      </c>
      <c r="Q1591" s="51" t="s">
        <v>149</v>
      </c>
      <c r="R1591" s="51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1" t="s">
        <v>149</v>
      </c>
      <c r="P1592" s="51">
        <f>HEX2DEC(RIGHT(Table1323212714[[#This Row],[h1]],8))</f>
        <v>0</v>
      </c>
      <c r="Q1592" s="51" t="s">
        <v>149</v>
      </c>
      <c r="R1592" s="51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1" t="s">
        <v>149</v>
      </c>
      <c r="P1593" s="51">
        <f>HEX2DEC(RIGHT(Table1323212714[[#This Row],[h1]],8))</f>
        <v>0</v>
      </c>
      <c r="Q1593" s="51" t="s">
        <v>149</v>
      </c>
      <c r="R1593" s="51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1" t="s">
        <v>149</v>
      </c>
      <c r="P1594" s="51">
        <f>HEX2DEC(RIGHT(Table1323212714[[#This Row],[h1]],8))</f>
        <v>0</v>
      </c>
      <c r="Q1594" s="51" t="s">
        <v>149</v>
      </c>
      <c r="R1594" s="51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1" t="s">
        <v>149</v>
      </c>
      <c r="P1595" s="51">
        <f>HEX2DEC(RIGHT(Table1323212714[[#This Row],[h1]],8))</f>
        <v>0</v>
      </c>
      <c r="Q1595" s="51" t="s">
        <v>149</v>
      </c>
      <c r="R1595" s="51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1" t="s">
        <v>149</v>
      </c>
      <c r="P1596" s="51">
        <f>HEX2DEC(RIGHT(Table1323212714[[#This Row],[h1]],8))</f>
        <v>0</v>
      </c>
      <c r="Q1596" s="51" t="s">
        <v>149</v>
      </c>
      <c r="R1596" s="51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1" t="s">
        <v>149</v>
      </c>
      <c r="P1597" s="51">
        <f>HEX2DEC(RIGHT(Table1323212714[[#This Row],[h1]],8))</f>
        <v>0</v>
      </c>
      <c r="Q1597" s="51" t="s">
        <v>149</v>
      </c>
      <c r="R1597" s="51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1" t="s">
        <v>149</v>
      </c>
      <c r="P1598" s="51">
        <f>HEX2DEC(RIGHT(Table1323212714[[#This Row],[h1]],8))</f>
        <v>0</v>
      </c>
      <c r="Q1598" s="51" t="s">
        <v>149</v>
      </c>
      <c r="R1598" s="51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1" t="s">
        <v>149</v>
      </c>
      <c r="P1599" s="51">
        <f>HEX2DEC(RIGHT(Table1323212714[[#This Row],[h1]],8))</f>
        <v>0</v>
      </c>
      <c r="Q1599" s="51" t="s">
        <v>149</v>
      </c>
      <c r="R1599" s="51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1" t="s">
        <v>149</v>
      </c>
      <c r="P1600" s="51">
        <f>HEX2DEC(RIGHT(Table1323212714[[#This Row],[h1]],8))</f>
        <v>0</v>
      </c>
      <c r="Q1600" s="51" t="s">
        <v>149</v>
      </c>
      <c r="R1600" s="51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1" t="s">
        <v>149</v>
      </c>
      <c r="P1601" s="51">
        <f>HEX2DEC(RIGHT(Table1323212714[[#This Row],[h1]],8))</f>
        <v>0</v>
      </c>
      <c r="Q1601" s="51" t="s">
        <v>149</v>
      </c>
      <c r="R1601" s="51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1" t="s">
        <v>149</v>
      </c>
      <c r="P1602" s="51">
        <f>HEX2DEC(RIGHT(Table1323212714[[#This Row],[h1]],8))</f>
        <v>0</v>
      </c>
      <c r="Q1602" s="51" t="s">
        <v>149</v>
      </c>
      <c r="R1602" s="51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1" t="s">
        <v>149</v>
      </c>
      <c r="P1603" s="51">
        <f>HEX2DEC(RIGHT(Table1323212714[[#This Row],[h1]],8))</f>
        <v>0</v>
      </c>
      <c r="Q1603" s="51" t="s">
        <v>149</v>
      </c>
      <c r="R1603" s="51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1" t="s">
        <v>149</v>
      </c>
      <c r="P1604" s="51">
        <f>HEX2DEC(RIGHT(Table1323212714[[#This Row],[h1]],8))</f>
        <v>0</v>
      </c>
      <c r="Q1604" s="51" t="s">
        <v>149</v>
      </c>
      <c r="R1604" s="51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1" t="s">
        <v>149</v>
      </c>
      <c r="P1605" s="51">
        <f>HEX2DEC(RIGHT(Table1323212714[[#This Row],[h1]],8))</f>
        <v>0</v>
      </c>
      <c r="Q1605" s="51" t="s">
        <v>149</v>
      </c>
      <c r="R1605" s="51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1" t="s">
        <v>149</v>
      </c>
      <c r="P1606" s="51">
        <f>HEX2DEC(RIGHT(Table1323212714[[#This Row],[h1]],8))</f>
        <v>0</v>
      </c>
      <c r="Q1606" s="51" t="s">
        <v>149</v>
      </c>
      <c r="R1606" s="51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1" t="s">
        <v>149</v>
      </c>
      <c r="P1607" s="51">
        <f>HEX2DEC(RIGHT(Table1323212714[[#This Row],[h1]],8))</f>
        <v>0</v>
      </c>
      <c r="Q1607" s="51" t="s">
        <v>149</v>
      </c>
      <c r="R1607" s="51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1" t="s">
        <v>149</v>
      </c>
      <c r="P1608" s="51">
        <f>HEX2DEC(RIGHT(Table1323212714[[#This Row],[h1]],8))</f>
        <v>0</v>
      </c>
      <c r="Q1608" s="51" t="s">
        <v>149</v>
      </c>
      <c r="R1608" s="51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1" t="s">
        <v>149</v>
      </c>
      <c r="P1609" s="51">
        <f>HEX2DEC(RIGHT(Table1323212714[[#This Row],[h1]],8))</f>
        <v>0</v>
      </c>
      <c r="Q1609" s="51" t="s">
        <v>149</v>
      </c>
      <c r="R1609" s="51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1" t="s">
        <v>149</v>
      </c>
      <c r="P1610" s="51">
        <f>HEX2DEC(RIGHT(Table1323212714[[#This Row],[h1]],8))</f>
        <v>0</v>
      </c>
      <c r="Q1610" s="51" t="s">
        <v>149</v>
      </c>
      <c r="R1610" s="51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1" t="s">
        <v>149</v>
      </c>
      <c r="P1611" s="51">
        <f>HEX2DEC(RIGHT(Table1323212714[[#This Row],[h1]],8))</f>
        <v>0</v>
      </c>
      <c r="Q1611" s="51" t="s">
        <v>149</v>
      </c>
      <c r="R1611" s="51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1" t="s">
        <v>149</v>
      </c>
      <c r="P1612" s="51">
        <f>HEX2DEC(RIGHT(Table1323212714[[#This Row],[h1]],8))</f>
        <v>0</v>
      </c>
      <c r="Q1612" s="51" t="s">
        <v>149</v>
      </c>
      <c r="R1612" s="51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1" t="s">
        <v>149</v>
      </c>
      <c r="P1613" s="51">
        <f>HEX2DEC(RIGHT(Table1323212714[[#This Row],[h1]],8))</f>
        <v>0</v>
      </c>
      <c r="Q1613" s="51" t="s">
        <v>149</v>
      </c>
      <c r="R1613" s="51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1" t="s">
        <v>149</v>
      </c>
      <c r="P1614" s="51">
        <f>HEX2DEC(RIGHT(Table1323212714[[#This Row],[h1]],8))</f>
        <v>0</v>
      </c>
      <c r="Q1614" s="51" t="s">
        <v>149</v>
      </c>
      <c r="R1614" s="51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1" t="s">
        <v>149</v>
      </c>
      <c r="P1615" s="51">
        <f>HEX2DEC(RIGHT(Table1323212714[[#This Row],[h1]],8))</f>
        <v>0</v>
      </c>
      <c r="Q1615" s="51" t="s">
        <v>149</v>
      </c>
      <c r="R1615" s="51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1" t="s">
        <v>149</v>
      </c>
      <c r="P1616" s="51">
        <f>HEX2DEC(RIGHT(Table1323212714[[#This Row],[h1]],8))</f>
        <v>0</v>
      </c>
      <c r="Q1616" s="51" t="s">
        <v>149</v>
      </c>
      <c r="R1616" s="51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1" t="s">
        <v>149</v>
      </c>
      <c r="P1617" s="51">
        <f>HEX2DEC(RIGHT(Table1323212714[[#This Row],[h1]],8))</f>
        <v>0</v>
      </c>
      <c r="Q1617" s="51" t="s">
        <v>149</v>
      </c>
      <c r="R1617" s="51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1" t="s">
        <v>149</v>
      </c>
      <c r="P1618" s="51">
        <f>HEX2DEC(RIGHT(Table1323212714[[#This Row],[h1]],8))</f>
        <v>0</v>
      </c>
      <c r="Q1618" s="51" t="s">
        <v>149</v>
      </c>
      <c r="R1618" s="51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1" t="s">
        <v>149</v>
      </c>
      <c r="P1619" s="51">
        <f>HEX2DEC(RIGHT(Table1323212714[[#This Row],[h1]],8))</f>
        <v>0</v>
      </c>
      <c r="Q1619" s="51" t="s">
        <v>149</v>
      </c>
      <c r="R1619" s="51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1" t="s">
        <v>149</v>
      </c>
      <c r="P1620" s="51">
        <f>HEX2DEC(RIGHT(Table1323212714[[#This Row],[h1]],8))</f>
        <v>0</v>
      </c>
      <c r="Q1620" s="51" t="s">
        <v>149</v>
      </c>
      <c r="R1620" s="51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1" t="s">
        <v>149</v>
      </c>
      <c r="P1621" s="51">
        <f>HEX2DEC(RIGHT(Table1323212714[[#This Row],[h1]],8))</f>
        <v>0</v>
      </c>
      <c r="Q1621" s="51" t="s">
        <v>149</v>
      </c>
      <c r="R1621" s="51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1" t="s">
        <v>149</v>
      </c>
      <c r="P1622" s="51">
        <f>HEX2DEC(RIGHT(Table1323212714[[#This Row],[h1]],8))</f>
        <v>0</v>
      </c>
      <c r="Q1622" s="51" t="s">
        <v>149</v>
      </c>
      <c r="R1622" s="51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1" t="s">
        <v>149</v>
      </c>
      <c r="P1623" s="51">
        <f>HEX2DEC(RIGHT(Table1323212714[[#This Row],[h1]],8))</f>
        <v>0</v>
      </c>
      <c r="Q1623" s="51" t="s">
        <v>149</v>
      </c>
      <c r="R1623" s="51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1" t="s">
        <v>149</v>
      </c>
      <c r="P1624" s="51">
        <f>HEX2DEC(RIGHT(Table1323212714[[#This Row],[h1]],8))</f>
        <v>0</v>
      </c>
      <c r="Q1624" s="51" t="s">
        <v>149</v>
      </c>
      <c r="R1624" s="51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1" t="s">
        <v>149</v>
      </c>
      <c r="P1625" s="51">
        <f>HEX2DEC(RIGHT(Table1323212714[[#This Row],[h1]],8))</f>
        <v>0</v>
      </c>
      <c r="Q1625" s="51" t="s">
        <v>149</v>
      </c>
      <c r="R1625" s="51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1" t="s">
        <v>149</v>
      </c>
      <c r="P1626" s="51">
        <f>HEX2DEC(RIGHT(Table1323212714[[#This Row],[h1]],8))</f>
        <v>0</v>
      </c>
      <c r="Q1626" s="51" t="s">
        <v>149</v>
      </c>
      <c r="R1626" s="51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1" t="s">
        <v>149</v>
      </c>
      <c r="P1627" s="51">
        <f>HEX2DEC(RIGHT(Table1323212714[[#This Row],[h1]],8))</f>
        <v>0</v>
      </c>
      <c r="Q1627" s="51" t="s">
        <v>149</v>
      </c>
      <c r="R1627" s="51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1" t="s">
        <v>149</v>
      </c>
      <c r="P1628" s="51">
        <f>HEX2DEC(RIGHT(Table1323212714[[#This Row],[h1]],8))</f>
        <v>0</v>
      </c>
      <c r="Q1628" s="51" t="s">
        <v>149</v>
      </c>
      <c r="R1628" s="51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1" t="s">
        <v>149</v>
      </c>
      <c r="P1629" s="51">
        <f>HEX2DEC(RIGHT(Table1323212714[[#This Row],[h1]],8))</f>
        <v>0</v>
      </c>
      <c r="Q1629" s="51" t="s">
        <v>149</v>
      </c>
      <c r="R1629" s="51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1" t="s">
        <v>149</v>
      </c>
      <c r="P1630" s="51">
        <f>HEX2DEC(RIGHT(Table1323212714[[#This Row],[h1]],8))</f>
        <v>0</v>
      </c>
      <c r="Q1630" s="51" t="s">
        <v>149</v>
      </c>
      <c r="R1630" s="51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1" t="s">
        <v>149</v>
      </c>
      <c r="P1631" s="51">
        <f>HEX2DEC(RIGHT(Table1323212714[[#This Row],[h1]],8))</f>
        <v>0</v>
      </c>
      <c r="Q1631" s="51" t="s">
        <v>149</v>
      </c>
      <c r="R1631" s="51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1" t="s">
        <v>149</v>
      </c>
      <c r="P1632" s="51">
        <f>HEX2DEC(RIGHT(Table1323212714[[#This Row],[h1]],8))</f>
        <v>0</v>
      </c>
      <c r="Q1632" s="51" t="s">
        <v>149</v>
      </c>
      <c r="R1632" s="51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1" t="s">
        <v>149</v>
      </c>
      <c r="P1633" s="51">
        <f>HEX2DEC(RIGHT(Table1323212714[[#This Row],[h1]],8))</f>
        <v>0</v>
      </c>
      <c r="Q1633" s="51" t="s">
        <v>149</v>
      </c>
      <c r="R1633" s="51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1" t="s">
        <v>149</v>
      </c>
      <c r="P1634" s="51">
        <f>HEX2DEC(RIGHT(Table1323212714[[#This Row],[h1]],8))</f>
        <v>0</v>
      </c>
      <c r="Q1634" s="51" t="s">
        <v>149</v>
      </c>
      <c r="R1634" s="51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1" t="s">
        <v>149</v>
      </c>
      <c r="P1635" s="51">
        <f>HEX2DEC(RIGHT(Table1323212714[[#This Row],[h1]],8))</f>
        <v>0</v>
      </c>
      <c r="Q1635" s="51" t="s">
        <v>149</v>
      </c>
      <c r="R1635" s="51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1" t="s">
        <v>149</v>
      </c>
      <c r="P1636" s="51">
        <f>HEX2DEC(RIGHT(Table1323212714[[#This Row],[h1]],8))</f>
        <v>0</v>
      </c>
      <c r="Q1636" s="51" t="s">
        <v>149</v>
      </c>
      <c r="R1636" s="51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1" t="s">
        <v>149</v>
      </c>
      <c r="P1637" s="51">
        <f>HEX2DEC(RIGHT(Table1323212714[[#This Row],[h1]],8))</f>
        <v>0</v>
      </c>
      <c r="Q1637" s="51" t="s">
        <v>149</v>
      </c>
      <c r="R1637" s="51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1" t="s">
        <v>149</v>
      </c>
      <c r="P1638" s="51">
        <f>HEX2DEC(RIGHT(Table1323212714[[#This Row],[h1]],8))</f>
        <v>0</v>
      </c>
      <c r="Q1638" s="51" t="s">
        <v>149</v>
      </c>
      <c r="R1638" s="51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1" t="s">
        <v>149</v>
      </c>
      <c r="P1639" s="51">
        <f>HEX2DEC(RIGHT(Table1323212714[[#This Row],[h1]],8))</f>
        <v>0</v>
      </c>
      <c r="Q1639" s="51" t="s">
        <v>149</v>
      </c>
      <c r="R1639" s="51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1" t="s">
        <v>149</v>
      </c>
      <c r="P1640" s="51">
        <f>HEX2DEC(RIGHT(Table1323212714[[#This Row],[h1]],8))</f>
        <v>0</v>
      </c>
      <c r="Q1640" s="51" t="s">
        <v>149</v>
      </c>
      <c r="R1640" s="51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1" t="s">
        <v>149</v>
      </c>
      <c r="P1641" s="51">
        <f>HEX2DEC(RIGHT(Table1323212714[[#This Row],[h1]],8))</f>
        <v>0</v>
      </c>
      <c r="Q1641" s="51" t="s">
        <v>149</v>
      </c>
      <c r="R1641" s="51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1" t="s">
        <v>149</v>
      </c>
      <c r="P1642" s="51">
        <f>HEX2DEC(RIGHT(Table1323212714[[#This Row],[h1]],8))</f>
        <v>0</v>
      </c>
      <c r="Q1642" s="51" t="s">
        <v>149</v>
      </c>
      <c r="R1642" s="51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1" t="s">
        <v>149</v>
      </c>
      <c r="P1643" s="51">
        <f>HEX2DEC(RIGHT(Table1323212714[[#This Row],[h1]],8))</f>
        <v>0</v>
      </c>
      <c r="Q1643" s="51" t="s">
        <v>149</v>
      </c>
      <c r="R1643" s="51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1" t="s">
        <v>149</v>
      </c>
      <c r="P1644" s="51">
        <f>HEX2DEC(RIGHT(Table1323212714[[#This Row],[h1]],8))</f>
        <v>0</v>
      </c>
      <c r="Q1644" s="51" t="s">
        <v>149</v>
      </c>
      <c r="R1644" s="51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1" t="s">
        <v>149</v>
      </c>
      <c r="P1645" s="51">
        <f>HEX2DEC(RIGHT(Table1323212714[[#This Row],[h1]],8))</f>
        <v>0</v>
      </c>
      <c r="Q1645" s="51" t="s">
        <v>149</v>
      </c>
      <c r="R1645" s="51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1" t="s">
        <v>149</v>
      </c>
      <c r="P1646" s="51">
        <f>HEX2DEC(RIGHT(Table1323212714[[#This Row],[h1]],8))</f>
        <v>0</v>
      </c>
      <c r="Q1646" s="51" t="s">
        <v>149</v>
      </c>
      <c r="R1646" s="51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1" t="s">
        <v>149</v>
      </c>
      <c r="P1647" s="51">
        <f>HEX2DEC(RIGHT(Table1323212714[[#This Row],[h1]],8))</f>
        <v>0</v>
      </c>
      <c r="Q1647" s="51" t="s">
        <v>149</v>
      </c>
      <c r="R1647" s="51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1" t="s">
        <v>149</v>
      </c>
      <c r="P1648" s="51">
        <f>HEX2DEC(RIGHT(Table1323212714[[#This Row],[h1]],8))</f>
        <v>0</v>
      </c>
      <c r="Q1648" s="51" t="s">
        <v>149</v>
      </c>
      <c r="R1648" s="51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1" t="s">
        <v>149</v>
      </c>
      <c r="P1649" s="51">
        <f>HEX2DEC(RIGHT(Table1323212714[[#This Row],[h1]],8))</f>
        <v>0</v>
      </c>
      <c r="Q1649" s="51" t="s">
        <v>149</v>
      </c>
      <c r="R1649" s="51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1" t="s">
        <v>149</v>
      </c>
      <c r="P1650" s="51">
        <f>HEX2DEC(RIGHT(Table1323212714[[#This Row],[h1]],8))</f>
        <v>0</v>
      </c>
      <c r="Q1650" s="51" t="s">
        <v>149</v>
      </c>
      <c r="R1650" s="51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1" t="s">
        <v>149</v>
      </c>
      <c r="P1651" s="51">
        <f>HEX2DEC(RIGHT(Table1323212714[[#This Row],[h1]],8))</f>
        <v>0</v>
      </c>
      <c r="Q1651" s="51" t="s">
        <v>149</v>
      </c>
      <c r="R1651" s="51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1" t="s">
        <v>149</v>
      </c>
      <c r="P1652" s="51">
        <f>HEX2DEC(RIGHT(Table1323212714[[#This Row],[h1]],8))</f>
        <v>0</v>
      </c>
      <c r="Q1652" s="51" t="s">
        <v>149</v>
      </c>
      <c r="R1652" s="51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1" t="s">
        <v>149</v>
      </c>
      <c r="P1653" s="51">
        <f>HEX2DEC(RIGHT(Table1323212714[[#This Row],[h1]],8))</f>
        <v>0</v>
      </c>
      <c r="Q1653" s="51" t="s">
        <v>149</v>
      </c>
      <c r="R1653" s="51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1" t="s">
        <v>149</v>
      </c>
      <c r="P1654" s="51">
        <f>HEX2DEC(RIGHT(Table1323212714[[#This Row],[h1]],8))</f>
        <v>0</v>
      </c>
      <c r="Q1654" s="51" t="s">
        <v>149</v>
      </c>
      <c r="R1654" s="51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1" t="s">
        <v>149</v>
      </c>
      <c r="P1655" s="51">
        <f>HEX2DEC(RIGHT(Table1323212714[[#This Row],[h1]],8))</f>
        <v>0</v>
      </c>
      <c r="Q1655" s="51" t="s">
        <v>149</v>
      </c>
      <c r="R1655" s="51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1" t="s">
        <v>149</v>
      </c>
      <c r="P1656" s="51">
        <f>HEX2DEC(RIGHT(Table1323212714[[#This Row],[h1]],8))</f>
        <v>0</v>
      </c>
      <c r="Q1656" s="51" t="s">
        <v>149</v>
      </c>
      <c r="R1656" s="51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1" t="s">
        <v>149</v>
      </c>
      <c r="P1657" s="51">
        <f>HEX2DEC(RIGHT(Table1323212714[[#This Row],[h1]],8))</f>
        <v>0</v>
      </c>
      <c r="Q1657" s="51" t="s">
        <v>149</v>
      </c>
      <c r="R1657" s="51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1" t="s">
        <v>149</v>
      </c>
      <c r="P1658" s="51">
        <f>HEX2DEC(RIGHT(Table1323212714[[#This Row],[h1]],8))</f>
        <v>0</v>
      </c>
      <c r="Q1658" s="51" t="s">
        <v>149</v>
      </c>
      <c r="R1658" s="51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1" t="s">
        <v>149</v>
      </c>
      <c r="P1659" s="51">
        <f>HEX2DEC(RIGHT(Table1323212714[[#This Row],[h1]],8))</f>
        <v>0</v>
      </c>
      <c r="Q1659" s="51" t="s">
        <v>149</v>
      </c>
      <c r="R1659" s="51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1" t="s">
        <v>149</v>
      </c>
      <c r="P1660" s="51">
        <f>HEX2DEC(RIGHT(Table1323212714[[#This Row],[h1]],8))</f>
        <v>0</v>
      </c>
      <c r="Q1660" s="51" t="s">
        <v>149</v>
      </c>
      <c r="R1660" s="51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1" t="s">
        <v>149</v>
      </c>
      <c r="P1661" s="51">
        <f>HEX2DEC(RIGHT(Table1323212714[[#This Row],[h1]],8))</f>
        <v>0</v>
      </c>
      <c r="Q1661" s="51" t="s">
        <v>149</v>
      </c>
      <c r="R1661" s="51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1" t="s">
        <v>149</v>
      </c>
      <c r="P1662" s="51">
        <f>HEX2DEC(RIGHT(Table1323212714[[#This Row],[h1]],8))</f>
        <v>0</v>
      </c>
      <c r="Q1662" s="51" t="s">
        <v>149</v>
      </c>
      <c r="R1662" s="51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1" t="s">
        <v>149</v>
      </c>
      <c r="P1663" s="51">
        <f>HEX2DEC(RIGHT(Table1323212714[[#This Row],[h1]],8))</f>
        <v>0</v>
      </c>
      <c r="Q1663" s="51" t="s">
        <v>149</v>
      </c>
      <c r="R1663" s="51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1" t="s">
        <v>149</v>
      </c>
      <c r="P1664" s="51">
        <f>HEX2DEC(RIGHT(Table1323212714[[#This Row],[h1]],8))</f>
        <v>0</v>
      </c>
      <c r="Q1664" s="51" t="s">
        <v>149</v>
      </c>
      <c r="R1664" s="51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1" t="s">
        <v>149</v>
      </c>
      <c r="P1665" s="51">
        <f>HEX2DEC(RIGHT(Table1323212714[[#This Row],[h1]],8))</f>
        <v>0</v>
      </c>
      <c r="Q1665" s="51" t="s">
        <v>149</v>
      </c>
      <c r="R1665" s="51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1" t="s">
        <v>149</v>
      </c>
      <c r="P1666" s="51">
        <f>HEX2DEC(RIGHT(Table1323212714[[#This Row],[h1]],8))</f>
        <v>0</v>
      </c>
      <c r="Q1666" s="51" t="s">
        <v>149</v>
      </c>
      <c r="R1666" s="51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1" t="s">
        <v>149</v>
      </c>
      <c r="P1667" s="51">
        <f>HEX2DEC(RIGHT(Table1323212714[[#This Row],[h1]],8))</f>
        <v>0</v>
      </c>
      <c r="Q1667" s="51" t="s">
        <v>149</v>
      </c>
      <c r="R1667" s="51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1" t="s">
        <v>149</v>
      </c>
      <c r="P1668" s="51">
        <f>HEX2DEC(RIGHT(Table1323212714[[#This Row],[h1]],8))</f>
        <v>0</v>
      </c>
      <c r="Q1668" s="51" t="s">
        <v>149</v>
      </c>
      <c r="R1668" s="51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1" t="s">
        <v>149</v>
      </c>
      <c r="P1669" s="51">
        <f>HEX2DEC(RIGHT(Table1323212714[[#This Row],[h1]],8))</f>
        <v>0</v>
      </c>
      <c r="Q1669" s="51" t="s">
        <v>149</v>
      </c>
      <c r="R1669" s="51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1" t="s">
        <v>149</v>
      </c>
      <c r="P1670" s="51">
        <f>HEX2DEC(RIGHT(Table1323212714[[#This Row],[h1]],8))</f>
        <v>0</v>
      </c>
      <c r="Q1670" s="51" t="s">
        <v>149</v>
      </c>
      <c r="R1670" s="51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1" t="s">
        <v>149</v>
      </c>
      <c r="P1671" s="51">
        <f>HEX2DEC(RIGHT(Table1323212714[[#This Row],[h1]],8))</f>
        <v>0</v>
      </c>
      <c r="Q1671" s="51" t="s">
        <v>149</v>
      </c>
      <c r="R1671" s="51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1" t="s">
        <v>149</v>
      </c>
      <c r="P1672" s="51">
        <f>HEX2DEC(RIGHT(Table1323212714[[#This Row],[h1]],8))</f>
        <v>0</v>
      </c>
      <c r="Q1672" s="51" t="s">
        <v>149</v>
      </c>
      <c r="R1672" s="51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1" t="s">
        <v>149</v>
      </c>
      <c r="P1673" s="51">
        <f>HEX2DEC(RIGHT(Table1323212714[[#This Row],[h1]],8))</f>
        <v>0</v>
      </c>
      <c r="Q1673" s="51" t="s">
        <v>149</v>
      </c>
      <c r="R1673" s="51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1" t="s">
        <v>149</v>
      </c>
      <c r="P1674" s="51">
        <f>HEX2DEC(RIGHT(Table1323212714[[#This Row],[h1]],8))</f>
        <v>0</v>
      </c>
      <c r="Q1674" s="51" t="s">
        <v>149</v>
      </c>
      <c r="R1674" s="51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1" t="s">
        <v>149</v>
      </c>
      <c r="P1675" s="51">
        <f>HEX2DEC(RIGHT(Table1323212714[[#This Row],[h1]],8))</f>
        <v>0</v>
      </c>
      <c r="Q1675" s="51" t="s">
        <v>149</v>
      </c>
      <c r="R1675" s="51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1" t="s">
        <v>149</v>
      </c>
      <c r="P1676" s="51">
        <f>HEX2DEC(RIGHT(Table1323212714[[#This Row],[h1]],8))</f>
        <v>0</v>
      </c>
      <c r="Q1676" s="51" t="s">
        <v>149</v>
      </c>
      <c r="R1676" s="51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1" t="s">
        <v>149</v>
      </c>
      <c r="P1677" s="51">
        <f>HEX2DEC(RIGHT(Table1323212714[[#This Row],[h1]],8))</f>
        <v>0</v>
      </c>
      <c r="Q1677" s="51" t="s">
        <v>149</v>
      </c>
      <c r="R1677" s="51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1" t="s">
        <v>149</v>
      </c>
      <c r="P1678" s="51">
        <f>HEX2DEC(RIGHT(Table1323212714[[#This Row],[h1]],8))</f>
        <v>0</v>
      </c>
      <c r="Q1678" s="51" t="s">
        <v>149</v>
      </c>
      <c r="R1678" s="51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1" t="s">
        <v>149</v>
      </c>
      <c r="P1679" s="51">
        <f>HEX2DEC(RIGHT(Table1323212714[[#This Row],[h1]],8))</f>
        <v>0</v>
      </c>
      <c r="Q1679" s="51" t="s">
        <v>149</v>
      </c>
      <c r="R1679" s="51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1" t="s">
        <v>149</v>
      </c>
      <c r="P1680" s="51">
        <f>HEX2DEC(RIGHT(Table1323212714[[#This Row],[h1]],8))</f>
        <v>0</v>
      </c>
      <c r="Q1680" s="51" t="s">
        <v>149</v>
      </c>
      <c r="R1680" s="51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1" t="s">
        <v>149</v>
      </c>
      <c r="P1681" s="51">
        <f>HEX2DEC(RIGHT(Table1323212714[[#This Row],[h1]],8))</f>
        <v>0</v>
      </c>
      <c r="Q1681" s="51" t="s">
        <v>149</v>
      </c>
      <c r="R1681" s="51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1" t="s">
        <v>149</v>
      </c>
      <c r="P1682" s="51">
        <f>HEX2DEC(RIGHT(Table1323212714[[#This Row],[h1]],8))</f>
        <v>0</v>
      </c>
      <c r="Q1682" s="51" t="s">
        <v>149</v>
      </c>
      <c r="R1682" s="51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1" t="s">
        <v>149</v>
      </c>
      <c r="P1683" s="51">
        <f>HEX2DEC(RIGHT(Table1323212714[[#This Row],[h1]],8))</f>
        <v>0</v>
      </c>
      <c r="Q1683" s="51" t="s">
        <v>149</v>
      </c>
      <c r="R1683" s="51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1" t="s">
        <v>149</v>
      </c>
      <c r="P1684" s="51">
        <f>HEX2DEC(RIGHT(Table1323212714[[#This Row],[h1]],8))</f>
        <v>0</v>
      </c>
      <c r="Q1684" s="51" t="s">
        <v>149</v>
      </c>
      <c r="R1684" s="51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1" t="s">
        <v>149</v>
      </c>
      <c r="P1685" s="51">
        <f>HEX2DEC(RIGHT(Table1323212714[[#This Row],[h1]],8))</f>
        <v>0</v>
      </c>
      <c r="Q1685" s="51" t="s">
        <v>149</v>
      </c>
      <c r="R1685" s="51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1" t="s">
        <v>149</v>
      </c>
      <c r="P1686" s="51">
        <f>HEX2DEC(RIGHT(Table1323212714[[#This Row],[h1]],8))</f>
        <v>0</v>
      </c>
      <c r="Q1686" s="51" t="s">
        <v>149</v>
      </c>
      <c r="R1686" s="51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1" t="s">
        <v>149</v>
      </c>
      <c r="P1687" s="51">
        <f>HEX2DEC(RIGHT(Table1323212714[[#This Row],[h1]],8))</f>
        <v>0</v>
      </c>
      <c r="Q1687" s="51" t="s">
        <v>149</v>
      </c>
      <c r="R1687" s="51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1" t="s">
        <v>149</v>
      </c>
      <c r="P1688" s="51">
        <f>HEX2DEC(RIGHT(Table1323212714[[#This Row],[h1]],8))</f>
        <v>0</v>
      </c>
      <c r="Q1688" s="51" t="s">
        <v>149</v>
      </c>
      <c r="R1688" s="51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1" t="s">
        <v>149</v>
      </c>
      <c r="P1689" s="51">
        <f>HEX2DEC(RIGHT(Table1323212714[[#This Row],[h1]],8))</f>
        <v>0</v>
      </c>
      <c r="Q1689" s="51" t="s">
        <v>149</v>
      </c>
      <c r="R1689" s="51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1" t="s">
        <v>149</v>
      </c>
      <c r="P1690" s="51">
        <f>HEX2DEC(RIGHT(Table1323212714[[#This Row],[h1]],8))</f>
        <v>0</v>
      </c>
      <c r="Q1690" s="51" t="s">
        <v>149</v>
      </c>
      <c r="R1690" s="51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1" t="s">
        <v>149</v>
      </c>
      <c r="P1691" s="51">
        <f>HEX2DEC(RIGHT(Table1323212714[[#This Row],[h1]],8))</f>
        <v>0</v>
      </c>
      <c r="Q1691" s="51" t="s">
        <v>149</v>
      </c>
      <c r="R1691" s="51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1" t="s">
        <v>149</v>
      </c>
      <c r="P1692" s="51">
        <f>HEX2DEC(RIGHT(Table1323212714[[#This Row],[h1]],8))</f>
        <v>0</v>
      </c>
      <c r="Q1692" s="51" t="s">
        <v>149</v>
      </c>
      <c r="R1692" s="51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1" t="s">
        <v>149</v>
      </c>
      <c r="P1693" s="51">
        <f>HEX2DEC(RIGHT(Table1323212714[[#This Row],[h1]],8))</f>
        <v>0</v>
      </c>
      <c r="Q1693" s="51" t="s">
        <v>149</v>
      </c>
      <c r="R1693" s="51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1" t="s">
        <v>149</v>
      </c>
      <c r="P1694" s="51">
        <f>HEX2DEC(RIGHT(Table1323212714[[#This Row],[h1]],8))</f>
        <v>0</v>
      </c>
      <c r="Q1694" s="51" t="s">
        <v>149</v>
      </c>
      <c r="R1694" s="51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1" t="s">
        <v>149</v>
      </c>
      <c r="P1695" s="51">
        <f>HEX2DEC(RIGHT(Table1323212714[[#This Row],[h1]],8))</f>
        <v>0</v>
      </c>
      <c r="Q1695" s="51" t="s">
        <v>149</v>
      </c>
      <c r="R1695" s="51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1" t="s">
        <v>149</v>
      </c>
      <c r="P1696" s="51">
        <f>HEX2DEC(RIGHT(Table1323212714[[#This Row],[h1]],8))</f>
        <v>0</v>
      </c>
      <c r="Q1696" s="51" t="s">
        <v>149</v>
      </c>
      <c r="R1696" s="51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1" t="s">
        <v>149</v>
      </c>
      <c r="P1697" s="51">
        <f>HEX2DEC(RIGHT(Table1323212714[[#This Row],[h1]],8))</f>
        <v>0</v>
      </c>
      <c r="Q1697" s="51" t="s">
        <v>149</v>
      </c>
      <c r="R1697" s="51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1" t="s">
        <v>149</v>
      </c>
      <c r="P1698" s="51">
        <f>HEX2DEC(RIGHT(Table1323212714[[#This Row],[h1]],8))</f>
        <v>0</v>
      </c>
      <c r="Q1698" s="51" t="s">
        <v>149</v>
      </c>
      <c r="R1698" s="51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1" t="s">
        <v>149</v>
      </c>
      <c r="P1699" s="51">
        <f>HEX2DEC(RIGHT(Table1323212714[[#This Row],[h1]],8))</f>
        <v>0</v>
      </c>
      <c r="Q1699" s="51" t="s">
        <v>149</v>
      </c>
      <c r="R1699" s="51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1" t="s">
        <v>149</v>
      </c>
      <c r="P1700" s="51">
        <f>HEX2DEC(RIGHT(Table1323212714[[#This Row],[h1]],8))</f>
        <v>0</v>
      </c>
      <c r="Q1700" s="51" t="s">
        <v>149</v>
      </c>
      <c r="R1700" s="51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1" t="s">
        <v>149</v>
      </c>
      <c r="P1701" s="51">
        <f>HEX2DEC(RIGHT(Table1323212714[[#This Row],[h1]],8))</f>
        <v>0</v>
      </c>
      <c r="Q1701" s="51" t="s">
        <v>149</v>
      </c>
      <c r="R1701" s="51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1" t="s">
        <v>149</v>
      </c>
      <c r="P1702" s="51">
        <f>HEX2DEC(RIGHT(Table1323212714[[#This Row],[h1]],8))</f>
        <v>0</v>
      </c>
      <c r="Q1702" s="51" t="s">
        <v>149</v>
      </c>
      <c r="R1702" s="51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1" t="s">
        <v>149</v>
      </c>
      <c r="P1703" s="51">
        <f>HEX2DEC(RIGHT(Table1323212714[[#This Row],[h1]],8))</f>
        <v>0</v>
      </c>
      <c r="Q1703" s="51" t="s">
        <v>149</v>
      </c>
      <c r="R1703" s="51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1" t="s">
        <v>149</v>
      </c>
      <c r="P1704" s="51">
        <f>HEX2DEC(RIGHT(Table1323212714[[#This Row],[h1]],8))</f>
        <v>0</v>
      </c>
      <c r="Q1704" s="51" t="s">
        <v>149</v>
      </c>
      <c r="R1704" s="51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1" t="s">
        <v>149</v>
      </c>
      <c r="P1705" s="51">
        <f>HEX2DEC(RIGHT(Table1323212714[[#This Row],[h1]],8))</f>
        <v>0</v>
      </c>
      <c r="Q1705" s="51" t="s">
        <v>149</v>
      </c>
      <c r="R1705" s="51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1" t="s">
        <v>149</v>
      </c>
      <c r="P1706" s="51">
        <f>HEX2DEC(RIGHT(Table1323212714[[#This Row],[h1]],8))</f>
        <v>0</v>
      </c>
      <c r="Q1706" s="51" t="s">
        <v>149</v>
      </c>
      <c r="R1706" s="51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1" t="s">
        <v>149</v>
      </c>
      <c r="P1707" s="51">
        <f>HEX2DEC(RIGHT(Table1323212714[[#This Row],[h1]],8))</f>
        <v>0</v>
      </c>
      <c r="Q1707" s="51" t="s">
        <v>149</v>
      </c>
      <c r="R1707" s="51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1" t="s">
        <v>149</v>
      </c>
      <c r="P1708" s="51">
        <f>HEX2DEC(RIGHT(Table1323212714[[#This Row],[h1]],8))</f>
        <v>0</v>
      </c>
      <c r="Q1708" s="51" t="s">
        <v>149</v>
      </c>
      <c r="R1708" s="51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1" t="s">
        <v>149</v>
      </c>
      <c r="P1709" s="51">
        <f>HEX2DEC(RIGHT(Table1323212714[[#This Row],[h1]],8))</f>
        <v>0</v>
      </c>
      <c r="Q1709" s="51" t="s">
        <v>149</v>
      </c>
      <c r="R1709" s="51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1" t="s">
        <v>149</v>
      </c>
      <c r="P1710" s="51">
        <f>HEX2DEC(RIGHT(Table1323212714[[#This Row],[h1]],8))</f>
        <v>0</v>
      </c>
      <c r="Q1710" s="51" t="s">
        <v>149</v>
      </c>
      <c r="R1710" s="51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1" t="s">
        <v>149</v>
      </c>
      <c r="P1711" s="51">
        <f>HEX2DEC(RIGHT(Table1323212714[[#This Row],[h1]],8))</f>
        <v>0</v>
      </c>
      <c r="Q1711" s="51" t="s">
        <v>149</v>
      </c>
      <c r="R1711" s="51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1" t="s">
        <v>149</v>
      </c>
      <c r="P1712" s="51">
        <f>HEX2DEC(RIGHT(Table1323212714[[#This Row],[h1]],8))</f>
        <v>0</v>
      </c>
      <c r="Q1712" s="51" t="s">
        <v>149</v>
      </c>
      <c r="R1712" s="51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1" t="s">
        <v>149</v>
      </c>
      <c r="P1713" s="51">
        <f>HEX2DEC(RIGHT(Table1323212714[[#This Row],[h1]],8))</f>
        <v>0</v>
      </c>
      <c r="Q1713" s="51" t="s">
        <v>149</v>
      </c>
      <c r="R1713" s="51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1" t="s">
        <v>149</v>
      </c>
      <c r="P1714" s="51">
        <f>HEX2DEC(RIGHT(Table1323212714[[#This Row],[h1]],8))</f>
        <v>0</v>
      </c>
      <c r="Q1714" s="51" t="s">
        <v>149</v>
      </c>
      <c r="R1714" s="51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1" t="s">
        <v>149</v>
      </c>
      <c r="P1715" s="51">
        <f>HEX2DEC(RIGHT(Table1323212714[[#This Row],[h1]],8))</f>
        <v>0</v>
      </c>
      <c r="Q1715" s="51" t="s">
        <v>149</v>
      </c>
      <c r="R1715" s="51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1" t="s">
        <v>149</v>
      </c>
      <c r="P1716" s="51">
        <f>HEX2DEC(RIGHT(Table1323212714[[#This Row],[h1]],8))</f>
        <v>0</v>
      </c>
      <c r="Q1716" s="51" t="s">
        <v>149</v>
      </c>
      <c r="R1716" s="51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1" t="s">
        <v>149</v>
      </c>
      <c r="P1717" s="51">
        <f>HEX2DEC(RIGHT(Table1323212714[[#This Row],[h1]],8))</f>
        <v>0</v>
      </c>
      <c r="Q1717" s="51" t="s">
        <v>149</v>
      </c>
      <c r="R1717" s="51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1" t="s">
        <v>149</v>
      </c>
      <c r="P1718" s="51">
        <f>HEX2DEC(RIGHT(Table1323212714[[#This Row],[h1]],8))</f>
        <v>0</v>
      </c>
      <c r="Q1718" s="51" t="s">
        <v>149</v>
      </c>
      <c r="R1718" s="51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1" t="s">
        <v>149</v>
      </c>
      <c r="P1719" s="51">
        <f>HEX2DEC(RIGHT(Table1323212714[[#This Row],[h1]],8))</f>
        <v>0</v>
      </c>
      <c r="Q1719" s="51" t="s">
        <v>149</v>
      </c>
      <c r="R1719" s="51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1" t="s">
        <v>149</v>
      </c>
      <c r="P1720" s="51">
        <f>HEX2DEC(RIGHT(Table1323212714[[#This Row],[h1]],8))</f>
        <v>0</v>
      </c>
      <c r="Q1720" s="51" t="s">
        <v>149</v>
      </c>
      <c r="R1720" s="51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1" t="s">
        <v>149</v>
      </c>
      <c r="P1721" s="51">
        <f>HEX2DEC(RIGHT(Table1323212714[[#This Row],[h1]],8))</f>
        <v>0</v>
      </c>
      <c r="Q1721" s="51" t="s">
        <v>149</v>
      </c>
      <c r="R1721" s="51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1" t="s">
        <v>149</v>
      </c>
      <c r="P1722" s="51">
        <f>HEX2DEC(RIGHT(Table1323212714[[#This Row],[h1]],8))</f>
        <v>0</v>
      </c>
      <c r="Q1722" s="51" t="s">
        <v>149</v>
      </c>
      <c r="R1722" s="51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1" t="s">
        <v>149</v>
      </c>
      <c r="P1723" s="51">
        <f>HEX2DEC(RIGHT(Table1323212714[[#This Row],[h1]],8))</f>
        <v>0</v>
      </c>
      <c r="Q1723" s="51" t="s">
        <v>149</v>
      </c>
      <c r="R1723" s="51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1" t="s">
        <v>149</v>
      </c>
      <c r="P1724" s="51">
        <f>HEX2DEC(RIGHT(Table1323212714[[#This Row],[h1]],8))</f>
        <v>0</v>
      </c>
      <c r="Q1724" s="51" t="s">
        <v>149</v>
      </c>
      <c r="R1724" s="51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1" t="s">
        <v>149</v>
      </c>
      <c r="P1725" s="51">
        <f>HEX2DEC(RIGHT(Table1323212714[[#This Row],[h1]],8))</f>
        <v>0</v>
      </c>
      <c r="Q1725" s="51" t="s">
        <v>149</v>
      </c>
      <c r="R1725" s="51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1" t="s">
        <v>149</v>
      </c>
      <c r="P1726" s="51">
        <f>HEX2DEC(RIGHT(Table1323212714[[#This Row],[h1]],8))</f>
        <v>0</v>
      </c>
      <c r="Q1726" s="51" t="s">
        <v>149</v>
      </c>
      <c r="R1726" s="51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1" t="s">
        <v>149</v>
      </c>
      <c r="P1727" s="51">
        <f>HEX2DEC(RIGHT(Table1323212714[[#This Row],[h1]],8))</f>
        <v>0</v>
      </c>
      <c r="Q1727" s="51" t="s">
        <v>149</v>
      </c>
      <c r="R1727" s="51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1" t="s">
        <v>149</v>
      </c>
      <c r="P1728" s="51">
        <f>HEX2DEC(RIGHT(Table1323212714[[#This Row],[h1]],8))</f>
        <v>0</v>
      </c>
      <c r="Q1728" s="51" t="s">
        <v>149</v>
      </c>
      <c r="R1728" s="51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1" t="s">
        <v>149</v>
      </c>
      <c r="P1729" s="51">
        <f>HEX2DEC(RIGHT(Table1323212714[[#This Row],[h1]],8))</f>
        <v>0</v>
      </c>
      <c r="Q1729" s="51" t="s">
        <v>149</v>
      </c>
      <c r="R1729" s="51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1" t="s">
        <v>149</v>
      </c>
      <c r="P1730" s="51">
        <f>HEX2DEC(RIGHT(Table1323212714[[#This Row],[h1]],8))</f>
        <v>0</v>
      </c>
      <c r="Q1730" s="51" t="s">
        <v>149</v>
      </c>
      <c r="R1730" s="51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1" t="s">
        <v>149</v>
      </c>
      <c r="P1731" s="51">
        <f>HEX2DEC(RIGHT(Table1323212714[[#This Row],[h1]],8))</f>
        <v>0</v>
      </c>
      <c r="Q1731" s="51" t="s">
        <v>149</v>
      </c>
      <c r="R1731" s="51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1" t="s">
        <v>149</v>
      </c>
      <c r="P1732" s="51">
        <f>HEX2DEC(RIGHT(Table1323212714[[#This Row],[h1]],8))</f>
        <v>0</v>
      </c>
      <c r="Q1732" s="51" t="s">
        <v>149</v>
      </c>
      <c r="R1732" s="51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1" t="s">
        <v>149</v>
      </c>
      <c r="P1733" s="51">
        <f>HEX2DEC(RIGHT(Table1323212714[[#This Row],[h1]],8))</f>
        <v>0</v>
      </c>
      <c r="Q1733" s="51" t="s">
        <v>149</v>
      </c>
      <c r="R1733" s="51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1" t="s">
        <v>149</v>
      </c>
      <c r="P1734" s="51">
        <f>HEX2DEC(RIGHT(Table1323212714[[#This Row],[h1]],8))</f>
        <v>0</v>
      </c>
      <c r="Q1734" s="51" t="s">
        <v>149</v>
      </c>
      <c r="R1734" s="51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1" t="s">
        <v>149</v>
      </c>
      <c r="P1735" s="51">
        <f>HEX2DEC(RIGHT(Table1323212714[[#This Row],[h1]],8))</f>
        <v>0</v>
      </c>
      <c r="Q1735" s="51" t="s">
        <v>149</v>
      </c>
      <c r="R1735" s="51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1" t="s">
        <v>149</v>
      </c>
      <c r="P1736" s="51">
        <f>HEX2DEC(RIGHT(Table1323212714[[#This Row],[h1]],8))</f>
        <v>0</v>
      </c>
      <c r="Q1736" s="51" t="s">
        <v>149</v>
      </c>
      <c r="R1736" s="51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1" t="s">
        <v>149</v>
      </c>
      <c r="P1737" s="51">
        <f>HEX2DEC(RIGHT(Table1323212714[[#This Row],[h1]],8))</f>
        <v>0</v>
      </c>
      <c r="Q1737" s="51" t="s">
        <v>149</v>
      </c>
      <c r="R1737" s="51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1" t="s">
        <v>149</v>
      </c>
      <c r="P1738" s="51">
        <f>HEX2DEC(RIGHT(Table1323212714[[#This Row],[h1]],8))</f>
        <v>0</v>
      </c>
      <c r="Q1738" s="51" t="s">
        <v>149</v>
      </c>
      <c r="R1738" s="51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1" t="s">
        <v>149</v>
      </c>
      <c r="P1739" s="51">
        <f>HEX2DEC(RIGHT(Table1323212714[[#This Row],[h1]],8))</f>
        <v>0</v>
      </c>
      <c r="Q1739" s="51" t="s">
        <v>149</v>
      </c>
      <c r="R1739" s="51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1" t="s">
        <v>149</v>
      </c>
      <c r="P1740" s="51">
        <f>HEX2DEC(RIGHT(Table1323212714[[#This Row],[h1]],8))</f>
        <v>0</v>
      </c>
      <c r="Q1740" s="51" t="s">
        <v>149</v>
      </c>
      <c r="R1740" s="51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1" t="s">
        <v>149</v>
      </c>
      <c r="P1741" s="51">
        <f>HEX2DEC(RIGHT(Table1323212714[[#This Row],[h1]],8))</f>
        <v>0</v>
      </c>
      <c r="Q1741" s="51" t="s">
        <v>149</v>
      </c>
      <c r="R1741" s="51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1" t="s">
        <v>149</v>
      </c>
      <c r="P1742" s="51">
        <f>HEX2DEC(RIGHT(Table1323212714[[#This Row],[h1]],8))</f>
        <v>0</v>
      </c>
      <c r="Q1742" s="51" t="s">
        <v>149</v>
      </c>
      <c r="R1742" s="51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1" t="s">
        <v>149</v>
      </c>
      <c r="P1743" s="51">
        <f>HEX2DEC(RIGHT(Table1323212714[[#This Row],[h1]],8))</f>
        <v>0</v>
      </c>
      <c r="Q1743" s="51" t="s">
        <v>149</v>
      </c>
      <c r="R1743" s="51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1" t="s">
        <v>149</v>
      </c>
      <c r="P1744" s="51">
        <f>HEX2DEC(RIGHT(Table1323212714[[#This Row],[h1]],8))</f>
        <v>0</v>
      </c>
      <c r="Q1744" s="51" t="s">
        <v>149</v>
      </c>
      <c r="R1744" s="51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1" t="s">
        <v>149</v>
      </c>
      <c r="P1745" s="51">
        <f>HEX2DEC(RIGHT(Table1323212714[[#This Row],[h1]],8))</f>
        <v>0</v>
      </c>
      <c r="Q1745" s="51" t="s">
        <v>149</v>
      </c>
      <c r="R1745" s="51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1" t="s">
        <v>149</v>
      </c>
      <c r="P1746" s="51">
        <f>HEX2DEC(RIGHT(Table1323212714[[#This Row],[h1]],8))</f>
        <v>0</v>
      </c>
      <c r="Q1746" s="51" t="s">
        <v>149</v>
      </c>
      <c r="R1746" s="51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1" t="s">
        <v>149</v>
      </c>
      <c r="P1747" s="51">
        <f>HEX2DEC(RIGHT(Table1323212714[[#This Row],[h1]],8))</f>
        <v>0</v>
      </c>
      <c r="Q1747" s="51" t="s">
        <v>149</v>
      </c>
      <c r="R1747" s="51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1" t="s">
        <v>149</v>
      </c>
      <c r="P1748" s="51">
        <f>HEX2DEC(RIGHT(Table1323212714[[#This Row],[h1]],8))</f>
        <v>0</v>
      </c>
      <c r="Q1748" s="51" t="s">
        <v>149</v>
      </c>
      <c r="R1748" s="51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1" t="s">
        <v>149</v>
      </c>
      <c r="P1749" s="51">
        <f>HEX2DEC(RIGHT(Table1323212714[[#This Row],[h1]],8))</f>
        <v>0</v>
      </c>
      <c r="Q1749" s="51" t="s">
        <v>149</v>
      </c>
      <c r="R1749" s="51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1" t="s">
        <v>149</v>
      </c>
      <c r="P1750" s="51">
        <f>HEX2DEC(RIGHT(Table1323212714[[#This Row],[h1]],8))</f>
        <v>0</v>
      </c>
      <c r="Q1750" s="51" t="s">
        <v>149</v>
      </c>
      <c r="R1750" s="51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1" t="s">
        <v>149</v>
      </c>
      <c r="P1751" s="51">
        <f>HEX2DEC(RIGHT(Table1323212714[[#This Row],[h1]],8))</f>
        <v>0</v>
      </c>
      <c r="Q1751" s="51" t="s">
        <v>149</v>
      </c>
      <c r="R1751" s="51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1" t="s">
        <v>149</v>
      </c>
      <c r="P1752" s="51">
        <f>HEX2DEC(RIGHT(Table1323212714[[#This Row],[h1]],8))</f>
        <v>0</v>
      </c>
      <c r="Q1752" s="51" t="s">
        <v>149</v>
      </c>
      <c r="R1752" s="51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1" t="s">
        <v>149</v>
      </c>
      <c r="P1753" s="51">
        <f>HEX2DEC(RIGHT(Table1323212714[[#This Row],[h1]],8))</f>
        <v>0</v>
      </c>
      <c r="Q1753" s="51" t="s">
        <v>149</v>
      </c>
      <c r="R1753" s="51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1" t="s">
        <v>149</v>
      </c>
      <c r="P1754" s="51">
        <f>HEX2DEC(RIGHT(Table1323212714[[#This Row],[h1]],8))</f>
        <v>0</v>
      </c>
      <c r="Q1754" s="51" t="s">
        <v>149</v>
      </c>
      <c r="R1754" s="51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1" t="s">
        <v>149</v>
      </c>
      <c r="P1755" s="51">
        <f>HEX2DEC(RIGHT(Table1323212714[[#This Row],[h1]],8))</f>
        <v>0</v>
      </c>
      <c r="Q1755" s="51" t="s">
        <v>149</v>
      </c>
      <c r="R1755" s="51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1" t="s">
        <v>149</v>
      </c>
      <c r="P1756" s="51">
        <f>HEX2DEC(RIGHT(Table1323212714[[#This Row],[h1]],8))</f>
        <v>0</v>
      </c>
      <c r="Q1756" s="51" t="s">
        <v>149</v>
      </c>
      <c r="R1756" s="51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1" t="s">
        <v>149</v>
      </c>
      <c r="P1757" s="51">
        <f>HEX2DEC(RIGHT(Table1323212714[[#This Row],[h1]],8))</f>
        <v>0</v>
      </c>
      <c r="Q1757" s="51" t="s">
        <v>149</v>
      </c>
      <c r="R1757" s="51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1" t="s">
        <v>149</v>
      </c>
      <c r="P1758" s="51">
        <f>HEX2DEC(RIGHT(Table1323212714[[#This Row],[h1]],8))</f>
        <v>0</v>
      </c>
      <c r="Q1758" s="51" t="s">
        <v>149</v>
      </c>
      <c r="R1758" s="51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1" t="s">
        <v>149</v>
      </c>
      <c r="P1759" s="51">
        <f>HEX2DEC(RIGHT(Table1323212714[[#This Row],[h1]],8))</f>
        <v>0</v>
      </c>
      <c r="Q1759" s="51" t="s">
        <v>149</v>
      </c>
      <c r="R1759" s="51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1" t="s">
        <v>149</v>
      </c>
      <c r="P1760" s="51">
        <f>HEX2DEC(RIGHT(Table1323212714[[#This Row],[h1]],8))</f>
        <v>0</v>
      </c>
      <c r="Q1760" s="51" t="s">
        <v>149</v>
      </c>
      <c r="R1760" s="51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1" t="s">
        <v>149</v>
      </c>
      <c r="P1761" s="51">
        <f>HEX2DEC(RIGHT(Table1323212714[[#This Row],[h1]],8))</f>
        <v>0</v>
      </c>
      <c r="Q1761" s="51" t="s">
        <v>149</v>
      </c>
      <c r="R1761" s="51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1" t="s">
        <v>149</v>
      </c>
      <c r="P1762" s="51">
        <f>HEX2DEC(RIGHT(Table1323212714[[#This Row],[h1]],8))</f>
        <v>0</v>
      </c>
      <c r="Q1762" s="51" t="s">
        <v>149</v>
      </c>
      <c r="R1762" s="51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1" t="s">
        <v>149</v>
      </c>
      <c r="P1763" s="51">
        <f>HEX2DEC(RIGHT(Table1323212714[[#This Row],[h1]],8))</f>
        <v>0</v>
      </c>
      <c r="Q1763" s="51" t="s">
        <v>149</v>
      </c>
      <c r="R1763" s="51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1" t="s">
        <v>149</v>
      </c>
      <c r="P1764" s="51">
        <f>HEX2DEC(RIGHT(Table1323212714[[#This Row],[h1]],8))</f>
        <v>0</v>
      </c>
      <c r="Q1764" s="51" t="s">
        <v>149</v>
      </c>
      <c r="R1764" s="51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1" t="s">
        <v>149</v>
      </c>
      <c r="P1765" s="51">
        <f>HEX2DEC(RIGHT(Table1323212714[[#This Row],[h1]],8))</f>
        <v>0</v>
      </c>
      <c r="Q1765" s="51" t="s">
        <v>149</v>
      </c>
      <c r="R1765" s="51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1" t="s">
        <v>149</v>
      </c>
      <c r="P1766" s="51">
        <f>HEX2DEC(RIGHT(Table1323212714[[#This Row],[h1]],8))</f>
        <v>0</v>
      </c>
      <c r="Q1766" s="51" t="s">
        <v>149</v>
      </c>
      <c r="R1766" s="51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1" t="s">
        <v>149</v>
      </c>
      <c r="P1767" s="51">
        <f>HEX2DEC(RIGHT(Table1323212714[[#This Row],[h1]],8))</f>
        <v>0</v>
      </c>
      <c r="Q1767" s="51" t="s">
        <v>149</v>
      </c>
      <c r="R1767" s="51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1" t="s">
        <v>149</v>
      </c>
      <c r="P1768" s="51">
        <f>HEX2DEC(RIGHT(Table1323212714[[#This Row],[h1]],8))</f>
        <v>0</v>
      </c>
      <c r="Q1768" s="51" t="s">
        <v>149</v>
      </c>
      <c r="R1768" s="51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1" t="s">
        <v>149</v>
      </c>
      <c r="P1769" s="51">
        <f>HEX2DEC(RIGHT(Table1323212714[[#This Row],[h1]],8))</f>
        <v>0</v>
      </c>
      <c r="Q1769" s="51" t="s">
        <v>149</v>
      </c>
      <c r="R1769" s="51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1" t="s">
        <v>149</v>
      </c>
      <c r="P1770" s="51">
        <f>HEX2DEC(RIGHT(Table1323212714[[#This Row],[h1]],8))</f>
        <v>0</v>
      </c>
      <c r="Q1770" s="51" t="s">
        <v>149</v>
      </c>
      <c r="R1770" s="51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1" t="s">
        <v>149</v>
      </c>
      <c r="P1771" s="51">
        <f>HEX2DEC(RIGHT(Table1323212714[[#This Row],[h1]],8))</f>
        <v>0</v>
      </c>
      <c r="Q1771" s="51" t="s">
        <v>149</v>
      </c>
      <c r="R1771" s="51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1" t="s">
        <v>149</v>
      </c>
      <c r="P1772" s="51">
        <f>HEX2DEC(RIGHT(Table1323212714[[#This Row],[h1]],8))</f>
        <v>0</v>
      </c>
      <c r="Q1772" s="51" t="s">
        <v>149</v>
      </c>
      <c r="R1772" s="51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1" t="s">
        <v>149</v>
      </c>
      <c r="P1773" s="51">
        <f>HEX2DEC(RIGHT(Table1323212714[[#This Row],[h1]],8))</f>
        <v>0</v>
      </c>
      <c r="Q1773" s="51" t="s">
        <v>149</v>
      </c>
      <c r="R1773" s="51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1" t="s">
        <v>149</v>
      </c>
      <c r="P1774" s="51">
        <f>HEX2DEC(RIGHT(Table1323212714[[#This Row],[h1]],8))</f>
        <v>0</v>
      </c>
      <c r="Q1774" s="51" t="s">
        <v>149</v>
      </c>
      <c r="R1774" s="51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1" t="s">
        <v>149</v>
      </c>
      <c r="P1775" s="51">
        <f>HEX2DEC(RIGHT(Table1323212714[[#This Row],[h1]],8))</f>
        <v>0</v>
      </c>
      <c r="Q1775" s="51" t="s">
        <v>149</v>
      </c>
      <c r="R1775" s="51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1" t="s">
        <v>149</v>
      </c>
      <c r="P1776" s="51">
        <f>HEX2DEC(RIGHT(Table1323212714[[#This Row],[h1]],8))</f>
        <v>0</v>
      </c>
      <c r="Q1776" s="51" t="s">
        <v>149</v>
      </c>
      <c r="R1776" s="51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1" t="s">
        <v>149</v>
      </c>
      <c r="P1777" s="51">
        <f>HEX2DEC(RIGHT(Table1323212714[[#This Row],[h1]],8))</f>
        <v>0</v>
      </c>
      <c r="Q1777" s="51" t="s">
        <v>149</v>
      </c>
      <c r="R1777" s="51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1" t="s">
        <v>149</v>
      </c>
      <c r="P1778" s="51">
        <f>HEX2DEC(RIGHT(Table1323212714[[#This Row],[h1]],8))</f>
        <v>0</v>
      </c>
      <c r="Q1778" s="51" t="s">
        <v>149</v>
      </c>
      <c r="R1778" s="51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1" t="s">
        <v>149</v>
      </c>
      <c r="P1779" s="51">
        <f>HEX2DEC(RIGHT(Table1323212714[[#This Row],[h1]],8))</f>
        <v>0</v>
      </c>
      <c r="Q1779" s="51" t="s">
        <v>149</v>
      </c>
      <c r="R1779" s="51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1" t="s">
        <v>149</v>
      </c>
      <c r="P1780" s="51">
        <f>HEX2DEC(RIGHT(Table1323212714[[#This Row],[h1]],8))</f>
        <v>0</v>
      </c>
      <c r="Q1780" s="51" t="s">
        <v>149</v>
      </c>
      <c r="R1780" s="51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1" t="s">
        <v>149</v>
      </c>
      <c r="P1781" s="51">
        <f>HEX2DEC(RIGHT(Table1323212714[[#This Row],[h1]],8))</f>
        <v>0</v>
      </c>
      <c r="Q1781" s="51" t="s">
        <v>149</v>
      </c>
      <c r="R1781" s="51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1" t="s">
        <v>149</v>
      </c>
      <c r="P1782" s="51">
        <f>HEX2DEC(RIGHT(Table1323212714[[#This Row],[h1]],8))</f>
        <v>0</v>
      </c>
      <c r="Q1782" s="51" t="s">
        <v>149</v>
      </c>
      <c r="R1782" s="51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1" t="s">
        <v>149</v>
      </c>
      <c r="P1783" s="51">
        <f>HEX2DEC(RIGHT(Table1323212714[[#This Row],[h1]],8))</f>
        <v>0</v>
      </c>
      <c r="Q1783" s="51" t="s">
        <v>149</v>
      </c>
      <c r="R1783" s="51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1" t="s">
        <v>149</v>
      </c>
      <c r="P1784" s="51">
        <f>HEX2DEC(RIGHT(Table1323212714[[#This Row],[h1]],8))</f>
        <v>0</v>
      </c>
      <c r="Q1784" s="51" t="s">
        <v>149</v>
      </c>
      <c r="R1784" s="51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1" t="s">
        <v>149</v>
      </c>
      <c r="P1785" s="51">
        <f>HEX2DEC(RIGHT(Table1323212714[[#This Row],[h1]],8))</f>
        <v>0</v>
      </c>
      <c r="Q1785" s="51" t="s">
        <v>149</v>
      </c>
      <c r="R1785" s="51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1" t="s">
        <v>149</v>
      </c>
      <c r="P1786" s="51">
        <f>HEX2DEC(RIGHT(Table1323212714[[#This Row],[h1]],8))</f>
        <v>0</v>
      </c>
      <c r="Q1786" s="51" t="s">
        <v>149</v>
      </c>
      <c r="R1786" s="51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1" t="s">
        <v>149</v>
      </c>
      <c r="P1787" s="51">
        <f>HEX2DEC(RIGHT(Table1323212714[[#This Row],[h1]],8))</f>
        <v>0</v>
      </c>
      <c r="Q1787" s="51" t="s">
        <v>149</v>
      </c>
      <c r="R1787" s="51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1" t="s">
        <v>149</v>
      </c>
      <c r="P1788" s="51">
        <f>HEX2DEC(RIGHT(Table1323212714[[#This Row],[h1]],8))</f>
        <v>0</v>
      </c>
      <c r="Q1788" s="51" t="s">
        <v>149</v>
      </c>
      <c r="R1788" s="51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1" t="s">
        <v>149</v>
      </c>
      <c r="P1789" s="51">
        <f>HEX2DEC(RIGHT(Table1323212714[[#This Row],[h1]],8))</f>
        <v>0</v>
      </c>
      <c r="Q1789" s="51" t="s">
        <v>149</v>
      </c>
      <c r="R1789" s="51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1" t="s">
        <v>149</v>
      </c>
      <c r="P1790" s="51">
        <f>HEX2DEC(RIGHT(Table1323212714[[#This Row],[h1]],8))</f>
        <v>0</v>
      </c>
      <c r="Q1790" s="51" t="s">
        <v>149</v>
      </c>
      <c r="R1790" s="51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1" t="s">
        <v>149</v>
      </c>
      <c r="P1791" s="51">
        <f>HEX2DEC(RIGHT(Table1323212714[[#This Row],[h1]],8))</f>
        <v>0</v>
      </c>
      <c r="Q1791" s="51" t="s">
        <v>149</v>
      </c>
      <c r="R1791" s="51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1" t="s">
        <v>149</v>
      </c>
      <c r="P1792" s="51">
        <f>HEX2DEC(RIGHT(Table1323212714[[#This Row],[h1]],8))</f>
        <v>0</v>
      </c>
      <c r="Q1792" s="51" t="s">
        <v>149</v>
      </c>
      <c r="R1792" s="51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1" t="s">
        <v>149</v>
      </c>
      <c r="P1793" s="51">
        <f>HEX2DEC(RIGHT(Table1323212714[[#This Row],[h1]],8))</f>
        <v>0</v>
      </c>
      <c r="Q1793" s="51" t="s">
        <v>149</v>
      </c>
      <c r="R1793" s="51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1" t="s">
        <v>149</v>
      </c>
      <c r="P1794" s="51">
        <f>HEX2DEC(RIGHT(Table1323212714[[#This Row],[h1]],8))</f>
        <v>0</v>
      </c>
      <c r="Q1794" s="51" t="s">
        <v>149</v>
      </c>
      <c r="R1794" s="51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1" t="s">
        <v>149</v>
      </c>
      <c r="P1795" s="51">
        <f>HEX2DEC(RIGHT(Table1323212714[[#This Row],[h1]],8))</f>
        <v>0</v>
      </c>
      <c r="Q1795" s="51" t="s">
        <v>149</v>
      </c>
      <c r="R1795" s="51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1" t="s">
        <v>149</v>
      </c>
      <c r="P1796" s="51">
        <f>HEX2DEC(RIGHT(Table1323212714[[#This Row],[h1]],8))</f>
        <v>0</v>
      </c>
      <c r="Q1796" s="51" t="s">
        <v>149</v>
      </c>
      <c r="R1796" s="51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1" t="s">
        <v>149</v>
      </c>
      <c r="P1797" s="51">
        <f>HEX2DEC(RIGHT(Table1323212714[[#This Row],[h1]],8))</f>
        <v>0</v>
      </c>
      <c r="Q1797" s="51" t="s">
        <v>149</v>
      </c>
      <c r="R1797" s="51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1" t="s">
        <v>149</v>
      </c>
      <c r="P1798" s="51">
        <f>HEX2DEC(RIGHT(Table1323212714[[#This Row],[h1]],8))</f>
        <v>0</v>
      </c>
      <c r="Q1798" s="51" t="s">
        <v>149</v>
      </c>
      <c r="R1798" s="51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1" t="s">
        <v>149</v>
      </c>
      <c r="P1799" s="51">
        <f>HEX2DEC(RIGHT(Table1323212714[[#This Row],[h1]],8))</f>
        <v>0</v>
      </c>
      <c r="Q1799" s="51" t="s">
        <v>149</v>
      </c>
      <c r="R1799" s="51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1" t="s">
        <v>149</v>
      </c>
      <c r="P1800" s="51">
        <f>HEX2DEC(RIGHT(Table1323212714[[#This Row],[h1]],8))</f>
        <v>0</v>
      </c>
      <c r="Q1800" s="51" t="s">
        <v>149</v>
      </c>
      <c r="R1800" s="51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1" t="s">
        <v>149</v>
      </c>
      <c r="P1801" s="51">
        <f>HEX2DEC(RIGHT(Table1323212714[[#This Row],[h1]],8))</f>
        <v>0</v>
      </c>
      <c r="Q1801" s="51" t="s">
        <v>149</v>
      </c>
      <c r="R1801" s="51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1" t="s">
        <v>149</v>
      </c>
      <c r="P1802" s="51">
        <f>HEX2DEC(RIGHT(Table1323212714[[#This Row],[h1]],8))</f>
        <v>0</v>
      </c>
      <c r="Q1802" s="51" t="s">
        <v>149</v>
      </c>
      <c r="R1802" s="51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1" t="s">
        <v>149</v>
      </c>
      <c r="P1803" s="51">
        <f>HEX2DEC(RIGHT(Table1323212714[[#This Row],[h1]],8))</f>
        <v>0</v>
      </c>
      <c r="Q1803" s="51" t="s">
        <v>149</v>
      </c>
      <c r="R1803" s="51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1" t="s">
        <v>149</v>
      </c>
      <c r="P1804" s="51">
        <f>HEX2DEC(RIGHT(Table1323212714[[#This Row],[h1]],8))</f>
        <v>0</v>
      </c>
      <c r="Q1804" s="51" t="s">
        <v>149</v>
      </c>
      <c r="R1804" s="51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1" t="s">
        <v>149</v>
      </c>
      <c r="P1805" s="51">
        <f>HEX2DEC(RIGHT(Table1323212714[[#This Row],[h1]],8))</f>
        <v>0</v>
      </c>
      <c r="Q1805" s="51" t="s">
        <v>149</v>
      </c>
      <c r="R1805" s="51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1" t="s">
        <v>149</v>
      </c>
      <c r="P1806" s="51">
        <f>HEX2DEC(RIGHT(Table1323212714[[#This Row],[h1]],8))</f>
        <v>0</v>
      </c>
      <c r="Q1806" s="51" t="s">
        <v>149</v>
      </c>
      <c r="R1806" s="51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1" t="s">
        <v>149</v>
      </c>
      <c r="P1807" s="51">
        <f>HEX2DEC(RIGHT(Table1323212714[[#This Row],[h1]],8))</f>
        <v>0</v>
      </c>
      <c r="Q1807" s="51" t="s">
        <v>149</v>
      </c>
      <c r="R1807" s="51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1" t="s">
        <v>149</v>
      </c>
      <c r="P1808" s="51">
        <f>HEX2DEC(RIGHT(Table1323212714[[#This Row],[h1]],8))</f>
        <v>0</v>
      </c>
      <c r="Q1808" s="51" t="s">
        <v>149</v>
      </c>
      <c r="R1808" s="51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1" t="s">
        <v>149</v>
      </c>
      <c r="P1809" s="51">
        <f>HEX2DEC(RIGHT(Table1323212714[[#This Row],[h1]],8))</f>
        <v>0</v>
      </c>
      <c r="Q1809" s="51" t="s">
        <v>149</v>
      </c>
      <c r="R1809" s="51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1" t="s">
        <v>149</v>
      </c>
      <c r="P1810" s="51">
        <f>HEX2DEC(RIGHT(Table1323212714[[#This Row],[h1]],8))</f>
        <v>0</v>
      </c>
      <c r="Q1810" s="51" t="s">
        <v>149</v>
      </c>
      <c r="R1810" s="51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1" t="s">
        <v>149</v>
      </c>
      <c r="P1811" s="51">
        <f>HEX2DEC(RIGHT(Table1323212714[[#This Row],[h1]],8))</f>
        <v>0</v>
      </c>
      <c r="Q1811" s="51" t="s">
        <v>149</v>
      </c>
      <c r="R1811" s="51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1" t="s">
        <v>149</v>
      </c>
      <c r="P1812" s="51">
        <f>HEX2DEC(RIGHT(Table1323212714[[#This Row],[h1]],8))</f>
        <v>0</v>
      </c>
      <c r="Q1812" s="51" t="s">
        <v>149</v>
      </c>
      <c r="R1812" s="51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1" t="s">
        <v>149</v>
      </c>
      <c r="P1813" s="51">
        <f>HEX2DEC(RIGHT(Table1323212714[[#This Row],[h1]],8))</f>
        <v>0</v>
      </c>
      <c r="Q1813" s="51" t="s">
        <v>149</v>
      </c>
      <c r="R1813" s="51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1" t="s">
        <v>149</v>
      </c>
      <c r="P1814" s="51">
        <f>HEX2DEC(RIGHT(Table1323212714[[#This Row],[h1]],8))</f>
        <v>0</v>
      </c>
      <c r="Q1814" s="51" t="s">
        <v>149</v>
      </c>
      <c r="R1814" s="51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1" t="s">
        <v>149</v>
      </c>
      <c r="P1815" s="51">
        <f>HEX2DEC(RIGHT(Table1323212714[[#This Row],[h1]],8))</f>
        <v>0</v>
      </c>
      <c r="Q1815" s="51" t="s">
        <v>149</v>
      </c>
      <c r="R1815" s="51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1" t="s">
        <v>149</v>
      </c>
      <c r="P1816" s="51">
        <f>HEX2DEC(RIGHT(Table1323212714[[#This Row],[h1]],8))</f>
        <v>0</v>
      </c>
      <c r="Q1816" s="51" t="s">
        <v>149</v>
      </c>
      <c r="R1816" s="51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1" t="s">
        <v>149</v>
      </c>
      <c r="P1817" s="51">
        <f>HEX2DEC(RIGHT(Table1323212714[[#This Row],[h1]],8))</f>
        <v>0</v>
      </c>
      <c r="Q1817" s="51" t="s">
        <v>149</v>
      </c>
      <c r="R1817" s="51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1" t="s">
        <v>149</v>
      </c>
      <c r="P1818" s="51">
        <f>HEX2DEC(RIGHT(Table1323212714[[#This Row],[h1]],8))</f>
        <v>0</v>
      </c>
      <c r="Q1818" s="51" t="s">
        <v>149</v>
      </c>
      <c r="R1818" s="51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1" t="s">
        <v>149</v>
      </c>
      <c r="P1819" s="51">
        <f>HEX2DEC(RIGHT(Table1323212714[[#This Row],[h1]],8))</f>
        <v>0</v>
      </c>
      <c r="Q1819" s="51" t="s">
        <v>149</v>
      </c>
      <c r="R1819" s="51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1" t="s">
        <v>149</v>
      </c>
      <c r="P1820" s="51">
        <f>HEX2DEC(RIGHT(Table1323212714[[#This Row],[h1]],8))</f>
        <v>0</v>
      </c>
      <c r="Q1820" s="51" t="s">
        <v>149</v>
      </c>
      <c r="R1820" s="51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1" t="s">
        <v>149</v>
      </c>
      <c r="P1821" s="51">
        <f>HEX2DEC(RIGHT(Table1323212714[[#This Row],[h1]],8))</f>
        <v>0</v>
      </c>
      <c r="Q1821" s="51" t="s">
        <v>149</v>
      </c>
      <c r="R1821" s="51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1" t="s">
        <v>149</v>
      </c>
      <c r="P1822" s="51">
        <f>HEX2DEC(RIGHT(Table1323212714[[#This Row],[h1]],8))</f>
        <v>0</v>
      </c>
      <c r="Q1822" s="51" t="s">
        <v>149</v>
      </c>
      <c r="R1822" s="51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1" t="s">
        <v>149</v>
      </c>
      <c r="P1823" s="51">
        <f>HEX2DEC(RIGHT(Table1323212714[[#This Row],[h1]],8))</f>
        <v>0</v>
      </c>
      <c r="Q1823" s="51" t="s">
        <v>149</v>
      </c>
      <c r="R1823" s="51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1" t="s">
        <v>149</v>
      </c>
      <c r="P1824" s="51">
        <f>HEX2DEC(RIGHT(Table1323212714[[#This Row],[h1]],8))</f>
        <v>0</v>
      </c>
      <c r="Q1824" s="51" t="s">
        <v>149</v>
      </c>
      <c r="R1824" s="51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1" t="s">
        <v>149</v>
      </c>
      <c r="P1825" s="51">
        <f>HEX2DEC(RIGHT(Table1323212714[[#This Row],[h1]],8))</f>
        <v>0</v>
      </c>
      <c r="Q1825" s="51" t="s">
        <v>149</v>
      </c>
      <c r="R1825" s="51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1" t="s">
        <v>149</v>
      </c>
      <c r="P1826" s="51">
        <f>HEX2DEC(RIGHT(Table1323212714[[#This Row],[h1]],8))</f>
        <v>0</v>
      </c>
      <c r="Q1826" s="51" t="s">
        <v>149</v>
      </c>
      <c r="R1826" s="51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1" t="s">
        <v>149</v>
      </c>
      <c r="P1827" s="51">
        <f>HEX2DEC(RIGHT(Table1323212714[[#This Row],[h1]],8))</f>
        <v>0</v>
      </c>
      <c r="Q1827" s="51" t="s">
        <v>149</v>
      </c>
      <c r="R1827" s="51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1" t="s">
        <v>149</v>
      </c>
      <c r="P1828" s="51">
        <f>HEX2DEC(RIGHT(Table1323212714[[#This Row],[h1]],8))</f>
        <v>0</v>
      </c>
      <c r="Q1828" s="51" t="s">
        <v>149</v>
      </c>
      <c r="R1828" s="51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1" t="s">
        <v>149</v>
      </c>
      <c r="P1829" s="51">
        <f>HEX2DEC(RIGHT(Table1323212714[[#This Row],[h1]],8))</f>
        <v>0</v>
      </c>
      <c r="Q1829" s="51" t="s">
        <v>149</v>
      </c>
      <c r="R1829" s="51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1" t="s">
        <v>149</v>
      </c>
      <c r="P1830" s="51">
        <f>HEX2DEC(RIGHT(Table1323212714[[#This Row],[h1]],8))</f>
        <v>0</v>
      </c>
      <c r="Q1830" s="51" t="s">
        <v>149</v>
      </c>
      <c r="R1830" s="51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1" t="s">
        <v>149</v>
      </c>
      <c r="P1831" s="51">
        <f>HEX2DEC(RIGHT(Table1323212714[[#This Row],[h1]],8))</f>
        <v>0</v>
      </c>
      <c r="Q1831" s="51" t="s">
        <v>149</v>
      </c>
      <c r="R1831" s="51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1" t="s">
        <v>149</v>
      </c>
      <c r="P1832" s="51">
        <f>HEX2DEC(RIGHT(Table1323212714[[#This Row],[h1]],8))</f>
        <v>0</v>
      </c>
      <c r="Q1832" s="51" t="s">
        <v>149</v>
      </c>
      <c r="R1832" s="51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1" t="s">
        <v>149</v>
      </c>
      <c r="P1833" s="51">
        <f>HEX2DEC(RIGHT(Table1323212714[[#This Row],[h1]],8))</f>
        <v>0</v>
      </c>
      <c r="Q1833" s="51" t="s">
        <v>149</v>
      </c>
      <c r="R1833" s="51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1" t="s">
        <v>149</v>
      </c>
      <c r="P1834" s="51">
        <f>HEX2DEC(RIGHT(Table1323212714[[#This Row],[h1]],8))</f>
        <v>0</v>
      </c>
      <c r="Q1834" s="51" t="s">
        <v>149</v>
      </c>
      <c r="R1834" s="51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1" t="s">
        <v>149</v>
      </c>
      <c r="P1835" s="51">
        <f>HEX2DEC(RIGHT(Table1323212714[[#This Row],[h1]],8))</f>
        <v>0</v>
      </c>
      <c r="Q1835" s="51" t="s">
        <v>149</v>
      </c>
      <c r="R1835" s="51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1" t="s">
        <v>149</v>
      </c>
      <c r="P1836" s="51">
        <f>HEX2DEC(RIGHT(Table1323212714[[#This Row],[h1]],8))</f>
        <v>0</v>
      </c>
      <c r="Q1836" s="51" t="s">
        <v>149</v>
      </c>
      <c r="R1836" s="51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1" t="s">
        <v>149</v>
      </c>
      <c r="P1837" s="51">
        <f>HEX2DEC(RIGHT(Table1323212714[[#This Row],[h1]],8))</f>
        <v>0</v>
      </c>
      <c r="Q1837" s="51" t="s">
        <v>149</v>
      </c>
      <c r="R1837" s="51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1" t="s">
        <v>149</v>
      </c>
      <c r="P1838" s="51">
        <f>HEX2DEC(RIGHT(Table1323212714[[#This Row],[h1]],8))</f>
        <v>0</v>
      </c>
      <c r="Q1838" s="51" t="s">
        <v>149</v>
      </c>
      <c r="R1838" s="51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1" t="s">
        <v>149</v>
      </c>
      <c r="P1839" s="51">
        <f>HEX2DEC(RIGHT(Table1323212714[[#This Row],[h1]],8))</f>
        <v>0</v>
      </c>
      <c r="Q1839" s="51" t="s">
        <v>149</v>
      </c>
      <c r="R1839" s="51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1" t="s">
        <v>149</v>
      </c>
      <c r="P1840" s="51">
        <f>HEX2DEC(RIGHT(Table1323212714[[#This Row],[h1]],8))</f>
        <v>0</v>
      </c>
      <c r="Q1840" s="51" t="s">
        <v>149</v>
      </c>
      <c r="R1840" s="51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1" t="s">
        <v>149</v>
      </c>
      <c r="P1841" s="51">
        <f>HEX2DEC(RIGHT(Table1323212714[[#This Row],[h1]],8))</f>
        <v>0</v>
      </c>
      <c r="Q1841" s="51" t="s">
        <v>149</v>
      </c>
      <c r="R1841" s="51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1" t="s">
        <v>149</v>
      </c>
      <c r="P1842" s="51">
        <f>HEX2DEC(RIGHT(Table1323212714[[#This Row],[h1]],8))</f>
        <v>0</v>
      </c>
      <c r="Q1842" s="51" t="s">
        <v>149</v>
      </c>
      <c r="R1842" s="51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1" t="s">
        <v>149</v>
      </c>
      <c r="P1843" s="51">
        <f>HEX2DEC(RIGHT(Table1323212714[[#This Row],[h1]],8))</f>
        <v>0</v>
      </c>
      <c r="Q1843" s="51" t="s">
        <v>149</v>
      </c>
      <c r="R1843" s="51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1" t="s">
        <v>149</v>
      </c>
      <c r="P1844" s="51">
        <f>HEX2DEC(RIGHT(Table1323212714[[#This Row],[h1]],8))</f>
        <v>0</v>
      </c>
      <c r="Q1844" s="51" t="s">
        <v>149</v>
      </c>
      <c r="R1844" s="51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1" t="s">
        <v>149</v>
      </c>
      <c r="P1845" s="51">
        <f>HEX2DEC(RIGHT(Table1323212714[[#This Row],[h1]],8))</f>
        <v>0</v>
      </c>
      <c r="Q1845" s="51" t="s">
        <v>149</v>
      </c>
      <c r="R1845" s="51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1" t="s">
        <v>149</v>
      </c>
      <c r="P1846" s="51">
        <f>HEX2DEC(RIGHT(Table1323212714[[#This Row],[h1]],8))</f>
        <v>0</v>
      </c>
      <c r="Q1846" s="51" t="s">
        <v>149</v>
      </c>
      <c r="R1846" s="51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1" t="s">
        <v>149</v>
      </c>
      <c r="P1847" s="51">
        <f>HEX2DEC(RIGHT(Table1323212714[[#This Row],[h1]],8))</f>
        <v>0</v>
      </c>
      <c r="Q1847" s="51" t="s">
        <v>149</v>
      </c>
      <c r="R1847" s="51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1" t="s">
        <v>149</v>
      </c>
      <c r="P1848" s="51">
        <f>HEX2DEC(RIGHT(Table1323212714[[#This Row],[h1]],8))</f>
        <v>0</v>
      </c>
      <c r="Q1848" s="51" t="s">
        <v>149</v>
      </c>
      <c r="R1848" s="51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1" t="s">
        <v>149</v>
      </c>
      <c r="P1849" s="51">
        <f>HEX2DEC(RIGHT(Table1323212714[[#This Row],[h1]],8))</f>
        <v>0</v>
      </c>
      <c r="Q1849" s="51" t="s">
        <v>149</v>
      </c>
      <c r="R1849" s="51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1" t="s">
        <v>149</v>
      </c>
      <c r="P1850" s="51">
        <f>HEX2DEC(RIGHT(Table1323212714[[#This Row],[h1]],8))</f>
        <v>0</v>
      </c>
      <c r="Q1850" s="51" t="s">
        <v>149</v>
      </c>
      <c r="R1850" s="51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1" t="s">
        <v>149</v>
      </c>
      <c r="P1851" s="51">
        <f>HEX2DEC(RIGHT(Table1323212714[[#This Row],[h1]],8))</f>
        <v>0</v>
      </c>
      <c r="Q1851" s="51" t="s">
        <v>149</v>
      </c>
      <c r="R1851" s="51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1" t="s">
        <v>149</v>
      </c>
      <c r="P1852" s="51">
        <f>HEX2DEC(RIGHT(Table1323212714[[#This Row],[h1]],8))</f>
        <v>0</v>
      </c>
      <c r="Q1852" s="51" t="s">
        <v>149</v>
      </c>
      <c r="R1852" s="51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1" t="s">
        <v>149</v>
      </c>
      <c r="P1853" s="51">
        <f>HEX2DEC(RIGHT(Table1323212714[[#This Row],[h1]],8))</f>
        <v>0</v>
      </c>
      <c r="Q1853" s="51" t="s">
        <v>149</v>
      </c>
      <c r="R1853" s="51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1" t="s">
        <v>149</v>
      </c>
      <c r="P1854" s="51">
        <f>HEX2DEC(RIGHT(Table1323212714[[#This Row],[h1]],8))</f>
        <v>0</v>
      </c>
      <c r="Q1854" s="51" t="s">
        <v>149</v>
      </c>
      <c r="R1854" s="51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1" t="s">
        <v>149</v>
      </c>
      <c r="P1855" s="51">
        <f>HEX2DEC(RIGHT(Table1323212714[[#This Row],[h1]],8))</f>
        <v>0</v>
      </c>
      <c r="Q1855" s="51" t="s">
        <v>149</v>
      </c>
      <c r="R1855" s="51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1" t="s">
        <v>149</v>
      </c>
      <c r="P1856" s="51">
        <f>HEX2DEC(RIGHT(Table1323212714[[#This Row],[h1]],8))</f>
        <v>0</v>
      </c>
      <c r="Q1856" s="51" t="s">
        <v>149</v>
      </c>
      <c r="R1856" s="51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1" t="s">
        <v>149</v>
      </c>
      <c r="P1857" s="51">
        <f>HEX2DEC(RIGHT(Table1323212714[[#This Row],[h1]],8))</f>
        <v>0</v>
      </c>
      <c r="Q1857" s="51" t="s">
        <v>149</v>
      </c>
      <c r="R1857" s="51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1" t="s">
        <v>149</v>
      </c>
      <c r="P1858" s="51">
        <f>HEX2DEC(RIGHT(Table1323212714[[#This Row],[h1]],8))</f>
        <v>0</v>
      </c>
      <c r="Q1858" s="51" t="s">
        <v>149</v>
      </c>
      <c r="R1858" s="51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1" t="s">
        <v>149</v>
      </c>
      <c r="P1859" s="51">
        <f>HEX2DEC(RIGHT(Table1323212714[[#This Row],[h1]],8))</f>
        <v>0</v>
      </c>
      <c r="Q1859" s="51" t="s">
        <v>149</v>
      </c>
      <c r="R1859" s="51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1" t="s">
        <v>149</v>
      </c>
      <c r="P1860" s="51">
        <f>HEX2DEC(RIGHT(Table1323212714[[#This Row],[h1]],8))</f>
        <v>0</v>
      </c>
      <c r="Q1860" s="51" t="s">
        <v>149</v>
      </c>
      <c r="R1860" s="51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1" t="s">
        <v>149</v>
      </c>
      <c r="P1861" s="51">
        <f>HEX2DEC(RIGHT(Table1323212714[[#This Row],[h1]],8))</f>
        <v>0</v>
      </c>
      <c r="Q1861" s="51" t="s">
        <v>149</v>
      </c>
      <c r="R1861" s="51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1" t="s">
        <v>149</v>
      </c>
      <c r="P1862" s="51">
        <f>HEX2DEC(RIGHT(Table1323212714[[#This Row],[h1]],8))</f>
        <v>0</v>
      </c>
      <c r="Q1862" s="51" t="s">
        <v>149</v>
      </c>
      <c r="R1862" s="51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1" t="s">
        <v>149</v>
      </c>
      <c r="P1863" s="51">
        <f>HEX2DEC(RIGHT(Table1323212714[[#This Row],[h1]],8))</f>
        <v>0</v>
      </c>
      <c r="Q1863" s="51" t="s">
        <v>149</v>
      </c>
      <c r="R1863" s="51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1" t="s">
        <v>149</v>
      </c>
      <c r="P1864" s="51">
        <f>HEX2DEC(RIGHT(Table1323212714[[#This Row],[h1]],8))</f>
        <v>0</v>
      </c>
      <c r="Q1864" s="51" t="s">
        <v>149</v>
      </c>
      <c r="R1864" s="51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1" t="s">
        <v>149</v>
      </c>
      <c r="P1865" s="51">
        <f>HEX2DEC(RIGHT(Table1323212714[[#This Row],[h1]],8))</f>
        <v>0</v>
      </c>
      <c r="Q1865" s="51" t="s">
        <v>149</v>
      </c>
      <c r="R1865" s="51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1" t="s">
        <v>149</v>
      </c>
      <c r="P1866" s="51">
        <f>HEX2DEC(RIGHT(Table1323212714[[#This Row],[h1]],8))</f>
        <v>0</v>
      </c>
      <c r="Q1866" s="51" t="s">
        <v>149</v>
      </c>
      <c r="R1866" s="51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1" t="s">
        <v>149</v>
      </c>
      <c r="P1867" s="51">
        <f>HEX2DEC(RIGHT(Table1323212714[[#This Row],[h1]],8))</f>
        <v>0</v>
      </c>
      <c r="Q1867" s="51" t="s">
        <v>149</v>
      </c>
      <c r="R1867" s="51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1" t="s">
        <v>149</v>
      </c>
      <c r="P1868" s="51">
        <f>HEX2DEC(RIGHT(Table1323212714[[#This Row],[h1]],8))</f>
        <v>0</v>
      </c>
      <c r="Q1868" s="51" t="s">
        <v>149</v>
      </c>
      <c r="R1868" s="51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1" t="s">
        <v>149</v>
      </c>
      <c r="P1869" s="51">
        <f>HEX2DEC(RIGHT(Table1323212714[[#This Row],[h1]],8))</f>
        <v>0</v>
      </c>
      <c r="Q1869" s="51" t="s">
        <v>149</v>
      </c>
      <c r="R1869" s="51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1" t="s">
        <v>149</v>
      </c>
      <c r="P1870" s="51">
        <f>HEX2DEC(RIGHT(Table1323212714[[#This Row],[h1]],8))</f>
        <v>0</v>
      </c>
      <c r="Q1870" s="51" t="s">
        <v>149</v>
      </c>
      <c r="R1870" s="51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1" t="s">
        <v>149</v>
      </c>
      <c r="P1871" s="51">
        <f>HEX2DEC(RIGHT(Table1323212714[[#This Row],[h1]],8))</f>
        <v>0</v>
      </c>
      <c r="Q1871" s="51" t="s">
        <v>149</v>
      </c>
      <c r="R1871" s="51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1" t="s">
        <v>149</v>
      </c>
      <c r="P1872" s="51">
        <f>HEX2DEC(RIGHT(Table1323212714[[#This Row],[h1]],8))</f>
        <v>0</v>
      </c>
      <c r="Q1872" s="51" t="s">
        <v>149</v>
      </c>
      <c r="R1872" s="51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1" t="s">
        <v>149</v>
      </c>
      <c r="P1873" s="51">
        <f>HEX2DEC(RIGHT(Table1323212714[[#This Row],[h1]],8))</f>
        <v>0</v>
      </c>
      <c r="Q1873" s="51" t="s">
        <v>149</v>
      </c>
      <c r="R1873" s="51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1" t="s">
        <v>149</v>
      </c>
      <c r="P1874" s="51">
        <f>HEX2DEC(RIGHT(Table1323212714[[#This Row],[h1]],8))</f>
        <v>0</v>
      </c>
      <c r="Q1874" s="51" t="s">
        <v>149</v>
      </c>
      <c r="R1874" s="51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1" t="s">
        <v>149</v>
      </c>
      <c r="P1875" s="51">
        <f>HEX2DEC(RIGHT(Table1323212714[[#This Row],[h1]],8))</f>
        <v>0</v>
      </c>
      <c r="Q1875" s="51" t="s">
        <v>149</v>
      </c>
      <c r="R1875" s="51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1" t="s">
        <v>149</v>
      </c>
      <c r="P1876" s="51">
        <f>HEX2DEC(RIGHT(Table1323212714[[#This Row],[h1]],8))</f>
        <v>0</v>
      </c>
      <c r="Q1876" s="51" t="s">
        <v>149</v>
      </c>
      <c r="R1876" s="51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1" t="s">
        <v>149</v>
      </c>
      <c r="P1877" s="51">
        <f>HEX2DEC(RIGHT(Table1323212714[[#This Row],[h1]],8))</f>
        <v>0</v>
      </c>
      <c r="Q1877" s="51" t="s">
        <v>149</v>
      </c>
      <c r="R1877" s="51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1" t="s">
        <v>149</v>
      </c>
      <c r="P1878" s="51">
        <f>HEX2DEC(RIGHT(Table1323212714[[#This Row],[h1]],8))</f>
        <v>0</v>
      </c>
      <c r="Q1878" s="51" t="s">
        <v>149</v>
      </c>
      <c r="R1878" s="51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1" t="s">
        <v>149</v>
      </c>
      <c r="P1879" s="51">
        <f>HEX2DEC(RIGHT(Table1323212714[[#This Row],[h1]],8))</f>
        <v>0</v>
      </c>
      <c r="Q1879" s="51" t="s">
        <v>149</v>
      </c>
      <c r="R1879" s="51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1" t="s">
        <v>149</v>
      </c>
      <c r="P1880" s="51">
        <f>HEX2DEC(RIGHT(Table1323212714[[#This Row],[h1]],8))</f>
        <v>0</v>
      </c>
      <c r="Q1880" s="51" t="s">
        <v>149</v>
      </c>
      <c r="R1880" s="51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1" t="s">
        <v>149</v>
      </c>
      <c r="P1881" s="51">
        <f>HEX2DEC(RIGHT(Table1323212714[[#This Row],[h1]],8))</f>
        <v>0</v>
      </c>
      <c r="Q1881" s="51" t="s">
        <v>149</v>
      </c>
      <c r="R1881" s="51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1" t="s">
        <v>149</v>
      </c>
      <c r="P1882" s="51">
        <f>HEX2DEC(RIGHT(Table1323212714[[#This Row],[h1]],8))</f>
        <v>0</v>
      </c>
      <c r="Q1882" s="51" t="s">
        <v>149</v>
      </c>
      <c r="R1882" s="51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1" t="s">
        <v>149</v>
      </c>
      <c r="P1883" s="51">
        <f>HEX2DEC(RIGHT(Table1323212714[[#This Row],[h1]],8))</f>
        <v>0</v>
      </c>
      <c r="Q1883" s="51" t="s">
        <v>149</v>
      </c>
      <c r="R1883" s="51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1" t="s">
        <v>149</v>
      </c>
      <c r="P1884" s="51">
        <f>HEX2DEC(RIGHT(Table1323212714[[#This Row],[h1]],8))</f>
        <v>0</v>
      </c>
      <c r="Q1884" s="51" t="s">
        <v>149</v>
      </c>
      <c r="R1884" s="51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1" t="s">
        <v>149</v>
      </c>
      <c r="P1885" s="51">
        <f>HEX2DEC(RIGHT(Table1323212714[[#This Row],[h1]],8))</f>
        <v>0</v>
      </c>
      <c r="Q1885" s="51" t="s">
        <v>149</v>
      </c>
      <c r="R1885" s="51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1" t="s">
        <v>149</v>
      </c>
      <c r="P1886" s="51">
        <f>HEX2DEC(RIGHT(Table1323212714[[#This Row],[h1]],8))</f>
        <v>0</v>
      </c>
      <c r="Q1886" s="51" t="s">
        <v>149</v>
      </c>
      <c r="R1886" s="51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1" t="s">
        <v>149</v>
      </c>
      <c r="P1887" s="51">
        <f>HEX2DEC(RIGHT(Table1323212714[[#This Row],[h1]],8))</f>
        <v>0</v>
      </c>
      <c r="Q1887" s="51" t="s">
        <v>149</v>
      </c>
      <c r="R1887" s="51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1" t="s">
        <v>149</v>
      </c>
      <c r="P1888" s="51">
        <f>HEX2DEC(RIGHT(Table1323212714[[#This Row],[h1]],8))</f>
        <v>0</v>
      </c>
      <c r="Q1888" s="51" t="s">
        <v>149</v>
      </c>
      <c r="R1888" s="51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1" t="s">
        <v>149</v>
      </c>
      <c r="P1889" s="51">
        <f>HEX2DEC(RIGHT(Table1323212714[[#This Row],[h1]],8))</f>
        <v>0</v>
      </c>
      <c r="Q1889" s="51" t="s">
        <v>149</v>
      </c>
      <c r="R1889" s="51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1" t="s">
        <v>149</v>
      </c>
      <c r="P1890" s="51">
        <f>HEX2DEC(RIGHT(Table1323212714[[#This Row],[h1]],8))</f>
        <v>0</v>
      </c>
      <c r="Q1890" s="51" t="s">
        <v>149</v>
      </c>
      <c r="R1890" s="51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1" t="s">
        <v>149</v>
      </c>
      <c r="P1891" s="51">
        <f>HEX2DEC(RIGHT(Table1323212714[[#This Row],[h1]],8))</f>
        <v>0</v>
      </c>
      <c r="Q1891" s="51" t="s">
        <v>149</v>
      </c>
      <c r="R1891" s="51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1" t="s">
        <v>149</v>
      </c>
      <c r="P1892" s="51">
        <f>HEX2DEC(RIGHT(Table1323212714[[#This Row],[h1]],8))</f>
        <v>0</v>
      </c>
      <c r="Q1892" s="51" t="s">
        <v>149</v>
      </c>
      <c r="R1892" s="51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1" t="s">
        <v>149</v>
      </c>
      <c r="P1893" s="51">
        <f>HEX2DEC(RIGHT(Table1323212714[[#This Row],[h1]],8))</f>
        <v>0</v>
      </c>
      <c r="Q1893" s="51" t="s">
        <v>149</v>
      </c>
      <c r="R1893" s="51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1" t="s">
        <v>149</v>
      </c>
      <c r="P1894" s="51">
        <f>HEX2DEC(RIGHT(Table1323212714[[#This Row],[h1]],8))</f>
        <v>0</v>
      </c>
      <c r="Q1894" s="51" t="s">
        <v>149</v>
      </c>
      <c r="R1894" s="51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1" t="s">
        <v>149</v>
      </c>
      <c r="P1895" s="51">
        <f>HEX2DEC(RIGHT(Table1323212714[[#This Row],[h1]],8))</f>
        <v>0</v>
      </c>
      <c r="Q1895" s="51" t="s">
        <v>149</v>
      </c>
      <c r="R1895" s="51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1" t="s">
        <v>149</v>
      </c>
      <c r="P1896" s="51">
        <f>HEX2DEC(RIGHT(Table1323212714[[#This Row],[h1]],8))</f>
        <v>0</v>
      </c>
      <c r="Q1896" s="51" t="s">
        <v>149</v>
      </c>
      <c r="R1896" s="51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1" t="s">
        <v>149</v>
      </c>
      <c r="P1897" s="51">
        <f>HEX2DEC(RIGHT(Table1323212714[[#This Row],[h1]],8))</f>
        <v>0</v>
      </c>
      <c r="Q1897" s="51" t="s">
        <v>149</v>
      </c>
      <c r="R1897" s="51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1" t="s">
        <v>149</v>
      </c>
      <c r="P1898" s="51">
        <f>HEX2DEC(RIGHT(Table1323212714[[#This Row],[h1]],8))</f>
        <v>0</v>
      </c>
      <c r="Q1898" s="51" t="s">
        <v>149</v>
      </c>
      <c r="R1898" s="51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1" t="s">
        <v>149</v>
      </c>
      <c r="P1899" s="51">
        <f>HEX2DEC(RIGHT(Table1323212714[[#This Row],[h1]],8))</f>
        <v>0</v>
      </c>
      <c r="Q1899" s="51" t="s">
        <v>149</v>
      </c>
      <c r="R1899" s="51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1" t="s">
        <v>149</v>
      </c>
      <c r="P1900" s="51">
        <f>HEX2DEC(RIGHT(Table1323212714[[#This Row],[h1]],8))</f>
        <v>0</v>
      </c>
      <c r="Q1900" s="51" t="s">
        <v>149</v>
      </c>
      <c r="R1900" s="51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1" t="s">
        <v>149</v>
      </c>
      <c r="P1901" s="51">
        <f>HEX2DEC(RIGHT(Table1323212714[[#This Row],[h1]],8))</f>
        <v>0</v>
      </c>
      <c r="Q1901" s="51" t="s">
        <v>149</v>
      </c>
      <c r="R1901" s="51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1" t="s">
        <v>149</v>
      </c>
      <c r="P1902" s="51">
        <f>HEX2DEC(RIGHT(Table1323212714[[#This Row],[h1]],8))</f>
        <v>0</v>
      </c>
      <c r="Q1902" s="51" t="s">
        <v>149</v>
      </c>
      <c r="R1902" s="51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1" t="s">
        <v>149</v>
      </c>
      <c r="P1903" s="51">
        <f>HEX2DEC(RIGHT(Table1323212714[[#This Row],[h1]],8))</f>
        <v>0</v>
      </c>
      <c r="Q1903" s="51" t="s">
        <v>149</v>
      </c>
      <c r="R1903" s="51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1" t="s">
        <v>149</v>
      </c>
      <c r="P1904" s="51">
        <f>HEX2DEC(RIGHT(Table1323212714[[#This Row],[h1]],8))</f>
        <v>0</v>
      </c>
      <c r="Q1904" s="51" t="s">
        <v>149</v>
      </c>
      <c r="R1904" s="51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1" t="s">
        <v>149</v>
      </c>
      <c r="P1905" s="51">
        <f>HEX2DEC(RIGHT(Table1323212714[[#This Row],[h1]],8))</f>
        <v>0</v>
      </c>
      <c r="Q1905" s="51" t="s">
        <v>149</v>
      </c>
      <c r="R1905" s="51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1" t="s">
        <v>149</v>
      </c>
      <c r="P1906" s="51">
        <f>HEX2DEC(RIGHT(Table1323212714[[#This Row],[h1]],8))</f>
        <v>0</v>
      </c>
      <c r="Q1906" s="51" t="s">
        <v>149</v>
      </c>
      <c r="R1906" s="51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1" t="s">
        <v>149</v>
      </c>
      <c r="P1907" s="51">
        <f>HEX2DEC(RIGHT(Table1323212714[[#This Row],[h1]],8))</f>
        <v>0</v>
      </c>
      <c r="Q1907" s="51" t="s">
        <v>149</v>
      </c>
      <c r="R1907" s="51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1" t="s">
        <v>149</v>
      </c>
      <c r="P1908" s="51">
        <f>HEX2DEC(RIGHT(Table1323212714[[#This Row],[h1]],8))</f>
        <v>0</v>
      </c>
      <c r="Q1908" s="51" t="s">
        <v>149</v>
      </c>
      <c r="R1908" s="51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1" t="s">
        <v>149</v>
      </c>
      <c r="P1909" s="51">
        <f>HEX2DEC(RIGHT(Table1323212714[[#This Row],[h1]],8))</f>
        <v>0</v>
      </c>
      <c r="Q1909" s="51" t="s">
        <v>149</v>
      </c>
      <c r="R1909" s="51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1" t="s">
        <v>149</v>
      </c>
      <c r="P1910" s="51">
        <f>HEX2DEC(RIGHT(Table1323212714[[#This Row],[h1]],8))</f>
        <v>0</v>
      </c>
      <c r="Q1910" s="51" t="s">
        <v>149</v>
      </c>
      <c r="R1910" s="51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1" t="s">
        <v>149</v>
      </c>
      <c r="P1911" s="51">
        <f>HEX2DEC(RIGHT(Table1323212714[[#This Row],[h1]],8))</f>
        <v>0</v>
      </c>
      <c r="Q1911" s="51" t="s">
        <v>149</v>
      </c>
      <c r="R1911" s="51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1" t="s">
        <v>149</v>
      </c>
      <c r="P1912" s="51">
        <f>HEX2DEC(RIGHT(Table1323212714[[#This Row],[h1]],8))</f>
        <v>0</v>
      </c>
      <c r="Q1912" s="51" t="s">
        <v>149</v>
      </c>
      <c r="R1912" s="51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1" t="s">
        <v>149</v>
      </c>
      <c r="P1913" s="51">
        <f>HEX2DEC(RIGHT(Table1323212714[[#This Row],[h1]],8))</f>
        <v>0</v>
      </c>
      <c r="Q1913" s="51" t="s">
        <v>149</v>
      </c>
      <c r="R1913" s="51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1" t="s">
        <v>149</v>
      </c>
      <c r="P1914" s="51">
        <f>HEX2DEC(RIGHT(Table1323212714[[#This Row],[h1]],8))</f>
        <v>0</v>
      </c>
      <c r="Q1914" s="51" t="s">
        <v>149</v>
      </c>
      <c r="R1914" s="51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1" t="s">
        <v>149</v>
      </c>
      <c r="P1915" s="51">
        <f>HEX2DEC(RIGHT(Table1323212714[[#This Row],[h1]],8))</f>
        <v>0</v>
      </c>
      <c r="Q1915" s="51" t="s">
        <v>149</v>
      </c>
      <c r="R1915" s="51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1" t="s">
        <v>149</v>
      </c>
      <c r="P1916" s="51">
        <f>HEX2DEC(RIGHT(Table1323212714[[#This Row],[h1]],8))</f>
        <v>0</v>
      </c>
      <c r="Q1916" s="51" t="s">
        <v>149</v>
      </c>
      <c r="R1916" s="51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1" t="s">
        <v>149</v>
      </c>
      <c r="P1917" s="51">
        <f>HEX2DEC(RIGHT(Table1323212714[[#This Row],[h1]],8))</f>
        <v>0</v>
      </c>
      <c r="Q1917" s="51" t="s">
        <v>149</v>
      </c>
      <c r="R1917" s="51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1" t="s">
        <v>149</v>
      </c>
      <c r="P1918" s="51">
        <f>HEX2DEC(RIGHT(Table1323212714[[#This Row],[h1]],8))</f>
        <v>0</v>
      </c>
      <c r="Q1918" s="51" t="s">
        <v>149</v>
      </c>
      <c r="R1918" s="51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1" t="s">
        <v>149</v>
      </c>
      <c r="P1919" s="51">
        <f>HEX2DEC(RIGHT(Table1323212714[[#This Row],[h1]],8))</f>
        <v>0</v>
      </c>
      <c r="Q1919" s="51" t="s">
        <v>149</v>
      </c>
      <c r="R1919" s="51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1" t="s">
        <v>149</v>
      </c>
      <c r="P1920" s="51">
        <f>HEX2DEC(RIGHT(Table1323212714[[#This Row],[h1]],8))</f>
        <v>0</v>
      </c>
      <c r="Q1920" s="51" t="s">
        <v>149</v>
      </c>
      <c r="R1920" s="51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1" t="s">
        <v>149</v>
      </c>
      <c r="P1921" s="51">
        <f>HEX2DEC(RIGHT(Table1323212714[[#This Row],[h1]],8))</f>
        <v>0</v>
      </c>
      <c r="Q1921" s="51" t="s">
        <v>149</v>
      </c>
      <c r="R1921" s="51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1" t="s">
        <v>149</v>
      </c>
      <c r="P1922" s="51">
        <f>HEX2DEC(RIGHT(Table1323212714[[#This Row],[h1]],8))</f>
        <v>0</v>
      </c>
      <c r="Q1922" s="51" t="s">
        <v>149</v>
      </c>
      <c r="R1922" s="51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1" t="s">
        <v>149</v>
      </c>
      <c r="P1923" s="51">
        <f>HEX2DEC(RIGHT(Table1323212714[[#This Row],[h1]],8))</f>
        <v>0</v>
      </c>
      <c r="Q1923" s="51" t="s">
        <v>149</v>
      </c>
      <c r="R1923" s="51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1" t="s">
        <v>149</v>
      </c>
      <c r="P1924" s="51">
        <f>HEX2DEC(RIGHT(Table1323212714[[#This Row],[h1]],8))</f>
        <v>0</v>
      </c>
      <c r="Q1924" s="51" t="s">
        <v>149</v>
      </c>
      <c r="R1924" s="51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1" t="s">
        <v>149</v>
      </c>
      <c r="P1925" s="51">
        <f>HEX2DEC(RIGHT(Table1323212714[[#This Row],[h1]],8))</f>
        <v>0</v>
      </c>
      <c r="Q1925" s="51" t="s">
        <v>149</v>
      </c>
      <c r="R1925" s="51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1" t="s">
        <v>149</v>
      </c>
      <c r="P1926" s="51">
        <f>HEX2DEC(RIGHT(Table1323212714[[#This Row],[h1]],8))</f>
        <v>0</v>
      </c>
      <c r="Q1926" s="51" t="s">
        <v>149</v>
      </c>
      <c r="R1926" s="51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1" t="s">
        <v>149</v>
      </c>
      <c r="P1927" s="51">
        <f>HEX2DEC(RIGHT(Table1323212714[[#This Row],[h1]],8))</f>
        <v>0</v>
      </c>
      <c r="Q1927" s="51" t="s">
        <v>149</v>
      </c>
      <c r="R1927" s="51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1" t="s">
        <v>149</v>
      </c>
      <c r="P1928" s="51">
        <f>HEX2DEC(RIGHT(Table1323212714[[#This Row],[h1]],8))</f>
        <v>0</v>
      </c>
      <c r="Q1928" s="51" t="s">
        <v>149</v>
      </c>
      <c r="R1928" s="51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1" t="s">
        <v>149</v>
      </c>
      <c r="P1929" s="51">
        <f>HEX2DEC(RIGHT(Table1323212714[[#This Row],[h1]],8))</f>
        <v>0</v>
      </c>
      <c r="Q1929" s="51" t="s">
        <v>149</v>
      </c>
      <c r="R1929" s="51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1" t="s">
        <v>149</v>
      </c>
      <c r="P1930" s="51">
        <f>HEX2DEC(RIGHT(Table1323212714[[#This Row],[h1]],8))</f>
        <v>0</v>
      </c>
      <c r="Q1930" s="51" t="s">
        <v>149</v>
      </c>
      <c r="R1930" s="51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1" t="s">
        <v>149</v>
      </c>
      <c r="P1931" s="51">
        <f>HEX2DEC(RIGHT(Table1323212714[[#This Row],[h1]],8))</f>
        <v>0</v>
      </c>
      <c r="Q1931" s="51" t="s">
        <v>149</v>
      </c>
      <c r="R1931" s="51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1" t="s">
        <v>149</v>
      </c>
      <c r="P1932" s="51">
        <f>HEX2DEC(RIGHT(Table1323212714[[#This Row],[h1]],8))</f>
        <v>0</v>
      </c>
      <c r="Q1932" s="51" t="s">
        <v>149</v>
      </c>
      <c r="R1932" s="51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1" t="s">
        <v>149</v>
      </c>
      <c r="P1933" s="51">
        <f>HEX2DEC(RIGHT(Table1323212714[[#This Row],[h1]],8))</f>
        <v>0</v>
      </c>
      <c r="Q1933" s="51" t="s">
        <v>149</v>
      </c>
      <c r="R1933" s="51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1" t="s">
        <v>149</v>
      </c>
      <c r="P1934" s="51">
        <f>HEX2DEC(RIGHT(Table1323212714[[#This Row],[h1]],8))</f>
        <v>0</v>
      </c>
      <c r="Q1934" s="51" t="s">
        <v>149</v>
      </c>
      <c r="R1934" s="51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1" t="s">
        <v>149</v>
      </c>
      <c r="P1935" s="51">
        <f>HEX2DEC(RIGHT(Table1323212714[[#This Row],[h1]],8))</f>
        <v>0</v>
      </c>
      <c r="Q1935" s="51" t="s">
        <v>149</v>
      </c>
      <c r="R1935" s="51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1" t="s">
        <v>149</v>
      </c>
      <c r="P1936" s="51">
        <f>HEX2DEC(RIGHT(Table1323212714[[#This Row],[h1]],8))</f>
        <v>0</v>
      </c>
      <c r="Q1936" s="51" t="s">
        <v>149</v>
      </c>
      <c r="R1936" s="51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1" t="s">
        <v>149</v>
      </c>
      <c r="P1937" s="51">
        <f>HEX2DEC(RIGHT(Table1323212714[[#This Row],[h1]],8))</f>
        <v>0</v>
      </c>
      <c r="Q1937" s="51" t="s">
        <v>149</v>
      </c>
      <c r="R1937" s="51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1" t="s">
        <v>149</v>
      </c>
      <c r="P1938" s="51">
        <f>HEX2DEC(RIGHT(Table1323212714[[#This Row],[h1]],8))</f>
        <v>0</v>
      </c>
      <c r="Q1938" s="51" t="s">
        <v>149</v>
      </c>
      <c r="R1938" s="51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1" t="s">
        <v>149</v>
      </c>
      <c r="P1939" s="51">
        <f>HEX2DEC(RIGHT(Table1323212714[[#This Row],[h1]],8))</f>
        <v>0</v>
      </c>
      <c r="Q1939" s="51" t="s">
        <v>149</v>
      </c>
      <c r="R1939" s="51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1" t="s">
        <v>149</v>
      </c>
      <c r="P1940" s="51">
        <f>HEX2DEC(RIGHT(Table1323212714[[#This Row],[h1]],8))</f>
        <v>0</v>
      </c>
      <c r="Q1940" s="51" t="s">
        <v>149</v>
      </c>
      <c r="R1940" s="51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1" t="s">
        <v>149</v>
      </c>
      <c r="P1941" s="51">
        <f>HEX2DEC(RIGHT(Table1323212714[[#This Row],[h1]],8))</f>
        <v>0</v>
      </c>
      <c r="Q1941" s="51" t="s">
        <v>149</v>
      </c>
      <c r="R1941" s="51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1" t="s">
        <v>149</v>
      </c>
      <c r="P1942" s="51">
        <f>HEX2DEC(RIGHT(Table1323212714[[#This Row],[h1]],8))</f>
        <v>0</v>
      </c>
      <c r="Q1942" s="51" t="s">
        <v>149</v>
      </c>
      <c r="R1942" s="51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1" t="s">
        <v>149</v>
      </c>
      <c r="P1943" s="51">
        <f>HEX2DEC(RIGHT(Table1323212714[[#This Row],[h1]],8))</f>
        <v>0</v>
      </c>
      <c r="Q1943" s="51" t="s">
        <v>149</v>
      </c>
      <c r="R1943" s="51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1" t="s">
        <v>149</v>
      </c>
      <c r="P1944" s="51">
        <f>HEX2DEC(RIGHT(Table1323212714[[#This Row],[h1]],8))</f>
        <v>0</v>
      </c>
      <c r="Q1944" s="51" t="s">
        <v>149</v>
      </c>
      <c r="R1944" s="51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1" t="s">
        <v>149</v>
      </c>
      <c r="P1945" s="51">
        <f>HEX2DEC(RIGHT(Table1323212714[[#This Row],[h1]],8))</f>
        <v>0</v>
      </c>
      <c r="Q1945" s="51" t="s">
        <v>149</v>
      </c>
      <c r="R1945" s="51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1" t="s">
        <v>149</v>
      </c>
      <c r="P1946" s="51">
        <f>HEX2DEC(RIGHT(Table1323212714[[#This Row],[h1]],8))</f>
        <v>0</v>
      </c>
      <c r="Q1946" s="51" t="s">
        <v>149</v>
      </c>
      <c r="R1946" s="51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1" t="s">
        <v>149</v>
      </c>
      <c r="P1947" s="51">
        <f>HEX2DEC(RIGHT(Table1323212714[[#This Row],[h1]],8))</f>
        <v>0</v>
      </c>
      <c r="Q1947" s="51" t="s">
        <v>149</v>
      </c>
      <c r="R1947" s="51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1" t="s">
        <v>149</v>
      </c>
      <c r="P1948" s="51">
        <f>HEX2DEC(RIGHT(Table1323212714[[#This Row],[h1]],8))</f>
        <v>0</v>
      </c>
      <c r="Q1948" s="51" t="s">
        <v>149</v>
      </c>
      <c r="R1948" s="51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1" t="s">
        <v>149</v>
      </c>
      <c r="P1949" s="51">
        <f>HEX2DEC(RIGHT(Table1323212714[[#This Row],[h1]],8))</f>
        <v>0</v>
      </c>
      <c r="Q1949" s="51" t="s">
        <v>149</v>
      </c>
      <c r="R1949" s="51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1" t="s">
        <v>149</v>
      </c>
      <c r="P1950" s="51">
        <f>HEX2DEC(RIGHT(Table1323212714[[#This Row],[h1]],8))</f>
        <v>0</v>
      </c>
      <c r="Q1950" s="51" t="s">
        <v>149</v>
      </c>
      <c r="R1950" s="51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1" t="s">
        <v>149</v>
      </c>
      <c r="P1951" s="51">
        <f>HEX2DEC(RIGHT(Table1323212714[[#This Row],[h1]],8))</f>
        <v>0</v>
      </c>
      <c r="Q1951" s="51" t="s">
        <v>149</v>
      </c>
      <c r="R1951" s="51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1" t="s">
        <v>149</v>
      </c>
      <c r="P1952" s="51">
        <f>HEX2DEC(RIGHT(Table1323212714[[#This Row],[h1]],8))</f>
        <v>0</v>
      </c>
      <c r="Q1952" s="51" t="s">
        <v>149</v>
      </c>
      <c r="R1952" s="51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1" t="s">
        <v>149</v>
      </c>
      <c r="P1953" s="51">
        <f>HEX2DEC(RIGHT(Table1323212714[[#This Row],[h1]],8))</f>
        <v>0</v>
      </c>
      <c r="Q1953" s="51" t="s">
        <v>149</v>
      </c>
      <c r="R1953" s="51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1" t="s">
        <v>149</v>
      </c>
      <c r="P1954" s="51">
        <f>HEX2DEC(RIGHT(Table1323212714[[#This Row],[h1]],8))</f>
        <v>0</v>
      </c>
      <c r="Q1954" s="51" t="s">
        <v>149</v>
      </c>
      <c r="R1954" s="51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1" t="s">
        <v>149</v>
      </c>
      <c r="P1955" s="51">
        <f>HEX2DEC(RIGHT(Table1323212714[[#This Row],[h1]],8))</f>
        <v>0</v>
      </c>
      <c r="Q1955" s="51" t="s">
        <v>149</v>
      </c>
      <c r="R1955" s="51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1" t="s">
        <v>149</v>
      </c>
      <c r="P1956" s="51">
        <f>HEX2DEC(RIGHT(Table1323212714[[#This Row],[h1]],8))</f>
        <v>0</v>
      </c>
      <c r="Q1956" s="51" t="s">
        <v>149</v>
      </c>
      <c r="R1956" s="51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1" t="s">
        <v>149</v>
      </c>
      <c r="P1957" s="51">
        <f>HEX2DEC(RIGHT(Table1323212714[[#This Row],[h1]],8))</f>
        <v>0</v>
      </c>
      <c r="Q1957" s="51" t="s">
        <v>149</v>
      </c>
      <c r="R1957" s="51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1" t="s">
        <v>149</v>
      </c>
      <c r="P1958" s="51">
        <f>HEX2DEC(RIGHT(Table1323212714[[#This Row],[h1]],8))</f>
        <v>0</v>
      </c>
      <c r="Q1958" s="51" t="s">
        <v>149</v>
      </c>
      <c r="R1958" s="51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1" t="s">
        <v>149</v>
      </c>
      <c r="P1959" s="51">
        <f>HEX2DEC(RIGHT(Table1323212714[[#This Row],[h1]],8))</f>
        <v>0</v>
      </c>
      <c r="Q1959" s="51" t="s">
        <v>149</v>
      </c>
      <c r="R1959" s="51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1" t="s">
        <v>149</v>
      </c>
      <c r="P1960" s="51">
        <f>HEX2DEC(RIGHT(Table1323212714[[#This Row],[h1]],8))</f>
        <v>0</v>
      </c>
      <c r="Q1960" s="51" t="s">
        <v>149</v>
      </c>
      <c r="R1960" s="51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1" t="s">
        <v>149</v>
      </c>
      <c r="P1961" s="51">
        <f>HEX2DEC(RIGHT(Table1323212714[[#This Row],[h1]],8))</f>
        <v>0</v>
      </c>
      <c r="Q1961" s="51" t="s">
        <v>149</v>
      </c>
      <c r="R1961" s="51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1" t="s">
        <v>149</v>
      </c>
      <c r="P1962" s="51">
        <f>HEX2DEC(RIGHT(Table1323212714[[#This Row],[h1]],8))</f>
        <v>0</v>
      </c>
      <c r="Q1962" s="51" t="s">
        <v>149</v>
      </c>
      <c r="R1962" s="51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1" t="s">
        <v>149</v>
      </c>
      <c r="P1963" s="51">
        <f>HEX2DEC(RIGHT(Table1323212714[[#This Row],[h1]],8))</f>
        <v>0</v>
      </c>
      <c r="Q1963" s="51" t="s">
        <v>149</v>
      </c>
      <c r="R1963" s="51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1" t="s">
        <v>149</v>
      </c>
      <c r="P1964" s="51">
        <f>HEX2DEC(RIGHT(Table1323212714[[#This Row],[h1]],8))</f>
        <v>0</v>
      </c>
      <c r="Q1964" s="51" t="s">
        <v>149</v>
      </c>
      <c r="R1964" s="51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1" t="s">
        <v>149</v>
      </c>
      <c r="P1965" s="51">
        <f>HEX2DEC(RIGHT(Table1323212714[[#This Row],[h1]],8))</f>
        <v>0</v>
      </c>
      <c r="Q1965" s="51" t="s">
        <v>149</v>
      </c>
      <c r="R1965" s="51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1" t="s">
        <v>149</v>
      </c>
      <c r="P1966" s="51">
        <f>HEX2DEC(RIGHT(Table1323212714[[#This Row],[h1]],8))</f>
        <v>0</v>
      </c>
      <c r="Q1966" s="51" t="s">
        <v>149</v>
      </c>
      <c r="R1966" s="51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1" t="s">
        <v>149</v>
      </c>
      <c r="P1967" s="51">
        <f>HEX2DEC(RIGHT(Table1323212714[[#This Row],[h1]],8))</f>
        <v>0</v>
      </c>
      <c r="Q1967" s="51" t="s">
        <v>149</v>
      </c>
      <c r="R1967" s="51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1" t="s">
        <v>149</v>
      </c>
      <c r="P1968" s="51">
        <f>HEX2DEC(RIGHT(Table1323212714[[#This Row],[h1]],8))</f>
        <v>0</v>
      </c>
      <c r="Q1968" s="51" t="s">
        <v>149</v>
      </c>
      <c r="R1968" s="51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1" t="s">
        <v>149</v>
      </c>
      <c r="P1969" s="51">
        <f>HEX2DEC(RIGHT(Table1323212714[[#This Row],[h1]],8))</f>
        <v>0</v>
      </c>
      <c r="Q1969" s="51" t="s">
        <v>149</v>
      </c>
      <c r="R1969" s="51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1" t="s">
        <v>149</v>
      </c>
      <c r="P1970" s="51">
        <f>HEX2DEC(RIGHT(Table1323212714[[#This Row],[h1]],8))</f>
        <v>0</v>
      </c>
      <c r="Q1970" s="51" t="s">
        <v>149</v>
      </c>
      <c r="R1970" s="51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1" t="s">
        <v>149</v>
      </c>
      <c r="P1971" s="51">
        <f>HEX2DEC(RIGHT(Table1323212714[[#This Row],[h1]],8))</f>
        <v>0</v>
      </c>
      <c r="Q1971" s="51" t="s">
        <v>149</v>
      </c>
      <c r="R1971" s="51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1" t="s">
        <v>149</v>
      </c>
      <c r="P1972" s="51">
        <f>HEX2DEC(RIGHT(Table1323212714[[#This Row],[h1]],8))</f>
        <v>0</v>
      </c>
      <c r="Q1972" s="51" t="s">
        <v>149</v>
      </c>
      <c r="R1972" s="51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1" t="s">
        <v>149</v>
      </c>
      <c r="P1973" s="51">
        <f>HEX2DEC(RIGHT(Table1323212714[[#This Row],[h1]],8))</f>
        <v>0</v>
      </c>
      <c r="Q1973" s="51" t="s">
        <v>149</v>
      </c>
      <c r="R1973" s="51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1" t="s">
        <v>149</v>
      </c>
      <c r="P1974" s="51">
        <f>HEX2DEC(RIGHT(Table1323212714[[#This Row],[h1]],8))</f>
        <v>0</v>
      </c>
      <c r="Q1974" s="51" t="s">
        <v>149</v>
      </c>
      <c r="R1974" s="51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1" t="s">
        <v>149</v>
      </c>
      <c r="P1975" s="51">
        <f>HEX2DEC(RIGHT(Table1323212714[[#This Row],[h1]],8))</f>
        <v>0</v>
      </c>
      <c r="Q1975" s="51" t="s">
        <v>149</v>
      </c>
      <c r="R1975" s="51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1" t="s">
        <v>149</v>
      </c>
      <c r="P1976" s="51">
        <f>HEX2DEC(RIGHT(Table1323212714[[#This Row],[h1]],8))</f>
        <v>0</v>
      </c>
      <c r="Q1976" s="51" t="s">
        <v>149</v>
      </c>
      <c r="R1976" s="51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1" t="s">
        <v>149</v>
      </c>
      <c r="P1977" s="51">
        <f>HEX2DEC(RIGHT(Table1323212714[[#This Row],[h1]],8))</f>
        <v>0</v>
      </c>
      <c r="Q1977" s="51" t="s">
        <v>149</v>
      </c>
      <c r="R1977" s="51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1" t="s">
        <v>149</v>
      </c>
      <c r="P1978" s="51">
        <f>HEX2DEC(RIGHT(Table1323212714[[#This Row],[h1]],8))</f>
        <v>0</v>
      </c>
      <c r="Q1978" s="51" t="s">
        <v>149</v>
      </c>
      <c r="R1978" s="51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1" t="s">
        <v>149</v>
      </c>
      <c r="P1979" s="51">
        <f>HEX2DEC(RIGHT(Table1323212714[[#This Row],[h1]],8))</f>
        <v>0</v>
      </c>
      <c r="Q1979" s="51" t="s">
        <v>149</v>
      </c>
      <c r="R1979" s="51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1" t="s">
        <v>149</v>
      </c>
      <c r="P1980" s="51">
        <f>HEX2DEC(RIGHT(Table1323212714[[#This Row],[h1]],8))</f>
        <v>0</v>
      </c>
      <c r="Q1980" s="51" t="s">
        <v>149</v>
      </c>
      <c r="R1980" s="51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1" t="s">
        <v>149</v>
      </c>
      <c r="P1981" s="51">
        <f>HEX2DEC(RIGHT(Table1323212714[[#This Row],[h1]],8))</f>
        <v>0</v>
      </c>
      <c r="Q1981" s="51" t="s">
        <v>149</v>
      </c>
      <c r="R1981" s="51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1" t="s">
        <v>149</v>
      </c>
      <c r="P1982" s="51">
        <f>HEX2DEC(RIGHT(Table1323212714[[#This Row],[h1]],8))</f>
        <v>0</v>
      </c>
      <c r="Q1982" s="51" t="s">
        <v>149</v>
      </c>
      <c r="R1982" s="51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1" t="s">
        <v>149</v>
      </c>
      <c r="P1983" s="51">
        <f>HEX2DEC(RIGHT(Table1323212714[[#This Row],[h1]],8))</f>
        <v>0</v>
      </c>
      <c r="Q1983" s="51" t="s">
        <v>149</v>
      </c>
      <c r="R1983" s="51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1" t="s">
        <v>149</v>
      </c>
      <c r="P1984" s="51">
        <f>HEX2DEC(RIGHT(Table1323212714[[#This Row],[h1]],8))</f>
        <v>0</v>
      </c>
      <c r="Q1984" s="51" t="s">
        <v>149</v>
      </c>
      <c r="R1984" s="51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1" t="s">
        <v>149</v>
      </c>
      <c r="P1985" s="51">
        <f>HEX2DEC(RIGHT(Table1323212714[[#This Row],[h1]],8))</f>
        <v>0</v>
      </c>
      <c r="Q1985" s="51" t="s">
        <v>149</v>
      </c>
      <c r="R1985" s="51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1" t="s">
        <v>149</v>
      </c>
      <c r="P1986" s="51">
        <f>HEX2DEC(RIGHT(Table1323212714[[#This Row],[h1]],8))</f>
        <v>0</v>
      </c>
      <c r="Q1986" s="51" t="s">
        <v>149</v>
      </c>
      <c r="R1986" s="51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1" t="s">
        <v>149</v>
      </c>
      <c r="P1987" s="51">
        <f>HEX2DEC(RIGHT(Table1323212714[[#This Row],[h1]],8))</f>
        <v>0</v>
      </c>
      <c r="Q1987" s="51" t="s">
        <v>149</v>
      </c>
      <c r="R1987" s="51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1" t="s">
        <v>149</v>
      </c>
      <c r="P1988" s="51">
        <f>HEX2DEC(RIGHT(Table1323212714[[#This Row],[h1]],8))</f>
        <v>0</v>
      </c>
      <c r="Q1988" s="51" t="s">
        <v>149</v>
      </c>
      <c r="R1988" s="51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1" t="s">
        <v>149</v>
      </c>
      <c r="P1989" s="51">
        <f>HEX2DEC(RIGHT(Table1323212714[[#This Row],[h1]],8))</f>
        <v>0</v>
      </c>
      <c r="Q1989" s="51" t="s">
        <v>149</v>
      </c>
      <c r="R1989" s="51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1" t="s">
        <v>149</v>
      </c>
      <c r="P1990" s="51">
        <f>HEX2DEC(RIGHT(Table1323212714[[#This Row],[h1]],8))</f>
        <v>0</v>
      </c>
      <c r="Q1990" s="51" t="s">
        <v>149</v>
      </c>
      <c r="R1990" s="51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1" t="s">
        <v>149</v>
      </c>
      <c r="P1991" s="51">
        <f>HEX2DEC(RIGHT(Table1323212714[[#This Row],[h1]],8))</f>
        <v>0</v>
      </c>
      <c r="Q1991" s="51" t="s">
        <v>149</v>
      </c>
      <c r="R1991" s="51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1" t="s">
        <v>149</v>
      </c>
      <c r="P1992" s="51">
        <f>HEX2DEC(RIGHT(Table1323212714[[#This Row],[h1]],8))</f>
        <v>0</v>
      </c>
      <c r="Q1992" s="51" t="s">
        <v>149</v>
      </c>
      <c r="R1992" s="51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1" t="s">
        <v>149</v>
      </c>
      <c r="P1993" s="51">
        <f>HEX2DEC(RIGHT(Table1323212714[[#This Row],[h1]],8))</f>
        <v>0</v>
      </c>
      <c r="Q1993" s="51" t="s">
        <v>149</v>
      </c>
      <c r="R1993" s="51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1" t="s">
        <v>149</v>
      </c>
      <c r="P1994" s="51">
        <f>HEX2DEC(RIGHT(Table1323212714[[#This Row],[h1]],8))</f>
        <v>0</v>
      </c>
      <c r="Q1994" s="51" t="s">
        <v>149</v>
      </c>
      <c r="R1994" s="51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1" t="s">
        <v>149</v>
      </c>
      <c r="P1995" s="51">
        <f>HEX2DEC(RIGHT(Table1323212714[[#This Row],[h1]],8))</f>
        <v>0</v>
      </c>
      <c r="Q1995" s="51" t="s">
        <v>149</v>
      </c>
      <c r="R1995" s="51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1" t="s">
        <v>149</v>
      </c>
      <c r="P1996" s="51">
        <f>HEX2DEC(RIGHT(Table1323212714[[#This Row],[h1]],8))</f>
        <v>0</v>
      </c>
      <c r="Q1996" s="51" t="s">
        <v>149</v>
      </c>
      <c r="R1996" s="51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1" t="s">
        <v>149</v>
      </c>
      <c r="P1997" s="51">
        <f>HEX2DEC(RIGHT(Table1323212714[[#This Row],[h1]],8))</f>
        <v>0</v>
      </c>
      <c r="Q1997" s="51" t="s">
        <v>149</v>
      </c>
      <c r="R1997" s="51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1" t="s">
        <v>149</v>
      </c>
      <c r="P1998" s="51">
        <f>HEX2DEC(RIGHT(Table1323212714[[#This Row],[h1]],8))</f>
        <v>0</v>
      </c>
      <c r="Q1998" s="51" t="s">
        <v>149</v>
      </c>
      <c r="R1998" s="51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1" t="s">
        <v>149</v>
      </c>
      <c r="P1999" s="51">
        <f>HEX2DEC(RIGHT(Table1323212714[[#This Row],[h1]],8))</f>
        <v>0</v>
      </c>
      <c r="Q1999" s="51" t="s">
        <v>149</v>
      </c>
      <c r="R1999" s="51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1" t="s">
        <v>149</v>
      </c>
      <c r="P2000" s="51">
        <f>HEX2DEC(RIGHT(Table1323212714[[#This Row],[h1]],8))</f>
        <v>0</v>
      </c>
      <c r="Q2000" s="51" t="s">
        <v>149</v>
      </c>
      <c r="R2000" s="51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1" t="s">
        <v>149</v>
      </c>
      <c r="P2001" s="51">
        <f>HEX2DEC(RIGHT(Table1323212714[[#This Row],[h1]],8))</f>
        <v>0</v>
      </c>
      <c r="Q2001" s="51" t="s">
        <v>149</v>
      </c>
      <c r="R2001" s="51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1" t="s">
        <v>149</v>
      </c>
      <c r="P2002" s="51">
        <f>HEX2DEC(RIGHT(Table1323212714[[#This Row],[h1]],8))</f>
        <v>0</v>
      </c>
      <c r="Q2002" s="51" t="s">
        <v>149</v>
      </c>
      <c r="R2002" s="51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1" t="s">
        <v>149</v>
      </c>
      <c r="P2003" s="51">
        <f>HEX2DEC(RIGHT(Table1323212714[[#This Row],[h1]],8))</f>
        <v>0</v>
      </c>
      <c r="Q2003" s="51" t="s">
        <v>149</v>
      </c>
      <c r="R2003" s="51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1" t="s">
        <v>149</v>
      </c>
      <c r="P2004" s="51">
        <f>HEX2DEC(RIGHT(Table1323212714[[#This Row],[h1]],8))</f>
        <v>0</v>
      </c>
      <c r="Q2004" s="51" t="s">
        <v>149</v>
      </c>
      <c r="R2004" s="51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1" t="s">
        <v>149</v>
      </c>
      <c r="P2005" s="51">
        <f>HEX2DEC(RIGHT(Table1323212714[[#This Row],[h1]],8))</f>
        <v>0</v>
      </c>
      <c r="Q2005" s="51" t="s">
        <v>149</v>
      </c>
      <c r="R2005" s="51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1" t="s">
        <v>149</v>
      </c>
      <c r="P2006" s="51">
        <f>HEX2DEC(RIGHT(Table1323212714[[#This Row],[h1]],8))</f>
        <v>0</v>
      </c>
      <c r="Q2006" s="51" t="s">
        <v>149</v>
      </c>
      <c r="R2006" s="51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1" t="s">
        <v>149</v>
      </c>
      <c r="P2007" s="51">
        <f>HEX2DEC(RIGHT(Table1323212714[[#This Row],[h1]],8))</f>
        <v>0</v>
      </c>
      <c r="Q2007" s="51" t="s">
        <v>149</v>
      </c>
      <c r="R2007" s="51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1" t="s">
        <v>149</v>
      </c>
      <c r="P2008" s="51">
        <f>HEX2DEC(RIGHT(Table1323212714[[#This Row],[h1]],8))</f>
        <v>0</v>
      </c>
      <c r="Q2008" s="51" t="s">
        <v>149</v>
      </c>
      <c r="R2008" s="51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1" t="s">
        <v>149</v>
      </c>
      <c r="P2009" s="51">
        <f>HEX2DEC(RIGHT(Table1323212714[[#This Row],[h1]],8))</f>
        <v>0</v>
      </c>
      <c r="Q2009" s="51" t="s">
        <v>149</v>
      </c>
      <c r="R2009" s="51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1" t="s">
        <v>149</v>
      </c>
      <c r="P2010" s="51">
        <f>HEX2DEC(RIGHT(Table1323212714[[#This Row],[h1]],8))</f>
        <v>0</v>
      </c>
      <c r="Q2010" s="51" t="s">
        <v>149</v>
      </c>
      <c r="R2010" s="51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1" t="s">
        <v>149</v>
      </c>
      <c r="P2011" s="51">
        <f>HEX2DEC(RIGHT(Table1323212714[[#This Row],[h1]],8))</f>
        <v>0</v>
      </c>
      <c r="Q2011" s="51" t="s">
        <v>149</v>
      </c>
      <c r="R2011" s="51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1" t="s">
        <v>149</v>
      </c>
      <c r="P2012" s="51">
        <f>HEX2DEC(RIGHT(Table1323212714[[#This Row],[h1]],8))</f>
        <v>0</v>
      </c>
      <c r="Q2012" s="51" t="s">
        <v>149</v>
      </c>
      <c r="R2012" s="51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1" t="s">
        <v>149</v>
      </c>
      <c r="P2013" s="51">
        <f>HEX2DEC(RIGHT(Table1323212714[[#This Row],[h1]],8))</f>
        <v>0</v>
      </c>
      <c r="Q2013" s="51" t="s">
        <v>149</v>
      </c>
      <c r="R2013" s="51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1" t="s">
        <v>149</v>
      </c>
      <c r="P2014" s="51">
        <f>HEX2DEC(RIGHT(Table1323212714[[#This Row],[h1]],8))</f>
        <v>0</v>
      </c>
      <c r="Q2014" s="51" t="s">
        <v>149</v>
      </c>
      <c r="R2014" s="51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1" t="s">
        <v>149</v>
      </c>
      <c r="P2015" s="51">
        <f>HEX2DEC(RIGHT(Table1323212714[[#This Row],[h1]],8))</f>
        <v>0</v>
      </c>
      <c r="Q2015" s="51" t="s">
        <v>149</v>
      </c>
      <c r="R2015" s="51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1" t="s">
        <v>149</v>
      </c>
      <c r="P2016" s="51">
        <f>HEX2DEC(RIGHT(Table1323212714[[#This Row],[h1]],8))</f>
        <v>0</v>
      </c>
      <c r="Q2016" s="51" t="s">
        <v>149</v>
      </c>
      <c r="R2016" s="51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1" t="s">
        <v>149</v>
      </c>
      <c r="P2017" s="51">
        <f>HEX2DEC(RIGHT(Table1323212714[[#This Row],[h1]],8))</f>
        <v>0</v>
      </c>
      <c r="Q2017" s="51" t="s">
        <v>149</v>
      </c>
      <c r="R2017" s="51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1" t="s">
        <v>149</v>
      </c>
      <c r="P2018" s="51">
        <f>HEX2DEC(RIGHT(Table1323212714[[#This Row],[h1]],8))</f>
        <v>0</v>
      </c>
      <c r="Q2018" s="51" t="s">
        <v>149</v>
      </c>
      <c r="R2018" s="51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1" t="s">
        <v>149</v>
      </c>
      <c r="P2019" s="51">
        <f>HEX2DEC(RIGHT(Table1323212714[[#This Row],[h1]],8))</f>
        <v>0</v>
      </c>
      <c r="Q2019" s="51" t="s">
        <v>149</v>
      </c>
      <c r="R2019" s="51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1" t="s">
        <v>149</v>
      </c>
      <c r="P2020" s="51">
        <f>HEX2DEC(RIGHT(Table1323212714[[#This Row],[h1]],8))</f>
        <v>0</v>
      </c>
      <c r="Q2020" s="51" t="s">
        <v>149</v>
      </c>
      <c r="R2020" s="51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1" t="s">
        <v>149</v>
      </c>
      <c r="P2021" s="51">
        <f>HEX2DEC(RIGHT(Table1323212714[[#This Row],[h1]],8))</f>
        <v>0</v>
      </c>
      <c r="Q2021" s="51" t="s">
        <v>149</v>
      </c>
      <c r="R2021" s="51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1" t="s">
        <v>149</v>
      </c>
      <c r="P2022" s="51">
        <f>HEX2DEC(RIGHT(Table1323212714[[#This Row],[h1]],8))</f>
        <v>0</v>
      </c>
      <c r="Q2022" s="51" t="s">
        <v>149</v>
      </c>
      <c r="R2022" s="51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1" t="s">
        <v>149</v>
      </c>
      <c r="P2023" s="51">
        <f>HEX2DEC(RIGHT(Table1323212714[[#This Row],[h1]],8))</f>
        <v>0</v>
      </c>
      <c r="Q2023" s="51" t="s">
        <v>149</v>
      </c>
      <c r="R2023" s="51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1" t="s">
        <v>149</v>
      </c>
      <c r="P2024" s="51">
        <f>HEX2DEC(RIGHT(Table1323212714[[#This Row],[h1]],8))</f>
        <v>0</v>
      </c>
      <c r="Q2024" s="51" t="s">
        <v>149</v>
      </c>
      <c r="R2024" s="51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1" t="s">
        <v>149</v>
      </c>
      <c r="P2025" s="51">
        <f>HEX2DEC(RIGHT(Table1323212714[[#This Row],[h1]],8))</f>
        <v>0</v>
      </c>
      <c r="Q2025" s="51" t="s">
        <v>149</v>
      </c>
      <c r="R2025" s="51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1" t="s">
        <v>149</v>
      </c>
      <c r="P2026" s="51">
        <f>HEX2DEC(RIGHT(Table1323212714[[#This Row],[h1]],8))</f>
        <v>0</v>
      </c>
      <c r="Q2026" s="51" t="s">
        <v>149</v>
      </c>
      <c r="R2026" s="51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1" t="s">
        <v>149</v>
      </c>
      <c r="P2027" s="51">
        <f>HEX2DEC(RIGHT(Table1323212714[[#This Row],[h1]],8))</f>
        <v>0</v>
      </c>
      <c r="Q2027" s="51" t="s">
        <v>149</v>
      </c>
      <c r="R2027" s="51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1" t="s">
        <v>149</v>
      </c>
      <c r="P2028" s="51">
        <f>HEX2DEC(RIGHT(Table1323212714[[#This Row],[h1]],8))</f>
        <v>0</v>
      </c>
      <c r="Q2028" s="51" t="s">
        <v>149</v>
      </c>
      <c r="R2028" s="51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1" t="s">
        <v>149</v>
      </c>
      <c r="P2029" s="51">
        <f>HEX2DEC(RIGHT(Table1323212714[[#This Row],[h1]],8))</f>
        <v>0</v>
      </c>
      <c r="Q2029" s="51" t="s">
        <v>149</v>
      </c>
      <c r="R2029" s="51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1" t="s">
        <v>149</v>
      </c>
      <c r="P2030" s="51">
        <f>HEX2DEC(RIGHT(Table1323212714[[#This Row],[h1]],8))</f>
        <v>0</v>
      </c>
      <c r="Q2030" s="51" t="s">
        <v>149</v>
      </c>
      <c r="R2030" s="51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1" t="s">
        <v>149</v>
      </c>
      <c r="P2031" s="51">
        <f>HEX2DEC(RIGHT(Table1323212714[[#This Row],[h1]],8))</f>
        <v>0</v>
      </c>
      <c r="Q2031" s="51" t="s">
        <v>149</v>
      </c>
      <c r="R2031" s="51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1" t="s">
        <v>149</v>
      </c>
      <c r="P2032" s="51">
        <f>HEX2DEC(RIGHT(Table1323212714[[#This Row],[h1]],8))</f>
        <v>0</v>
      </c>
      <c r="Q2032" s="51" t="s">
        <v>149</v>
      </c>
      <c r="R2032" s="51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1" t="s">
        <v>149</v>
      </c>
      <c r="P2033" s="51">
        <f>HEX2DEC(RIGHT(Table1323212714[[#This Row],[h1]],8))</f>
        <v>0</v>
      </c>
      <c r="Q2033" s="51" t="s">
        <v>149</v>
      </c>
      <c r="R2033" s="51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1" t="s">
        <v>149</v>
      </c>
      <c r="P2034" s="51">
        <f>HEX2DEC(RIGHT(Table1323212714[[#This Row],[h1]],8))</f>
        <v>0</v>
      </c>
      <c r="Q2034" s="51" t="s">
        <v>149</v>
      </c>
      <c r="R2034" s="51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1" t="s">
        <v>149</v>
      </c>
      <c r="P2035" s="51">
        <f>HEX2DEC(RIGHT(Table1323212714[[#This Row],[h1]],8))</f>
        <v>0</v>
      </c>
      <c r="Q2035" s="51" t="s">
        <v>149</v>
      </c>
      <c r="R2035" s="51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1" t="s">
        <v>149</v>
      </c>
      <c r="P2036" s="51">
        <f>HEX2DEC(RIGHT(Table1323212714[[#This Row],[h1]],8))</f>
        <v>0</v>
      </c>
      <c r="Q2036" s="51" t="s">
        <v>149</v>
      </c>
      <c r="R2036" s="51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1" t="s">
        <v>149</v>
      </c>
      <c r="P2037" s="51">
        <f>HEX2DEC(RIGHT(Table1323212714[[#This Row],[h1]],8))</f>
        <v>0</v>
      </c>
      <c r="Q2037" s="51" t="s">
        <v>149</v>
      </c>
      <c r="R2037" s="51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1" t="s">
        <v>149</v>
      </c>
      <c r="P2038" s="51">
        <f>HEX2DEC(RIGHT(Table1323212714[[#This Row],[h1]],8))</f>
        <v>0</v>
      </c>
      <c r="Q2038" s="51" t="s">
        <v>149</v>
      </c>
      <c r="R2038" s="51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1" t="s">
        <v>149</v>
      </c>
      <c r="P2039" s="51">
        <f>HEX2DEC(RIGHT(Table1323212714[[#This Row],[h1]],8))</f>
        <v>0</v>
      </c>
      <c r="Q2039" s="51" t="s">
        <v>149</v>
      </c>
      <c r="R2039" s="51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1" t="s">
        <v>149</v>
      </c>
      <c r="P2040" s="51">
        <f>HEX2DEC(RIGHT(Table1323212714[[#This Row],[h1]],8))</f>
        <v>0</v>
      </c>
      <c r="Q2040" s="51" t="s">
        <v>149</v>
      </c>
      <c r="R2040" s="51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1" t="s">
        <v>149</v>
      </c>
      <c r="P2041" s="51">
        <f>HEX2DEC(RIGHT(Table1323212714[[#This Row],[h1]],8))</f>
        <v>0</v>
      </c>
      <c r="Q2041" s="51" t="s">
        <v>149</v>
      </c>
      <c r="R2041" s="51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1" t="s">
        <v>48</v>
      </c>
      <c r="Q2042" s="51" t="s">
        <v>48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1" t="s">
        <v>48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48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org!$B$79:$B$94</xm:f>
          </x14:formula1>
          <xm:sqref>A5</xm:sqref>
        </x14:dataValidation>
        <x14:dataValidation type="list" allowBlank="1" showInputMessage="1" showErrorMessage="1">
          <x14:formula1>
            <xm:f>org!$B$50:$B$74</xm:f>
          </x14:formula1>
          <xm:sqref>D6:E6 T2061:U2064 G260:G261 D2089:E2092 S2059:S2062 O2061:R2064</xm:sqref>
        </x14:dataValidation>
        <x14:dataValidation type="list" allowBlank="1" showInputMessage="1" showErrorMessage="1">
          <x14:formula1>
            <xm:f>org!$B$11:$B$47</xm:f>
          </x14:formula1>
          <xm:sqref>E180:E187 F6 V2061:V2064 L2061:L2064 E189:E219 G180:G187 I2062:I2064 F2089:F2092 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2020-11-25T09:58:58Z</dcterms:modified>
</cp:coreProperties>
</file>