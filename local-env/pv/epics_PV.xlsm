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83\git\pal_ts\app_evx1.4\local-env\pv\"/>
    </mc:Choice>
  </mc:AlternateContent>
  <xr:revisionPtr revIDLastSave="0" documentId="13_ncr:1_{3E19C401-FCAA-4E3B-A743-BC525800E63A}" xr6:coauthVersionLast="36" xr6:coauthVersionMax="36" xr10:uidLastSave="{00000000-0000-0000-0000-000000000000}"/>
  <bookViews>
    <workbookView xWindow="0" yWindow="0" windowWidth="46035" windowHeight="24525" tabRatio="319" activeTab="1" xr2:uid="{00000000-000D-0000-FFFF-FFFF00000000}"/>
  </bookViews>
  <sheets>
    <sheet name="org" sheetId="1" r:id="rId1"/>
    <sheet name="edit" sheetId="6" r:id="rId2"/>
    <sheet name="Sheet1" sheetId="10" r:id="rId3"/>
  </sheets>
  <functionGroups builtInGroupCount="19"/>
  <calcPr calcId="191029" iterateDelta="1.0000000474974513E-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668" i="6" l="1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I668" i="6"/>
  <c r="AG668" i="6" s="1"/>
  <c r="AM668" i="6" s="1"/>
  <c r="B637" i="6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C662" i="6"/>
  <c r="AB662" i="6"/>
  <c r="AA662" i="6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C659" i="6"/>
  <c r="AB659" i="6"/>
  <c r="AA659" i="6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B648" i="6"/>
  <c r="AA648" i="6"/>
  <c r="AC648" i="6" s="1"/>
  <c r="Z648" i="6"/>
  <c r="Y648" i="6"/>
  <c r="X648" i="6"/>
  <c r="AK647" i="6"/>
  <c r="AJ647" i="6"/>
  <c r="AI647" i="6"/>
  <c r="AH647" i="6"/>
  <c r="AF647" i="6"/>
  <c r="AE647" i="6"/>
  <c r="AD647" i="6"/>
  <c r="AB647" i="6"/>
  <c r="AA647" i="6"/>
  <c r="AC647" i="6" s="1"/>
  <c r="Z647" i="6"/>
  <c r="Y647" i="6"/>
  <c r="X647" i="6"/>
  <c r="AK646" i="6"/>
  <c r="AJ646" i="6"/>
  <c r="AI646" i="6"/>
  <c r="AH646" i="6"/>
  <c r="AF646" i="6"/>
  <c r="AE646" i="6"/>
  <c r="AD646" i="6"/>
  <c r="AB646" i="6"/>
  <c r="AA646" i="6"/>
  <c r="AC646" i="6" s="1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C644" i="6"/>
  <c r="AB644" i="6"/>
  <c r="AA644" i="6"/>
  <c r="Z644" i="6"/>
  <c r="Y644" i="6"/>
  <c r="X644" i="6"/>
  <c r="AK643" i="6"/>
  <c r="AJ643" i="6"/>
  <c r="AI643" i="6"/>
  <c r="AH643" i="6"/>
  <c r="AF643" i="6"/>
  <c r="AE643" i="6"/>
  <c r="AD643" i="6"/>
  <c r="AC643" i="6"/>
  <c r="AB643" i="6"/>
  <c r="AA643" i="6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K636" i="6"/>
  <c r="AJ636" i="6"/>
  <c r="AI636" i="6"/>
  <c r="AH636" i="6"/>
  <c r="AF636" i="6"/>
  <c r="AE636" i="6"/>
  <c r="AD636" i="6"/>
  <c r="AB636" i="6"/>
  <c r="AA636" i="6"/>
  <c r="AC636" i="6" s="1"/>
  <c r="Z636" i="6"/>
  <c r="Y636" i="6"/>
  <c r="X636" i="6"/>
  <c r="I636" i="6"/>
  <c r="AG636" i="6" s="1"/>
  <c r="AM636" i="6" s="1"/>
  <c r="AK69" i="6"/>
  <c r="AJ69" i="6"/>
  <c r="AI69" i="6"/>
  <c r="AH69" i="6"/>
  <c r="AG69" i="6"/>
  <c r="AM69" i="6" s="1"/>
  <c r="AF69" i="6"/>
  <c r="AE69" i="6"/>
  <c r="AD69" i="6"/>
  <c r="AB69" i="6"/>
  <c r="AA69" i="6"/>
  <c r="AC69" i="6" s="1"/>
  <c r="Z69" i="6"/>
  <c r="Y69" i="6"/>
  <c r="X69" i="6"/>
  <c r="I638" i="6" l="1"/>
  <c r="AG638" i="6" s="1"/>
  <c r="AM638" i="6" s="1"/>
  <c r="I637" i="6"/>
  <c r="AG637" i="6" s="1"/>
  <c r="AM637" i="6" s="1"/>
  <c r="AK523" i="6"/>
  <c r="AJ523" i="6"/>
  <c r="AI523" i="6"/>
  <c r="AH523" i="6"/>
  <c r="AG523" i="6"/>
  <c r="AM523" i="6" s="1"/>
  <c r="AF523" i="6"/>
  <c r="AE523" i="6"/>
  <c r="AD523" i="6"/>
  <c r="AB523" i="6"/>
  <c r="AA523" i="6"/>
  <c r="AC523" i="6" s="1"/>
  <c r="Z523" i="6"/>
  <c r="Y523" i="6"/>
  <c r="X523" i="6"/>
  <c r="AK522" i="6"/>
  <c r="AJ522" i="6"/>
  <c r="AI522" i="6"/>
  <c r="AH522" i="6"/>
  <c r="AG522" i="6"/>
  <c r="AM522" i="6" s="1"/>
  <c r="AF522" i="6"/>
  <c r="AE522" i="6"/>
  <c r="AD522" i="6"/>
  <c r="AB522" i="6"/>
  <c r="AA522" i="6"/>
  <c r="AC522" i="6" s="1"/>
  <c r="Z522" i="6"/>
  <c r="Y522" i="6"/>
  <c r="X522" i="6"/>
  <c r="AK521" i="6"/>
  <c r="AJ521" i="6"/>
  <c r="AI521" i="6"/>
  <c r="AH521" i="6"/>
  <c r="AG521" i="6"/>
  <c r="AM521" i="6" s="1"/>
  <c r="AF521" i="6"/>
  <c r="AE521" i="6"/>
  <c r="AD521" i="6"/>
  <c r="AB521" i="6"/>
  <c r="AA521" i="6"/>
  <c r="AC521" i="6" s="1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B520" i="6"/>
  <c r="AA520" i="6"/>
  <c r="AC520" i="6" s="1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B519" i="6"/>
  <c r="AA519" i="6"/>
  <c r="AC519" i="6" s="1"/>
  <c r="Z519" i="6"/>
  <c r="Y519" i="6"/>
  <c r="X519" i="6"/>
  <c r="AK518" i="6"/>
  <c r="AJ518" i="6"/>
  <c r="AI518" i="6"/>
  <c r="AH518" i="6"/>
  <c r="AG518" i="6"/>
  <c r="AM518" i="6" s="1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B517" i="6"/>
  <c r="AA517" i="6"/>
  <c r="AC517" i="6" s="1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B516" i="6"/>
  <c r="AA516" i="6"/>
  <c r="AC516" i="6" s="1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B515" i="6"/>
  <c r="AA515" i="6"/>
  <c r="AC515" i="6" s="1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B513" i="6"/>
  <c r="AA513" i="6"/>
  <c r="AC513" i="6" s="1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B512" i="6"/>
  <c r="AA512" i="6"/>
  <c r="AC512" i="6" s="1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B511" i="6"/>
  <c r="AA511" i="6"/>
  <c r="AC511" i="6" s="1"/>
  <c r="Z511" i="6"/>
  <c r="Y511" i="6"/>
  <c r="X511" i="6"/>
  <c r="AK510" i="6"/>
  <c r="AJ510" i="6"/>
  <c r="AI510" i="6"/>
  <c r="AH510" i="6"/>
  <c r="AG510" i="6"/>
  <c r="AM510" i="6" s="1"/>
  <c r="AF510" i="6"/>
  <c r="AE510" i="6"/>
  <c r="AD510" i="6"/>
  <c r="AB510" i="6"/>
  <c r="AA510" i="6"/>
  <c r="AC510" i="6" s="1"/>
  <c r="Z510" i="6"/>
  <c r="Y510" i="6"/>
  <c r="X510" i="6"/>
  <c r="AK509" i="6"/>
  <c r="AJ509" i="6"/>
  <c r="AI509" i="6"/>
  <c r="AH509" i="6"/>
  <c r="AG509" i="6"/>
  <c r="AM509" i="6" s="1"/>
  <c r="AF509" i="6"/>
  <c r="AE509" i="6"/>
  <c r="AD509" i="6"/>
  <c r="AB509" i="6"/>
  <c r="AA509" i="6"/>
  <c r="AC509" i="6" s="1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B508" i="6"/>
  <c r="AA508" i="6"/>
  <c r="AC508" i="6" s="1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B507" i="6"/>
  <c r="AA507" i="6"/>
  <c r="AC507" i="6" s="1"/>
  <c r="Z507" i="6"/>
  <c r="Y507" i="6"/>
  <c r="X507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X505" i="6"/>
  <c r="Y505" i="6"/>
  <c r="Z505" i="6"/>
  <c r="AA505" i="6"/>
  <c r="AC505" i="6" s="1"/>
  <c r="AB505" i="6"/>
  <c r="AD505" i="6"/>
  <c r="AE505" i="6"/>
  <c r="AF505" i="6"/>
  <c r="AG505" i="6"/>
  <c r="AM505" i="6" s="1"/>
  <c r="AH505" i="6"/>
  <c r="AI505" i="6"/>
  <c r="AJ505" i="6"/>
  <c r="AK505" i="6"/>
  <c r="X506" i="6"/>
  <c r="Y506" i="6"/>
  <c r="Z506" i="6"/>
  <c r="AA506" i="6"/>
  <c r="AC506" i="6" s="1"/>
  <c r="AB506" i="6"/>
  <c r="AD506" i="6"/>
  <c r="AE506" i="6"/>
  <c r="AF506" i="6"/>
  <c r="AG506" i="6"/>
  <c r="AM506" i="6" s="1"/>
  <c r="AH506" i="6"/>
  <c r="AI506" i="6"/>
  <c r="AJ506" i="6"/>
  <c r="AK506" i="6"/>
  <c r="AH524" i="6"/>
  <c r="AK214" i="6"/>
  <c r="AJ214" i="6"/>
  <c r="AI214" i="6"/>
  <c r="AH214" i="6"/>
  <c r="AG214" i="6"/>
  <c r="AM214" i="6" s="1"/>
  <c r="AF214" i="6"/>
  <c r="AE214" i="6"/>
  <c r="AD214" i="6"/>
  <c r="AB214" i="6"/>
  <c r="AA214" i="6"/>
  <c r="AC214" i="6" s="1"/>
  <c r="Z214" i="6"/>
  <c r="Y214" i="6"/>
  <c r="X214" i="6"/>
  <c r="AK213" i="6"/>
  <c r="AJ213" i="6"/>
  <c r="AI213" i="6"/>
  <c r="AH213" i="6"/>
  <c r="AG213" i="6"/>
  <c r="AM213" i="6" s="1"/>
  <c r="AF213" i="6"/>
  <c r="AE213" i="6"/>
  <c r="AD213" i="6"/>
  <c r="AB213" i="6"/>
  <c r="AA213" i="6"/>
  <c r="AC213" i="6" s="1"/>
  <c r="Z213" i="6"/>
  <c r="Y213" i="6"/>
  <c r="X213" i="6"/>
  <c r="AK354" i="6"/>
  <c r="AJ354" i="6"/>
  <c r="AI354" i="6"/>
  <c r="AH354" i="6"/>
  <c r="AG354" i="6"/>
  <c r="AM354" i="6" s="1"/>
  <c r="AF354" i="6"/>
  <c r="AE354" i="6"/>
  <c r="AD354" i="6"/>
  <c r="AB354" i="6"/>
  <c r="AA354" i="6"/>
  <c r="AC354" i="6" s="1"/>
  <c r="Z354" i="6"/>
  <c r="Y354" i="6"/>
  <c r="X354" i="6"/>
  <c r="AK320" i="6"/>
  <c r="AJ320" i="6"/>
  <c r="AI320" i="6"/>
  <c r="AH320" i="6"/>
  <c r="AG320" i="6"/>
  <c r="AM320" i="6" s="1"/>
  <c r="AF320" i="6"/>
  <c r="AE320" i="6"/>
  <c r="AD320" i="6"/>
  <c r="AB320" i="6"/>
  <c r="AA320" i="6"/>
  <c r="AC320" i="6" s="1"/>
  <c r="Z320" i="6"/>
  <c r="Y320" i="6"/>
  <c r="X320" i="6"/>
  <c r="AK286" i="6"/>
  <c r="AJ286" i="6"/>
  <c r="AI286" i="6"/>
  <c r="AH286" i="6"/>
  <c r="AG286" i="6"/>
  <c r="AM286" i="6" s="1"/>
  <c r="AF286" i="6"/>
  <c r="AE286" i="6"/>
  <c r="AD286" i="6"/>
  <c r="AB286" i="6"/>
  <c r="AA286" i="6"/>
  <c r="AC286" i="6" s="1"/>
  <c r="Z286" i="6"/>
  <c r="Y286" i="6"/>
  <c r="X286" i="6"/>
  <c r="AK252" i="6"/>
  <c r="AJ252" i="6"/>
  <c r="AI252" i="6"/>
  <c r="AH252" i="6"/>
  <c r="AG252" i="6"/>
  <c r="AM252" i="6" s="1"/>
  <c r="AF252" i="6"/>
  <c r="AE252" i="6"/>
  <c r="AD252" i="6"/>
  <c r="AB252" i="6"/>
  <c r="AA252" i="6"/>
  <c r="AC252" i="6" s="1"/>
  <c r="Z252" i="6"/>
  <c r="Y252" i="6"/>
  <c r="X252" i="6"/>
  <c r="I639" i="6" l="1"/>
  <c r="AG639" i="6" s="1"/>
  <c r="AM639" i="6" s="1"/>
  <c r="AM735" i="6"/>
  <c r="AK735" i="6"/>
  <c r="AJ735" i="6"/>
  <c r="AI735" i="6"/>
  <c r="AH735" i="6"/>
  <c r="AG735" i="6"/>
  <c r="AF735" i="6"/>
  <c r="AE735" i="6"/>
  <c r="AD735" i="6"/>
  <c r="AC735" i="6"/>
  <c r="AB735" i="6"/>
  <c r="AA735" i="6"/>
  <c r="Z735" i="6"/>
  <c r="Y735" i="6"/>
  <c r="X735" i="6"/>
  <c r="AK734" i="6"/>
  <c r="AJ734" i="6"/>
  <c r="AI734" i="6"/>
  <c r="AH734" i="6"/>
  <c r="AF734" i="6"/>
  <c r="AE734" i="6"/>
  <c r="AD734" i="6"/>
  <c r="AB734" i="6"/>
  <c r="AA734" i="6"/>
  <c r="AC734" i="6" s="1"/>
  <c r="Z734" i="6"/>
  <c r="Y734" i="6"/>
  <c r="X734" i="6"/>
  <c r="AK733" i="6"/>
  <c r="AJ733" i="6"/>
  <c r="AI733" i="6"/>
  <c r="AH733" i="6"/>
  <c r="AF733" i="6"/>
  <c r="AE733" i="6"/>
  <c r="AD733" i="6"/>
  <c r="AB733" i="6"/>
  <c r="AA733" i="6"/>
  <c r="AC733" i="6" s="1"/>
  <c r="Z733" i="6"/>
  <c r="Y733" i="6"/>
  <c r="X733" i="6"/>
  <c r="AK732" i="6"/>
  <c r="AJ732" i="6"/>
  <c r="AI732" i="6"/>
  <c r="AH732" i="6"/>
  <c r="AF732" i="6"/>
  <c r="AE732" i="6"/>
  <c r="AD732" i="6"/>
  <c r="AB732" i="6"/>
  <c r="AA732" i="6"/>
  <c r="AC732" i="6" s="1"/>
  <c r="Z732" i="6"/>
  <c r="Y732" i="6"/>
  <c r="X732" i="6"/>
  <c r="AK731" i="6"/>
  <c r="AJ731" i="6"/>
  <c r="AI731" i="6"/>
  <c r="AH731" i="6"/>
  <c r="AF731" i="6"/>
  <c r="AE731" i="6"/>
  <c r="AD731" i="6"/>
  <c r="AB731" i="6"/>
  <c r="AA731" i="6"/>
  <c r="AC731" i="6" s="1"/>
  <c r="Z731" i="6"/>
  <c r="Y731" i="6"/>
  <c r="X731" i="6"/>
  <c r="AK730" i="6"/>
  <c r="AJ730" i="6"/>
  <c r="AI730" i="6"/>
  <c r="AH730" i="6"/>
  <c r="AF730" i="6"/>
  <c r="AE730" i="6"/>
  <c r="AD730" i="6"/>
  <c r="AB730" i="6"/>
  <c r="AA730" i="6"/>
  <c r="AC730" i="6" s="1"/>
  <c r="Z730" i="6"/>
  <c r="Y730" i="6"/>
  <c r="X730" i="6"/>
  <c r="AK729" i="6"/>
  <c r="AJ729" i="6"/>
  <c r="AI729" i="6"/>
  <c r="AH729" i="6"/>
  <c r="AF729" i="6"/>
  <c r="AE729" i="6"/>
  <c r="AD729" i="6"/>
  <c r="AB729" i="6"/>
  <c r="AA729" i="6"/>
  <c r="AC729" i="6" s="1"/>
  <c r="Z729" i="6"/>
  <c r="Y729" i="6"/>
  <c r="X729" i="6"/>
  <c r="AK728" i="6"/>
  <c r="AJ728" i="6"/>
  <c r="AI728" i="6"/>
  <c r="AH728" i="6"/>
  <c r="AF728" i="6"/>
  <c r="AE728" i="6"/>
  <c r="AD728" i="6"/>
  <c r="AB728" i="6"/>
  <c r="AA728" i="6"/>
  <c r="AC728" i="6" s="1"/>
  <c r="Z728" i="6"/>
  <c r="Y728" i="6"/>
  <c r="X728" i="6"/>
  <c r="AK727" i="6"/>
  <c r="AJ727" i="6"/>
  <c r="AI727" i="6"/>
  <c r="AH727" i="6"/>
  <c r="AF727" i="6"/>
  <c r="AE727" i="6"/>
  <c r="AD727" i="6"/>
  <c r="AB727" i="6"/>
  <c r="AA727" i="6"/>
  <c r="AC727" i="6" s="1"/>
  <c r="Z727" i="6"/>
  <c r="Y727" i="6"/>
  <c r="X727" i="6"/>
  <c r="AK726" i="6"/>
  <c r="AJ726" i="6"/>
  <c r="AI726" i="6"/>
  <c r="AH726" i="6"/>
  <c r="AF726" i="6"/>
  <c r="AE726" i="6"/>
  <c r="AD726" i="6"/>
  <c r="AB726" i="6"/>
  <c r="AA726" i="6"/>
  <c r="AC726" i="6" s="1"/>
  <c r="Z726" i="6"/>
  <c r="Y726" i="6"/>
  <c r="X726" i="6"/>
  <c r="AK725" i="6"/>
  <c r="AJ725" i="6"/>
  <c r="AI725" i="6"/>
  <c r="AH725" i="6"/>
  <c r="AF725" i="6"/>
  <c r="AE725" i="6"/>
  <c r="AD725" i="6"/>
  <c r="AB725" i="6"/>
  <c r="AA725" i="6"/>
  <c r="AC725" i="6" s="1"/>
  <c r="Z725" i="6"/>
  <c r="Y725" i="6"/>
  <c r="X725" i="6"/>
  <c r="AK724" i="6"/>
  <c r="AJ724" i="6"/>
  <c r="AI724" i="6"/>
  <c r="AH724" i="6"/>
  <c r="AF724" i="6"/>
  <c r="AE724" i="6"/>
  <c r="AD724" i="6"/>
  <c r="AB724" i="6"/>
  <c r="AA724" i="6"/>
  <c r="AC724" i="6" s="1"/>
  <c r="Z724" i="6"/>
  <c r="Y724" i="6"/>
  <c r="X724" i="6"/>
  <c r="AK723" i="6"/>
  <c r="AJ723" i="6"/>
  <c r="AI723" i="6"/>
  <c r="AH723" i="6"/>
  <c r="AF723" i="6"/>
  <c r="AE723" i="6"/>
  <c r="AD723" i="6"/>
  <c r="AB723" i="6"/>
  <c r="AA723" i="6"/>
  <c r="AC723" i="6" s="1"/>
  <c r="Z723" i="6"/>
  <c r="Y723" i="6"/>
  <c r="X723" i="6"/>
  <c r="AK722" i="6"/>
  <c r="AJ722" i="6"/>
  <c r="AI722" i="6"/>
  <c r="AH722" i="6"/>
  <c r="AF722" i="6"/>
  <c r="AE722" i="6"/>
  <c r="AD722" i="6"/>
  <c r="AB722" i="6"/>
  <c r="AA722" i="6"/>
  <c r="AC722" i="6" s="1"/>
  <c r="Z722" i="6"/>
  <c r="Y722" i="6"/>
  <c r="X722" i="6"/>
  <c r="AK721" i="6"/>
  <c r="AJ721" i="6"/>
  <c r="AI721" i="6"/>
  <c r="AH721" i="6"/>
  <c r="AF721" i="6"/>
  <c r="AE721" i="6"/>
  <c r="AD721" i="6"/>
  <c r="AB721" i="6"/>
  <c r="AA721" i="6"/>
  <c r="AC721" i="6" s="1"/>
  <c r="Z721" i="6"/>
  <c r="Y721" i="6"/>
  <c r="X721" i="6"/>
  <c r="AK720" i="6"/>
  <c r="AJ720" i="6"/>
  <c r="AI720" i="6"/>
  <c r="AH720" i="6"/>
  <c r="AF720" i="6"/>
  <c r="AE720" i="6"/>
  <c r="AD720" i="6"/>
  <c r="AB720" i="6"/>
  <c r="AA720" i="6"/>
  <c r="AC720" i="6" s="1"/>
  <c r="Z720" i="6"/>
  <c r="Y720" i="6"/>
  <c r="X720" i="6"/>
  <c r="AK719" i="6"/>
  <c r="AJ719" i="6"/>
  <c r="AI719" i="6"/>
  <c r="AH719" i="6"/>
  <c r="AF719" i="6"/>
  <c r="AE719" i="6"/>
  <c r="AD719" i="6"/>
  <c r="AB719" i="6"/>
  <c r="AA719" i="6"/>
  <c r="AC719" i="6" s="1"/>
  <c r="Z719" i="6"/>
  <c r="Y719" i="6"/>
  <c r="X719" i="6"/>
  <c r="AK718" i="6"/>
  <c r="AJ718" i="6"/>
  <c r="AI718" i="6"/>
  <c r="AH718" i="6"/>
  <c r="AF718" i="6"/>
  <c r="AE718" i="6"/>
  <c r="AD718" i="6"/>
  <c r="AB718" i="6"/>
  <c r="AA718" i="6"/>
  <c r="AC718" i="6" s="1"/>
  <c r="Z718" i="6"/>
  <c r="Y718" i="6"/>
  <c r="X718" i="6"/>
  <c r="AK717" i="6"/>
  <c r="AJ717" i="6"/>
  <c r="AI717" i="6"/>
  <c r="AH717" i="6"/>
  <c r="AF717" i="6"/>
  <c r="AE717" i="6"/>
  <c r="AD717" i="6"/>
  <c r="AB717" i="6"/>
  <c r="AA717" i="6"/>
  <c r="AC717" i="6" s="1"/>
  <c r="Z717" i="6"/>
  <c r="Y717" i="6"/>
  <c r="X717" i="6"/>
  <c r="AK716" i="6"/>
  <c r="AJ716" i="6"/>
  <c r="AI716" i="6"/>
  <c r="AH716" i="6"/>
  <c r="AF716" i="6"/>
  <c r="AE716" i="6"/>
  <c r="AD716" i="6"/>
  <c r="AB716" i="6"/>
  <c r="AA716" i="6"/>
  <c r="AC716" i="6" s="1"/>
  <c r="Z716" i="6"/>
  <c r="Y716" i="6"/>
  <c r="X716" i="6"/>
  <c r="AK715" i="6"/>
  <c r="AJ715" i="6"/>
  <c r="AI715" i="6"/>
  <c r="AH715" i="6"/>
  <c r="AF715" i="6"/>
  <c r="AE715" i="6"/>
  <c r="AD715" i="6"/>
  <c r="AB715" i="6"/>
  <c r="AA715" i="6"/>
  <c r="AC715" i="6" s="1"/>
  <c r="Z715" i="6"/>
  <c r="Y715" i="6"/>
  <c r="X715" i="6"/>
  <c r="AK714" i="6"/>
  <c r="AJ714" i="6"/>
  <c r="AI714" i="6"/>
  <c r="AH714" i="6"/>
  <c r="AF714" i="6"/>
  <c r="AE714" i="6"/>
  <c r="AD714" i="6"/>
  <c r="AB714" i="6"/>
  <c r="AA714" i="6"/>
  <c r="AC714" i="6" s="1"/>
  <c r="Z714" i="6"/>
  <c r="Y714" i="6"/>
  <c r="X714" i="6"/>
  <c r="AK713" i="6"/>
  <c r="AJ713" i="6"/>
  <c r="AI713" i="6"/>
  <c r="AH713" i="6"/>
  <c r="AF713" i="6"/>
  <c r="AE713" i="6"/>
  <c r="AD713" i="6"/>
  <c r="AB713" i="6"/>
  <c r="AA713" i="6"/>
  <c r="AC713" i="6" s="1"/>
  <c r="Z713" i="6"/>
  <c r="Y713" i="6"/>
  <c r="X713" i="6"/>
  <c r="AK712" i="6"/>
  <c r="AJ712" i="6"/>
  <c r="AI712" i="6"/>
  <c r="AH712" i="6"/>
  <c r="AF712" i="6"/>
  <c r="AE712" i="6"/>
  <c r="AD712" i="6"/>
  <c r="AB712" i="6"/>
  <c r="AA712" i="6"/>
  <c r="AC712" i="6" s="1"/>
  <c r="Z712" i="6"/>
  <c r="Y712" i="6"/>
  <c r="X712" i="6"/>
  <c r="AK711" i="6"/>
  <c r="AJ711" i="6"/>
  <c r="AI711" i="6"/>
  <c r="AH711" i="6"/>
  <c r="AF711" i="6"/>
  <c r="AE711" i="6"/>
  <c r="AD711" i="6"/>
  <c r="AB711" i="6"/>
  <c r="AA711" i="6"/>
  <c r="AC711" i="6" s="1"/>
  <c r="Z711" i="6"/>
  <c r="Y711" i="6"/>
  <c r="X711" i="6"/>
  <c r="AK710" i="6"/>
  <c r="AJ710" i="6"/>
  <c r="AI710" i="6"/>
  <c r="AH710" i="6"/>
  <c r="AF710" i="6"/>
  <c r="AE710" i="6"/>
  <c r="AD710" i="6"/>
  <c r="AB710" i="6"/>
  <c r="AA710" i="6"/>
  <c r="AC710" i="6" s="1"/>
  <c r="Z710" i="6"/>
  <c r="Y710" i="6"/>
  <c r="X710" i="6"/>
  <c r="AK709" i="6"/>
  <c r="AJ709" i="6"/>
  <c r="AI709" i="6"/>
  <c r="AH709" i="6"/>
  <c r="AF709" i="6"/>
  <c r="AE709" i="6"/>
  <c r="AD709" i="6"/>
  <c r="AB709" i="6"/>
  <c r="AA709" i="6"/>
  <c r="AC709" i="6" s="1"/>
  <c r="Z709" i="6"/>
  <c r="Y709" i="6"/>
  <c r="X709" i="6"/>
  <c r="AK708" i="6"/>
  <c r="AJ708" i="6"/>
  <c r="AI708" i="6"/>
  <c r="AH708" i="6"/>
  <c r="AF708" i="6"/>
  <c r="AE708" i="6"/>
  <c r="AD708" i="6"/>
  <c r="AB708" i="6"/>
  <c r="AA708" i="6"/>
  <c r="AC708" i="6" s="1"/>
  <c r="Z708" i="6"/>
  <c r="Y708" i="6"/>
  <c r="X708" i="6"/>
  <c r="AK707" i="6"/>
  <c r="AJ707" i="6"/>
  <c r="AI707" i="6"/>
  <c r="AH707" i="6"/>
  <c r="AF707" i="6"/>
  <c r="AE707" i="6"/>
  <c r="AD707" i="6"/>
  <c r="AB707" i="6"/>
  <c r="AA707" i="6"/>
  <c r="AC707" i="6" s="1"/>
  <c r="Z707" i="6"/>
  <c r="Y707" i="6"/>
  <c r="X707" i="6"/>
  <c r="AK706" i="6"/>
  <c r="AJ706" i="6"/>
  <c r="AI706" i="6"/>
  <c r="AH706" i="6"/>
  <c r="AF706" i="6"/>
  <c r="AE706" i="6"/>
  <c r="AD706" i="6"/>
  <c r="AB706" i="6"/>
  <c r="AA706" i="6"/>
  <c r="AC706" i="6" s="1"/>
  <c r="Z706" i="6"/>
  <c r="Y706" i="6"/>
  <c r="X706" i="6"/>
  <c r="AK705" i="6"/>
  <c r="AJ705" i="6"/>
  <c r="AI705" i="6"/>
  <c r="AH705" i="6"/>
  <c r="AF705" i="6"/>
  <c r="AE705" i="6"/>
  <c r="AD705" i="6"/>
  <c r="AB705" i="6"/>
  <c r="AA705" i="6"/>
  <c r="AC705" i="6" s="1"/>
  <c r="Z705" i="6"/>
  <c r="Y705" i="6"/>
  <c r="X705" i="6"/>
  <c r="AK704" i="6"/>
  <c r="AJ704" i="6"/>
  <c r="AI704" i="6"/>
  <c r="AH704" i="6"/>
  <c r="AF704" i="6"/>
  <c r="AE704" i="6"/>
  <c r="AD704" i="6"/>
  <c r="AB704" i="6"/>
  <c r="AA704" i="6"/>
  <c r="AC704" i="6" s="1"/>
  <c r="Z704" i="6"/>
  <c r="Y704" i="6"/>
  <c r="X704" i="6"/>
  <c r="B704" i="6"/>
  <c r="B705" i="6" s="1"/>
  <c r="AK703" i="6"/>
  <c r="AJ703" i="6"/>
  <c r="AI703" i="6"/>
  <c r="AH703" i="6"/>
  <c r="AF703" i="6"/>
  <c r="AE703" i="6"/>
  <c r="AD703" i="6"/>
  <c r="AB703" i="6"/>
  <c r="AA703" i="6"/>
  <c r="AC703" i="6" s="1"/>
  <c r="Z703" i="6"/>
  <c r="Y703" i="6"/>
  <c r="X703" i="6"/>
  <c r="AG703" i="6"/>
  <c r="AM703" i="6" s="1"/>
  <c r="AM702" i="6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K683" i="6"/>
  <c r="AJ683" i="6"/>
  <c r="AI683" i="6"/>
  <c r="AH683" i="6"/>
  <c r="AF683" i="6"/>
  <c r="AE683" i="6"/>
  <c r="AD683" i="6"/>
  <c r="AB683" i="6"/>
  <c r="AA683" i="6"/>
  <c r="AC683" i="6" s="1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B671" i="6"/>
  <c r="AG671" i="6" s="1"/>
  <c r="AM671" i="6" s="1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G670" i="6"/>
  <c r="AM670" i="6" s="1"/>
  <c r="I640" i="6" l="1"/>
  <c r="AG640" i="6" s="1"/>
  <c r="AM640" i="6" s="1"/>
  <c r="B706" i="6"/>
  <c r="AG705" i="6"/>
  <c r="AM705" i="6" s="1"/>
  <c r="AG704" i="6"/>
  <c r="AM704" i="6" s="1"/>
  <c r="B672" i="6"/>
  <c r="B673" i="6" s="1"/>
  <c r="B674" i="6" s="1"/>
  <c r="AG673" i="6"/>
  <c r="AM673" i="6" s="1"/>
  <c r="AG672" i="6"/>
  <c r="AM672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I641" i="6" l="1"/>
  <c r="AG641" i="6" s="1"/>
  <c r="AM641" i="6" s="1"/>
  <c r="B707" i="6"/>
  <c r="AG706" i="6"/>
  <c r="AM706" i="6" s="1"/>
  <c r="AG674" i="6"/>
  <c r="AM674" i="6" s="1"/>
  <c r="B675" i="6"/>
  <c r="AK137" i="6"/>
  <c r="AJ137" i="6"/>
  <c r="AI137" i="6"/>
  <c r="AH137" i="6"/>
  <c r="AG137" i="6"/>
  <c r="AM137" i="6" s="1"/>
  <c r="AF137" i="6"/>
  <c r="AE137" i="6"/>
  <c r="AD137" i="6"/>
  <c r="AB137" i="6"/>
  <c r="AA137" i="6"/>
  <c r="AC137" i="6" s="1"/>
  <c r="Z137" i="6"/>
  <c r="Y137" i="6"/>
  <c r="X137" i="6"/>
  <c r="I642" i="6" l="1"/>
  <c r="AG642" i="6" s="1"/>
  <c r="AM642" i="6" s="1"/>
  <c r="B708" i="6"/>
  <c r="AG707" i="6"/>
  <c r="AM707" i="6" s="1"/>
  <c r="AG675" i="6"/>
  <c r="AM675" i="6" s="1"/>
  <c r="B676" i="6"/>
  <c r="A2" i="6"/>
  <c r="I643" i="6" l="1"/>
  <c r="AG643" i="6" s="1"/>
  <c r="AM643" i="6" s="1"/>
  <c r="B709" i="6"/>
  <c r="AG708" i="6"/>
  <c r="AM708" i="6" s="1"/>
  <c r="B677" i="6"/>
  <c r="AG676" i="6"/>
  <c r="AM676" i="6" s="1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AK134" i="6"/>
  <c r="AJ134" i="6"/>
  <c r="AI134" i="6"/>
  <c r="AH134" i="6"/>
  <c r="AG134" i="6"/>
  <c r="AM134" i="6" s="1"/>
  <c r="AF134" i="6"/>
  <c r="AE134" i="6"/>
  <c r="AD134" i="6"/>
  <c r="AB134" i="6"/>
  <c r="AA134" i="6"/>
  <c r="AC134" i="6" s="1"/>
  <c r="Z134" i="6"/>
  <c r="Y134" i="6"/>
  <c r="X134" i="6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I644" i="6" l="1"/>
  <c r="AG644" i="6" s="1"/>
  <c r="AM644" i="6" s="1"/>
  <c r="AG709" i="6"/>
  <c r="AM709" i="6" s="1"/>
  <c r="B710" i="6"/>
  <c r="B678" i="6"/>
  <c r="AG677" i="6"/>
  <c r="AM677" i="6" s="1"/>
  <c r="I736" i="6"/>
  <c r="I603" i="6"/>
  <c r="I570" i="6"/>
  <c r="I975" i="6"/>
  <c r="I974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645" i="6" l="1"/>
  <c r="AG645" i="6" s="1"/>
  <c r="AM645" i="6" s="1"/>
  <c r="B711" i="6"/>
  <c r="AG710" i="6"/>
  <c r="AM710" i="6" s="1"/>
  <c r="B679" i="6"/>
  <c r="AG678" i="6"/>
  <c r="AM678" i="6" s="1"/>
  <c r="AK170" i="6"/>
  <c r="AJ170" i="6"/>
  <c r="AI170" i="6"/>
  <c r="AH170" i="6"/>
  <c r="AG170" i="6"/>
  <c r="AM170" i="6" s="1"/>
  <c r="AF170" i="6"/>
  <c r="AE170" i="6"/>
  <c r="AD170" i="6"/>
  <c r="AB170" i="6"/>
  <c r="AA170" i="6"/>
  <c r="AC170" i="6" s="1"/>
  <c r="Z170" i="6"/>
  <c r="Y170" i="6"/>
  <c r="X170" i="6"/>
  <c r="I646" i="6" l="1"/>
  <c r="AG646" i="6" s="1"/>
  <c r="AM646" i="6" s="1"/>
  <c r="B712" i="6"/>
  <c r="AG711" i="6"/>
  <c r="AM711" i="6" s="1"/>
  <c r="B680" i="6"/>
  <c r="AG679" i="6"/>
  <c r="AM679" i="6" s="1"/>
  <c r="AK184" i="6"/>
  <c r="AJ184" i="6"/>
  <c r="AI184" i="6"/>
  <c r="AH184" i="6"/>
  <c r="AG184" i="6"/>
  <c r="AM184" i="6" s="1"/>
  <c r="AF184" i="6"/>
  <c r="AE184" i="6"/>
  <c r="AD184" i="6"/>
  <c r="AB184" i="6"/>
  <c r="AA184" i="6"/>
  <c r="AC184" i="6" s="1"/>
  <c r="Z184" i="6"/>
  <c r="Y184" i="6"/>
  <c r="X184" i="6"/>
  <c r="AK183" i="6"/>
  <c r="AJ183" i="6"/>
  <c r="AI183" i="6"/>
  <c r="AH183" i="6"/>
  <c r="AG183" i="6"/>
  <c r="AM183" i="6" s="1"/>
  <c r="AF183" i="6"/>
  <c r="AE183" i="6"/>
  <c r="AD183" i="6"/>
  <c r="AB183" i="6"/>
  <c r="AA183" i="6"/>
  <c r="AC183" i="6" s="1"/>
  <c r="Z183" i="6"/>
  <c r="Y183" i="6"/>
  <c r="X183" i="6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I647" i="6" l="1"/>
  <c r="AG647" i="6" s="1"/>
  <c r="AM647" i="6" s="1"/>
  <c r="B713" i="6"/>
  <c r="AG712" i="6"/>
  <c r="AM712" i="6" s="1"/>
  <c r="B681" i="6"/>
  <c r="AG680" i="6"/>
  <c r="AM680" i="6" s="1"/>
  <c r="AK946" i="6"/>
  <c r="AJ946" i="6"/>
  <c r="AI946" i="6"/>
  <c r="AH946" i="6"/>
  <c r="AG946" i="6"/>
  <c r="AM946" i="6" s="1"/>
  <c r="AF946" i="6"/>
  <c r="AE946" i="6"/>
  <c r="AD946" i="6"/>
  <c r="AB946" i="6"/>
  <c r="AA946" i="6"/>
  <c r="AC946" i="6" s="1"/>
  <c r="Z946" i="6"/>
  <c r="Y946" i="6"/>
  <c r="X946" i="6"/>
  <c r="AK945" i="6"/>
  <c r="AJ945" i="6"/>
  <c r="AI945" i="6"/>
  <c r="AH945" i="6"/>
  <c r="AG945" i="6"/>
  <c r="AM945" i="6" s="1"/>
  <c r="AF945" i="6"/>
  <c r="AE945" i="6"/>
  <c r="AD945" i="6"/>
  <c r="AB945" i="6"/>
  <c r="AA945" i="6"/>
  <c r="AC945" i="6" s="1"/>
  <c r="Z945" i="6"/>
  <c r="Y945" i="6"/>
  <c r="X945" i="6"/>
  <c r="AK944" i="6"/>
  <c r="AJ944" i="6"/>
  <c r="AI944" i="6"/>
  <c r="AH944" i="6"/>
  <c r="AG944" i="6"/>
  <c r="AM944" i="6" s="1"/>
  <c r="AF944" i="6"/>
  <c r="AE944" i="6"/>
  <c r="AD944" i="6"/>
  <c r="AB944" i="6"/>
  <c r="AA944" i="6"/>
  <c r="AC944" i="6" s="1"/>
  <c r="Z944" i="6"/>
  <c r="Y944" i="6"/>
  <c r="X944" i="6"/>
  <c r="AK943" i="6"/>
  <c r="AJ943" i="6"/>
  <c r="AI943" i="6"/>
  <c r="AH943" i="6"/>
  <c r="AG943" i="6"/>
  <c r="AM943" i="6" s="1"/>
  <c r="AF943" i="6"/>
  <c r="AE943" i="6"/>
  <c r="AD943" i="6"/>
  <c r="AB943" i="6"/>
  <c r="AA943" i="6"/>
  <c r="AC943" i="6" s="1"/>
  <c r="Z943" i="6"/>
  <c r="Y943" i="6"/>
  <c r="X943" i="6"/>
  <c r="AK942" i="6"/>
  <c r="AJ942" i="6"/>
  <c r="AI942" i="6"/>
  <c r="AH942" i="6"/>
  <c r="AG942" i="6"/>
  <c r="AM942" i="6" s="1"/>
  <c r="AF942" i="6"/>
  <c r="AE942" i="6"/>
  <c r="AD942" i="6"/>
  <c r="AB942" i="6"/>
  <c r="AA942" i="6"/>
  <c r="AC942" i="6" s="1"/>
  <c r="Z942" i="6"/>
  <c r="Y942" i="6"/>
  <c r="X942" i="6"/>
  <c r="AK941" i="6"/>
  <c r="AJ941" i="6"/>
  <c r="AI941" i="6"/>
  <c r="AH941" i="6"/>
  <c r="AG941" i="6"/>
  <c r="AM941" i="6" s="1"/>
  <c r="AF941" i="6"/>
  <c r="AE941" i="6"/>
  <c r="AD941" i="6"/>
  <c r="AB941" i="6"/>
  <c r="AA941" i="6"/>
  <c r="AC941" i="6" s="1"/>
  <c r="Z941" i="6"/>
  <c r="Y941" i="6"/>
  <c r="X941" i="6"/>
  <c r="AK940" i="6"/>
  <c r="AJ940" i="6"/>
  <c r="AI940" i="6"/>
  <c r="AH940" i="6"/>
  <c r="AG940" i="6"/>
  <c r="AM940" i="6" s="1"/>
  <c r="AF940" i="6"/>
  <c r="AE940" i="6"/>
  <c r="AD940" i="6"/>
  <c r="AB940" i="6"/>
  <c r="AA940" i="6"/>
  <c r="AC940" i="6" s="1"/>
  <c r="Z940" i="6"/>
  <c r="Y940" i="6"/>
  <c r="X940" i="6"/>
  <c r="AK939" i="6"/>
  <c r="AJ939" i="6"/>
  <c r="AI939" i="6"/>
  <c r="AH939" i="6"/>
  <c r="AG939" i="6"/>
  <c r="AM939" i="6" s="1"/>
  <c r="AF939" i="6"/>
  <c r="AE939" i="6"/>
  <c r="AD939" i="6"/>
  <c r="AB939" i="6"/>
  <c r="AA939" i="6"/>
  <c r="AC939" i="6" s="1"/>
  <c r="Z939" i="6"/>
  <c r="Y939" i="6"/>
  <c r="X939" i="6"/>
  <c r="AK937" i="6"/>
  <c r="AJ937" i="6"/>
  <c r="AI937" i="6"/>
  <c r="AH937" i="6"/>
  <c r="AG937" i="6"/>
  <c r="AM937" i="6" s="1"/>
  <c r="AF937" i="6"/>
  <c r="AE937" i="6"/>
  <c r="AD937" i="6"/>
  <c r="AB937" i="6"/>
  <c r="AA937" i="6"/>
  <c r="AC937" i="6" s="1"/>
  <c r="Z937" i="6"/>
  <c r="Y937" i="6"/>
  <c r="X937" i="6"/>
  <c r="AK936" i="6"/>
  <c r="AJ936" i="6"/>
  <c r="AI936" i="6"/>
  <c r="AH936" i="6"/>
  <c r="AG936" i="6"/>
  <c r="AM936" i="6" s="1"/>
  <c r="AF936" i="6"/>
  <c r="AE936" i="6"/>
  <c r="AD936" i="6"/>
  <c r="AB936" i="6"/>
  <c r="AA936" i="6"/>
  <c r="AC936" i="6" s="1"/>
  <c r="Z936" i="6"/>
  <c r="Y936" i="6"/>
  <c r="X936" i="6"/>
  <c r="AK935" i="6"/>
  <c r="AJ935" i="6"/>
  <c r="AI935" i="6"/>
  <c r="AH935" i="6"/>
  <c r="AG935" i="6"/>
  <c r="AM935" i="6" s="1"/>
  <c r="AF935" i="6"/>
  <c r="AE935" i="6"/>
  <c r="AD935" i="6"/>
  <c r="AB935" i="6"/>
  <c r="AA935" i="6"/>
  <c r="AC935" i="6" s="1"/>
  <c r="Z935" i="6"/>
  <c r="Y935" i="6"/>
  <c r="X935" i="6"/>
  <c r="AK934" i="6"/>
  <c r="AJ934" i="6"/>
  <c r="AI934" i="6"/>
  <c r="AH934" i="6"/>
  <c r="AG934" i="6"/>
  <c r="AM934" i="6" s="1"/>
  <c r="AF934" i="6"/>
  <c r="AE934" i="6"/>
  <c r="AD934" i="6"/>
  <c r="AB934" i="6"/>
  <c r="AA934" i="6"/>
  <c r="AC934" i="6" s="1"/>
  <c r="Z934" i="6"/>
  <c r="Y934" i="6"/>
  <c r="X934" i="6"/>
  <c r="AK933" i="6"/>
  <c r="AJ933" i="6"/>
  <c r="AI933" i="6"/>
  <c r="AH933" i="6"/>
  <c r="AG933" i="6"/>
  <c r="AM933" i="6" s="1"/>
  <c r="AF933" i="6"/>
  <c r="AE933" i="6"/>
  <c r="AD933" i="6"/>
  <c r="AB933" i="6"/>
  <c r="AA933" i="6"/>
  <c r="AC933" i="6" s="1"/>
  <c r="Z933" i="6"/>
  <c r="Y933" i="6"/>
  <c r="X933" i="6"/>
  <c r="AK932" i="6"/>
  <c r="AJ932" i="6"/>
  <c r="AI932" i="6"/>
  <c r="AH932" i="6"/>
  <c r="AG932" i="6"/>
  <c r="AM932" i="6" s="1"/>
  <c r="AF932" i="6"/>
  <c r="AE932" i="6"/>
  <c r="AD932" i="6"/>
  <c r="AB932" i="6"/>
  <c r="AA932" i="6"/>
  <c r="AC932" i="6" s="1"/>
  <c r="Z932" i="6"/>
  <c r="Y932" i="6"/>
  <c r="X932" i="6"/>
  <c r="AK931" i="6"/>
  <c r="AJ931" i="6"/>
  <c r="AI931" i="6"/>
  <c r="AH931" i="6"/>
  <c r="AG931" i="6"/>
  <c r="AM931" i="6" s="1"/>
  <c r="AF931" i="6"/>
  <c r="AE931" i="6"/>
  <c r="AD931" i="6"/>
  <c r="AB931" i="6"/>
  <c r="AA931" i="6"/>
  <c r="AC931" i="6" s="1"/>
  <c r="Z931" i="6"/>
  <c r="Y931" i="6"/>
  <c r="X931" i="6"/>
  <c r="AK930" i="6"/>
  <c r="AJ930" i="6"/>
  <c r="AI930" i="6"/>
  <c r="AH930" i="6"/>
  <c r="AG930" i="6"/>
  <c r="AM930" i="6" s="1"/>
  <c r="AF930" i="6"/>
  <c r="AE930" i="6"/>
  <c r="AD930" i="6"/>
  <c r="AB930" i="6"/>
  <c r="AA930" i="6"/>
  <c r="AC930" i="6" s="1"/>
  <c r="Z930" i="6"/>
  <c r="Y930" i="6"/>
  <c r="X930" i="6"/>
  <c r="I648" i="6" l="1"/>
  <c r="AG648" i="6" s="1"/>
  <c r="AM648" i="6" s="1"/>
  <c r="B714" i="6"/>
  <c r="AG713" i="6"/>
  <c r="AM713" i="6" s="1"/>
  <c r="B682" i="6"/>
  <c r="AG681" i="6"/>
  <c r="AM681" i="6" s="1"/>
  <c r="AH1041" i="6"/>
  <c r="AH1040" i="6"/>
  <c r="AH1039" i="6"/>
  <c r="AH1038" i="6"/>
  <c r="AH1037" i="6"/>
  <c r="AH1036" i="6"/>
  <c r="AH1035" i="6"/>
  <c r="AH1034" i="6"/>
  <c r="AH1033" i="6"/>
  <c r="AH1032" i="6"/>
  <c r="AH1031" i="6"/>
  <c r="AH1030" i="6"/>
  <c r="AH1029" i="6"/>
  <c r="AH1028" i="6"/>
  <c r="AH1027" i="6"/>
  <c r="AH1026" i="6"/>
  <c r="AH1025" i="6"/>
  <c r="AH1024" i="6"/>
  <c r="AH1023" i="6"/>
  <c r="AH1022" i="6"/>
  <c r="AH1021" i="6"/>
  <c r="AH1020" i="6"/>
  <c r="AH1019" i="6"/>
  <c r="AH1018" i="6"/>
  <c r="AH1017" i="6"/>
  <c r="AH1016" i="6"/>
  <c r="AH1015" i="6"/>
  <c r="AH1014" i="6"/>
  <c r="AH1013" i="6"/>
  <c r="AH1012" i="6"/>
  <c r="AH1011" i="6"/>
  <c r="AH1010" i="6"/>
  <c r="AH1009" i="6"/>
  <c r="AH1008" i="6"/>
  <c r="AH1007" i="6"/>
  <c r="AH1006" i="6"/>
  <c r="AH1005" i="6"/>
  <c r="AH1004" i="6"/>
  <c r="AH1003" i="6"/>
  <c r="AH1002" i="6"/>
  <c r="AH1001" i="6"/>
  <c r="AH1000" i="6"/>
  <c r="AH999" i="6"/>
  <c r="AH998" i="6"/>
  <c r="AH997" i="6"/>
  <c r="AH996" i="6"/>
  <c r="AH995" i="6"/>
  <c r="AH994" i="6"/>
  <c r="AH993" i="6"/>
  <c r="AH992" i="6"/>
  <c r="AH991" i="6"/>
  <c r="AH990" i="6"/>
  <c r="AH989" i="6"/>
  <c r="AH988" i="6"/>
  <c r="AH987" i="6"/>
  <c r="AH986" i="6"/>
  <c r="AH985" i="6"/>
  <c r="AH984" i="6"/>
  <c r="AH983" i="6"/>
  <c r="AH982" i="6"/>
  <c r="AH981" i="6"/>
  <c r="AH980" i="6"/>
  <c r="AH979" i="6"/>
  <c r="AH978" i="6"/>
  <c r="AH977" i="6"/>
  <c r="AH976" i="6"/>
  <c r="AH973" i="6"/>
  <c r="AH972" i="6"/>
  <c r="AH971" i="6"/>
  <c r="AH970" i="6"/>
  <c r="AH969" i="6"/>
  <c r="AH795" i="6"/>
  <c r="AH794" i="6"/>
  <c r="AH793" i="6"/>
  <c r="AH792" i="6"/>
  <c r="AH789" i="6"/>
  <c r="AH788" i="6"/>
  <c r="AH787" i="6"/>
  <c r="AH736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975" i="6"/>
  <c r="AH974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491" i="6"/>
  <c r="AH490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3" i="6"/>
  <c r="AH352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19" i="6"/>
  <c r="AH318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5" i="6"/>
  <c r="AH284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1" i="6"/>
  <c r="AH250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2" i="6"/>
  <c r="AH211" i="6"/>
  <c r="AH210" i="6"/>
  <c r="AH209" i="6"/>
  <c r="AH208" i="6"/>
  <c r="AH207" i="6"/>
  <c r="AH206" i="6"/>
  <c r="AH205" i="6"/>
  <c r="AH204" i="6"/>
  <c r="AH203" i="6"/>
  <c r="AH202" i="6"/>
  <c r="AH76" i="6"/>
  <c r="AH201" i="6"/>
  <c r="AH200" i="6"/>
  <c r="AH199" i="6"/>
  <c r="AH75" i="6"/>
  <c r="AH198" i="6"/>
  <c r="AH197" i="6"/>
  <c r="AH196" i="6"/>
  <c r="AH195" i="6"/>
  <c r="AH194" i="6"/>
  <c r="AH968" i="6"/>
  <c r="AH967" i="6"/>
  <c r="AH966" i="6"/>
  <c r="AH965" i="6"/>
  <c r="AH964" i="6"/>
  <c r="AH963" i="6"/>
  <c r="AH948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885" i="6"/>
  <c r="AH884" i="6"/>
  <c r="AH883" i="6"/>
  <c r="AH882" i="6"/>
  <c r="AH881" i="6"/>
  <c r="AH880" i="6"/>
  <c r="AH879" i="6"/>
  <c r="AH878" i="6"/>
  <c r="AH877" i="6"/>
  <c r="AH876" i="6"/>
  <c r="AH875" i="6"/>
  <c r="AH874" i="6"/>
  <c r="AH873" i="6"/>
  <c r="AH872" i="6"/>
  <c r="AH871" i="6"/>
  <c r="AH870" i="6"/>
  <c r="AH869" i="6"/>
  <c r="AH868" i="6"/>
  <c r="AH867" i="6"/>
  <c r="AH866" i="6"/>
  <c r="AH865" i="6"/>
  <c r="AH864" i="6"/>
  <c r="AH863" i="6"/>
  <c r="AH862" i="6"/>
  <c r="AH861" i="6"/>
  <c r="AH860" i="6"/>
  <c r="AH859" i="6"/>
  <c r="AH858" i="6"/>
  <c r="AH857" i="6"/>
  <c r="AH856" i="6"/>
  <c r="AH855" i="6"/>
  <c r="AH854" i="6"/>
  <c r="AH853" i="6"/>
  <c r="AH852" i="6"/>
  <c r="AH851" i="6"/>
  <c r="AH850" i="6"/>
  <c r="AH849" i="6"/>
  <c r="AH848" i="6"/>
  <c r="AH847" i="6"/>
  <c r="AH846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193" i="6"/>
  <c r="AH192" i="6"/>
  <c r="AH191" i="6"/>
  <c r="AH190" i="6"/>
  <c r="AH179" i="6"/>
  <c r="AH178" i="6"/>
  <c r="AH177" i="6"/>
  <c r="AH176" i="6"/>
  <c r="AH175" i="6"/>
  <c r="AH174" i="6"/>
  <c r="AH173" i="6"/>
  <c r="AH172" i="6"/>
  <c r="AH171" i="6"/>
  <c r="AH169" i="6"/>
  <c r="AH168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89" i="6"/>
  <c r="AH88" i="6"/>
  <c r="AH93" i="6"/>
  <c r="AH92" i="6"/>
  <c r="AH91" i="6"/>
  <c r="AH90" i="6"/>
  <c r="AH94" i="6"/>
  <c r="AH87" i="6"/>
  <c r="AH86" i="6"/>
  <c r="AH85" i="6"/>
  <c r="AH84" i="6"/>
  <c r="AH83" i="6"/>
  <c r="AH82" i="6"/>
  <c r="AH81" i="6"/>
  <c r="AH80" i="6"/>
  <c r="AH79" i="6"/>
  <c r="AH78" i="6"/>
  <c r="AH74" i="6"/>
  <c r="AH73" i="6"/>
  <c r="AH71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9" i="6"/>
  <c r="AJ169" i="6"/>
  <c r="AI169" i="6"/>
  <c r="AG169" i="6"/>
  <c r="AM169" i="6" s="1"/>
  <c r="AF169" i="6"/>
  <c r="AE169" i="6"/>
  <c r="AD169" i="6"/>
  <c r="AB169" i="6"/>
  <c r="AA169" i="6"/>
  <c r="AC169" i="6" s="1"/>
  <c r="Z169" i="6"/>
  <c r="Y169" i="6"/>
  <c r="X169" i="6"/>
  <c r="AK168" i="6"/>
  <c r="AJ168" i="6"/>
  <c r="AI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AK178" i="6"/>
  <c r="AJ178" i="6"/>
  <c r="AI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AK177" i="6"/>
  <c r="AJ177" i="6"/>
  <c r="AI177" i="6"/>
  <c r="AG177" i="6"/>
  <c r="AM177" i="6" s="1"/>
  <c r="AF177" i="6"/>
  <c r="AE177" i="6"/>
  <c r="AD177" i="6"/>
  <c r="AB177" i="6"/>
  <c r="AA177" i="6"/>
  <c r="AC177" i="6" s="1"/>
  <c r="Z177" i="6"/>
  <c r="Y177" i="6"/>
  <c r="X177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I649" i="6" l="1"/>
  <c r="AG649" i="6" s="1"/>
  <c r="AM649" i="6" s="1"/>
  <c r="B715" i="6"/>
  <c r="AG714" i="6"/>
  <c r="AM714" i="6" s="1"/>
  <c r="AG682" i="6"/>
  <c r="AM682" i="6" s="1"/>
  <c r="B683" i="6"/>
  <c r="O124" i="10"/>
  <c r="P124" i="10" s="1"/>
  <c r="O121" i="10"/>
  <c r="P121" i="10" s="1"/>
  <c r="O119" i="10"/>
  <c r="P119" i="10" s="1"/>
  <c r="O112" i="10"/>
  <c r="P112" i="10" s="1"/>
  <c r="O109" i="10"/>
  <c r="P109" i="10" s="1"/>
  <c r="O107" i="10"/>
  <c r="P107" i="10" s="1"/>
  <c r="O100" i="10"/>
  <c r="P100" i="10" s="1"/>
  <c r="O97" i="10"/>
  <c r="P97" i="10" s="1"/>
  <c r="O95" i="10"/>
  <c r="P95" i="10" s="1"/>
  <c r="O88" i="10"/>
  <c r="P88" i="10" s="1"/>
  <c r="O85" i="10"/>
  <c r="P85" i="10" s="1"/>
  <c r="O83" i="10"/>
  <c r="P83" i="10" s="1"/>
  <c r="O76" i="10"/>
  <c r="P76" i="10" s="1"/>
  <c r="O73" i="10"/>
  <c r="P73" i="10" s="1"/>
  <c r="O71" i="10"/>
  <c r="P71" i="10" s="1"/>
  <c r="O64" i="10"/>
  <c r="P64" i="10" s="1"/>
  <c r="O61" i="10"/>
  <c r="P61" i="10" s="1"/>
  <c r="O59" i="10"/>
  <c r="P59" i="10" s="1"/>
  <c r="O52" i="10"/>
  <c r="P52" i="10" s="1"/>
  <c r="O49" i="10"/>
  <c r="P49" i="10" s="1"/>
  <c r="O47" i="10"/>
  <c r="P47" i="10" s="1"/>
  <c r="O40" i="10"/>
  <c r="P40" i="10" s="1"/>
  <c r="O37" i="10"/>
  <c r="P37" i="10" s="1"/>
  <c r="O35" i="10"/>
  <c r="P35" i="10" s="1"/>
  <c r="O28" i="10"/>
  <c r="P28" i="10" s="1"/>
  <c r="O25" i="10"/>
  <c r="P25" i="10" s="1"/>
  <c r="O23" i="10"/>
  <c r="P23" i="10" s="1"/>
  <c r="O16" i="10"/>
  <c r="P16" i="10" s="1"/>
  <c r="O13" i="10"/>
  <c r="P13" i="10" s="1"/>
  <c r="O11" i="10"/>
  <c r="P11" i="10" s="1"/>
  <c r="O4" i="10"/>
  <c r="P4" i="10" s="1"/>
  <c r="O1" i="10"/>
  <c r="P1" i="10" s="1"/>
  <c r="N124" i="10"/>
  <c r="N123" i="10"/>
  <c r="O123" i="10" s="1"/>
  <c r="P123" i="10" s="1"/>
  <c r="N122" i="10"/>
  <c r="O122" i="10" s="1"/>
  <c r="P122" i="10" s="1"/>
  <c r="N121" i="10"/>
  <c r="N120" i="10"/>
  <c r="O120" i="10" s="1"/>
  <c r="P120" i="10" s="1"/>
  <c r="N119" i="10"/>
  <c r="N118" i="10"/>
  <c r="O118" i="10" s="1"/>
  <c r="P118" i="10" s="1"/>
  <c r="N117" i="10"/>
  <c r="O117" i="10" s="1"/>
  <c r="P117" i="10" s="1"/>
  <c r="N116" i="10"/>
  <c r="O116" i="10" s="1"/>
  <c r="P116" i="10" s="1"/>
  <c r="N115" i="10"/>
  <c r="O115" i="10" s="1"/>
  <c r="P115" i="10" s="1"/>
  <c r="N114" i="10"/>
  <c r="O114" i="10" s="1"/>
  <c r="P114" i="10" s="1"/>
  <c r="N113" i="10"/>
  <c r="O113" i="10" s="1"/>
  <c r="P113" i="10" s="1"/>
  <c r="N112" i="10"/>
  <c r="N111" i="10"/>
  <c r="O111" i="10" s="1"/>
  <c r="P111" i="10" s="1"/>
  <c r="N110" i="10"/>
  <c r="O110" i="10" s="1"/>
  <c r="P110" i="10" s="1"/>
  <c r="N109" i="10"/>
  <c r="N108" i="10"/>
  <c r="O108" i="10" s="1"/>
  <c r="P108" i="10" s="1"/>
  <c r="N107" i="10"/>
  <c r="N106" i="10"/>
  <c r="O106" i="10" s="1"/>
  <c r="P106" i="10" s="1"/>
  <c r="N105" i="10"/>
  <c r="O105" i="10" s="1"/>
  <c r="P105" i="10" s="1"/>
  <c r="N104" i="10"/>
  <c r="O104" i="10" s="1"/>
  <c r="P104" i="10" s="1"/>
  <c r="N103" i="10"/>
  <c r="O103" i="10" s="1"/>
  <c r="P103" i="10" s="1"/>
  <c r="N102" i="10"/>
  <c r="O102" i="10" s="1"/>
  <c r="P102" i="10" s="1"/>
  <c r="N101" i="10"/>
  <c r="O101" i="10" s="1"/>
  <c r="P101" i="10" s="1"/>
  <c r="N100" i="10"/>
  <c r="N99" i="10"/>
  <c r="O99" i="10" s="1"/>
  <c r="P99" i="10" s="1"/>
  <c r="N98" i="10"/>
  <c r="O98" i="10" s="1"/>
  <c r="P98" i="10" s="1"/>
  <c r="N97" i="10"/>
  <c r="N96" i="10"/>
  <c r="O96" i="10" s="1"/>
  <c r="P96" i="10" s="1"/>
  <c r="N95" i="10"/>
  <c r="N94" i="10"/>
  <c r="O94" i="10" s="1"/>
  <c r="P94" i="10" s="1"/>
  <c r="N93" i="10"/>
  <c r="O93" i="10" s="1"/>
  <c r="P93" i="10" s="1"/>
  <c r="N92" i="10"/>
  <c r="O92" i="10" s="1"/>
  <c r="P92" i="10" s="1"/>
  <c r="N91" i="10"/>
  <c r="O91" i="10" s="1"/>
  <c r="P91" i="10" s="1"/>
  <c r="N90" i="10"/>
  <c r="O90" i="10" s="1"/>
  <c r="P90" i="10" s="1"/>
  <c r="N89" i="10"/>
  <c r="O89" i="10" s="1"/>
  <c r="P89" i="10" s="1"/>
  <c r="N88" i="10"/>
  <c r="N87" i="10"/>
  <c r="O87" i="10" s="1"/>
  <c r="P87" i="10" s="1"/>
  <c r="N86" i="10"/>
  <c r="O86" i="10" s="1"/>
  <c r="P86" i="10" s="1"/>
  <c r="N85" i="10"/>
  <c r="N84" i="10"/>
  <c r="O84" i="10" s="1"/>
  <c r="P84" i="10" s="1"/>
  <c r="N83" i="10"/>
  <c r="N82" i="10"/>
  <c r="O82" i="10" s="1"/>
  <c r="P82" i="10" s="1"/>
  <c r="N81" i="10"/>
  <c r="O81" i="10" s="1"/>
  <c r="P81" i="10" s="1"/>
  <c r="N80" i="10"/>
  <c r="O80" i="10" s="1"/>
  <c r="P80" i="10" s="1"/>
  <c r="N79" i="10"/>
  <c r="O79" i="10" s="1"/>
  <c r="P79" i="10" s="1"/>
  <c r="N78" i="10"/>
  <c r="O78" i="10" s="1"/>
  <c r="P78" i="10" s="1"/>
  <c r="N77" i="10"/>
  <c r="O77" i="10" s="1"/>
  <c r="P77" i="10" s="1"/>
  <c r="N76" i="10"/>
  <c r="N75" i="10"/>
  <c r="O75" i="10" s="1"/>
  <c r="P75" i="10" s="1"/>
  <c r="N74" i="10"/>
  <c r="O74" i="10" s="1"/>
  <c r="P74" i="10" s="1"/>
  <c r="N73" i="10"/>
  <c r="N72" i="10"/>
  <c r="O72" i="10" s="1"/>
  <c r="P72" i="10" s="1"/>
  <c r="N71" i="10"/>
  <c r="N70" i="10"/>
  <c r="O70" i="10" s="1"/>
  <c r="P70" i="10" s="1"/>
  <c r="N69" i="10"/>
  <c r="O69" i="10" s="1"/>
  <c r="P69" i="10" s="1"/>
  <c r="N68" i="10"/>
  <c r="O68" i="10" s="1"/>
  <c r="P68" i="10" s="1"/>
  <c r="N67" i="10"/>
  <c r="O67" i="10" s="1"/>
  <c r="P67" i="10" s="1"/>
  <c r="N66" i="10"/>
  <c r="O66" i="10" s="1"/>
  <c r="P66" i="10" s="1"/>
  <c r="N65" i="10"/>
  <c r="O65" i="10" s="1"/>
  <c r="P65" i="10" s="1"/>
  <c r="N64" i="10"/>
  <c r="N63" i="10"/>
  <c r="O63" i="10" s="1"/>
  <c r="P63" i="10" s="1"/>
  <c r="N62" i="10"/>
  <c r="O62" i="10" s="1"/>
  <c r="P62" i="10" s="1"/>
  <c r="N61" i="10"/>
  <c r="N60" i="10"/>
  <c r="O60" i="10" s="1"/>
  <c r="P60" i="10" s="1"/>
  <c r="N59" i="10"/>
  <c r="N58" i="10"/>
  <c r="O58" i="10" s="1"/>
  <c r="P58" i="10" s="1"/>
  <c r="N57" i="10"/>
  <c r="O57" i="10" s="1"/>
  <c r="P57" i="10" s="1"/>
  <c r="N56" i="10"/>
  <c r="O56" i="10" s="1"/>
  <c r="P56" i="10" s="1"/>
  <c r="N55" i="10"/>
  <c r="O55" i="10" s="1"/>
  <c r="P55" i="10" s="1"/>
  <c r="N54" i="10"/>
  <c r="O54" i="10" s="1"/>
  <c r="P54" i="10" s="1"/>
  <c r="N53" i="10"/>
  <c r="O53" i="10" s="1"/>
  <c r="P53" i="10" s="1"/>
  <c r="N52" i="10"/>
  <c r="N51" i="10"/>
  <c r="O51" i="10" s="1"/>
  <c r="P51" i="10" s="1"/>
  <c r="N50" i="10"/>
  <c r="O50" i="10" s="1"/>
  <c r="P50" i="10" s="1"/>
  <c r="N49" i="10"/>
  <c r="N48" i="10"/>
  <c r="O48" i="10" s="1"/>
  <c r="P48" i="10" s="1"/>
  <c r="N47" i="10"/>
  <c r="N46" i="10"/>
  <c r="O46" i="10" s="1"/>
  <c r="P46" i="10" s="1"/>
  <c r="N45" i="10"/>
  <c r="O45" i="10" s="1"/>
  <c r="P45" i="10" s="1"/>
  <c r="N44" i="10"/>
  <c r="O44" i="10" s="1"/>
  <c r="P44" i="10" s="1"/>
  <c r="N43" i="10"/>
  <c r="O43" i="10" s="1"/>
  <c r="P43" i="10" s="1"/>
  <c r="N42" i="10"/>
  <c r="O42" i="10" s="1"/>
  <c r="P42" i="10" s="1"/>
  <c r="N41" i="10"/>
  <c r="O41" i="10" s="1"/>
  <c r="P41" i="10" s="1"/>
  <c r="N40" i="10"/>
  <c r="N39" i="10"/>
  <c r="O39" i="10" s="1"/>
  <c r="P39" i="10" s="1"/>
  <c r="N38" i="10"/>
  <c r="O38" i="10" s="1"/>
  <c r="P38" i="10" s="1"/>
  <c r="N37" i="10"/>
  <c r="N36" i="10"/>
  <c r="O36" i="10" s="1"/>
  <c r="P36" i="10" s="1"/>
  <c r="N35" i="10"/>
  <c r="N34" i="10"/>
  <c r="O34" i="10" s="1"/>
  <c r="P34" i="10" s="1"/>
  <c r="N33" i="10"/>
  <c r="O33" i="10" s="1"/>
  <c r="P33" i="10" s="1"/>
  <c r="N32" i="10"/>
  <c r="O32" i="10" s="1"/>
  <c r="P32" i="10" s="1"/>
  <c r="N31" i="10"/>
  <c r="O31" i="10" s="1"/>
  <c r="P31" i="10" s="1"/>
  <c r="N30" i="10"/>
  <c r="O30" i="10" s="1"/>
  <c r="P30" i="10" s="1"/>
  <c r="N29" i="10"/>
  <c r="O29" i="10" s="1"/>
  <c r="P29" i="10" s="1"/>
  <c r="N28" i="10"/>
  <c r="N27" i="10"/>
  <c r="O27" i="10" s="1"/>
  <c r="P27" i="10" s="1"/>
  <c r="N26" i="10"/>
  <c r="O26" i="10" s="1"/>
  <c r="P26" i="10" s="1"/>
  <c r="N25" i="10"/>
  <c r="N24" i="10"/>
  <c r="O24" i="10" s="1"/>
  <c r="P24" i="10" s="1"/>
  <c r="N23" i="10"/>
  <c r="N22" i="10"/>
  <c r="O22" i="10" s="1"/>
  <c r="P22" i="10" s="1"/>
  <c r="N21" i="10"/>
  <c r="O21" i="10" s="1"/>
  <c r="P21" i="10" s="1"/>
  <c r="N20" i="10"/>
  <c r="O20" i="10" s="1"/>
  <c r="P20" i="10" s="1"/>
  <c r="N19" i="10"/>
  <c r="O19" i="10" s="1"/>
  <c r="P19" i="10" s="1"/>
  <c r="N18" i="10"/>
  <c r="O18" i="10" s="1"/>
  <c r="P18" i="10" s="1"/>
  <c r="N17" i="10"/>
  <c r="O17" i="10" s="1"/>
  <c r="P17" i="10" s="1"/>
  <c r="N16" i="10"/>
  <c r="N15" i="10"/>
  <c r="O15" i="10" s="1"/>
  <c r="P15" i="10" s="1"/>
  <c r="N14" i="10"/>
  <c r="O14" i="10" s="1"/>
  <c r="P14" i="10" s="1"/>
  <c r="N13" i="10"/>
  <c r="N12" i="10"/>
  <c r="O12" i="10" s="1"/>
  <c r="P12" i="10" s="1"/>
  <c r="N11" i="10"/>
  <c r="N10" i="10"/>
  <c r="O10" i="10" s="1"/>
  <c r="P10" i="10" s="1"/>
  <c r="N9" i="10"/>
  <c r="O9" i="10" s="1"/>
  <c r="P9" i="10" s="1"/>
  <c r="N8" i="10"/>
  <c r="O8" i="10" s="1"/>
  <c r="P8" i="10" s="1"/>
  <c r="N7" i="10"/>
  <c r="O7" i="10" s="1"/>
  <c r="P7" i="10" s="1"/>
  <c r="N6" i="10"/>
  <c r="O6" i="10" s="1"/>
  <c r="P6" i="10" s="1"/>
  <c r="N5" i="10"/>
  <c r="O5" i="10" s="1"/>
  <c r="P5" i="10" s="1"/>
  <c r="N4" i="10"/>
  <c r="N3" i="10"/>
  <c r="O3" i="10" s="1"/>
  <c r="P3" i="10" s="1"/>
  <c r="N2" i="10"/>
  <c r="O2" i="10" s="1"/>
  <c r="P2" i="10" s="1"/>
  <c r="N1" i="10"/>
  <c r="I650" i="6" l="1"/>
  <c r="AG650" i="6" s="1"/>
  <c r="AM650" i="6" s="1"/>
  <c r="B716" i="6"/>
  <c r="AG715" i="6"/>
  <c r="AM715" i="6" s="1"/>
  <c r="B684" i="6"/>
  <c r="AG683" i="6"/>
  <c r="AM683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I651" i="6" l="1"/>
  <c r="AG651" i="6" s="1"/>
  <c r="AM651" i="6" s="1"/>
  <c r="B717" i="6"/>
  <c r="AG716" i="6"/>
  <c r="AM716" i="6" s="1"/>
  <c r="B685" i="6"/>
  <c r="AG684" i="6"/>
  <c r="AM684" i="6" s="1"/>
  <c r="AE795" i="6"/>
  <c r="AE794" i="6"/>
  <c r="AE793" i="6"/>
  <c r="AE792" i="6"/>
  <c r="AE50" i="6"/>
  <c r="AE789" i="6"/>
  <c r="AE787" i="6"/>
  <c r="AE736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70" i="6"/>
  <c r="AE975" i="6"/>
  <c r="AE974" i="6"/>
  <c r="AE568" i="6"/>
  <c r="AE566" i="6"/>
  <c r="AE565" i="6"/>
  <c r="AE564" i="6"/>
  <c r="AE563" i="6"/>
  <c r="AE561" i="6"/>
  <c r="AE560" i="6"/>
  <c r="AE558" i="6"/>
  <c r="AE557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5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4" i="6"/>
  <c r="AE453" i="6"/>
  <c r="AE452" i="6"/>
  <c r="AE451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7" i="6"/>
  <c r="AE415" i="6"/>
  <c r="AE414" i="6"/>
  <c r="AE413" i="6"/>
  <c r="AE412" i="6"/>
  <c r="AE411" i="6"/>
  <c r="AE410" i="6"/>
  <c r="AE409" i="6"/>
  <c r="AE408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8" i="6"/>
  <c r="AE357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19" i="6"/>
  <c r="AE218" i="6"/>
  <c r="AE216" i="6"/>
  <c r="AE212" i="6"/>
  <c r="AE211" i="6"/>
  <c r="AE210" i="6"/>
  <c r="AE209" i="6"/>
  <c r="AE208" i="6"/>
  <c r="AE207" i="6"/>
  <c r="AE206" i="6"/>
  <c r="AE204" i="6"/>
  <c r="AE203" i="6"/>
  <c r="AE202" i="6"/>
  <c r="AE76" i="6"/>
  <c r="AE201" i="6"/>
  <c r="AE200" i="6"/>
  <c r="AE199" i="6"/>
  <c r="AE75" i="6"/>
  <c r="AE198" i="6"/>
  <c r="AE196" i="6"/>
  <c r="AE195" i="6"/>
  <c r="AE194" i="6"/>
  <c r="AE967" i="6"/>
  <c r="AE966" i="6"/>
  <c r="AE965" i="6"/>
  <c r="AE964" i="6"/>
  <c r="AE963" i="6"/>
  <c r="AE948" i="6"/>
  <c r="AE928" i="6"/>
  <c r="AE927" i="6"/>
  <c r="AE926" i="6"/>
  <c r="AE925" i="6"/>
  <c r="AE924" i="6"/>
  <c r="AE923" i="6"/>
  <c r="AE922" i="6"/>
  <c r="AE921" i="6"/>
  <c r="AE920" i="6"/>
  <c r="AE919" i="6"/>
  <c r="AE918" i="6"/>
  <c r="AE917" i="6"/>
  <c r="AE916" i="6"/>
  <c r="AE915" i="6"/>
  <c r="AE914" i="6"/>
  <c r="AE913" i="6"/>
  <c r="AE912" i="6"/>
  <c r="AE911" i="6"/>
  <c r="AE910" i="6"/>
  <c r="AE909" i="6"/>
  <c r="AE908" i="6"/>
  <c r="AE907" i="6"/>
  <c r="AE906" i="6"/>
  <c r="AE905" i="6"/>
  <c r="AE904" i="6"/>
  <c r="AE903" i="6"/>
  <c r="AE902" i="6"/>
  <c r="AE901" i="6"/>
  <c r="AE900" i="6"/>
  <c r="AE899" i="6"/>
  <c r="AE898" i="6"/>
  <c r="AE897" i="6"/>
  <c r="AE896" i="6"/>
  <c r="AE895" i="6"/>
  <c r="AE894" i="6"/>
  <c r="AE893" i="6"/>
  <c r="AE892" i="6"/>
  <c r="AE891" i="6"/>
  <c r="AE890" i="6"/>
  <c r="AE889" i="6"/>
  <c r="AE888" i="6"/>
  <c r="AE887" i="6"/>
  <c r="AE886" i="6"/>
  <c r="AE885" i="6"/>
  <c r="AE884" i="6"/>
  <c r="AE883" i="6"/>
  <c r="AE882" i="6"/>
  <c r="AE881" i="6"/>
  <c r="AE880" i="6"/>
  <c r="AE879" i="6"/>
  <c r="AE878" i="6"/>
  <c r="AE877" i="6"/>
  <c r="AE876" i="6"/>
  <c r="AE807" i="6"/>
  <c r="AE806" i="6"/>
  <c r="AE805" i="6"/>
  <c r="AE804" i="6"/>
  <c r="AE803" i="6"/>
  <c r="AE875" i="6"/>
  <c r="AE874" i="6"/>
  <c r="AE873" i="6"/>
  <c r="AE872" i="6"/>
  <c r="AE871" i="6"/>
  <c r="AE870" i="6"/>
  <c r="AE869" i="6"/>
  <c r="AE868" i="6"/>
  <c r="AE867" i="6"/>
  <c r="AE866" i="6"/>
  <c r="AE865" i="6"/>
  <c r="AE864" i="6"/>
  <c r="AE863" i="6"/>
  <c r="AE862" i="6"/>
  <c r="AE861" i="6"/>
  <c r="AE860" i="6"/>
  <c r="AE859" i="6"/>
  <c r="AE858" i="6"/>
  <c r="AE857" i="6"/>
  <c r="AE856" i="6"/>
  <c r="AE855" i="6"/>
  <c r="AE854" i="6"/>
  <c r="AE853" i="6"/>
  <c r="AE852" i="6"/>
  <c r="AE851" i="6"/>
  <c r="AE850" i="6"/>
  <c r="AE849" i="6"/>
  <c r="AE848" i="6"/>
  <c r="AE847" i="6"/>
  <c r="AE846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2" i="6"/>
  <c r="AE811" i="6"/>
  <c r="AE810" i="6"/>
  <c r="AE809" i="6"/>
  <c r="AE802" i="6"/>
  <c r="AE801" i="6"/>
  <c r="AE800" i="6"/>
  <c r="AE799" i="6"/>
  <c r="AE797" i="6"/>
  <c r="AE796" i="6"/>
  <c r="AE192" i="6"/>
  <c r="AE174" i="6"/>
  <c r="AE173" i="6"/>
  <c r="AE172" i="6"/>
  <c r="AE171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5" i="6"/>
  <c r="AE144" i="6"/>
  <c r="AE143" i="6"/>
  <c r="AE142" i="6"/>
  <c r="AE141" i="6"/>
  <c r="AE89" i="6"/>
  <c r="AE88" i="6"/>
  <c r="AE93" i="6"/>
  <c r="AE92" i="6"/>
  <c r="AE91" i="6"/>
  <c r="AE90" i="6"/>
  <c r="AE94" i="6"/>
  <c r="AE87" i="6"/>
  <c r="AE86" i="6"/>
  <c r="AE85" i="6"/>
  <c r="AE84" i="6"/>
  <c r="AE83" i="6"/>
  <c r="AE82" i="6"/>
  <c r="AE81" i="6"/>
  <c r="AE80" i="6"/>
  <c r="AE79" i="6"/>
  <c r="AE78" i="6"/>
  <c r="AE74" i="6"/>
  <c r="AE71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71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C55" i="6" s="1"/>
  <c r="AA53" i="6"/>
  <c r="AA52" i="6"/>
  <c r="AC52" i="6" s="1"/>
  <c r="AM1040" i="6"/>
  <c r="AK1040" i="6"/>
  <c r="AJ1040" i="6"/>
  <c r="AI1040" i="6"/>
  <c r="AG1040" i="6"/>
  <c r="AF1040" i="6"/>
  <c r="AD1040" i="6"/>
  <c r="AC1040" i="6"/>
  <c r="AB1040" i="6"/>
  <c r="AA1040" i="6"/>
  <c r="Z1040" i="6"/>
  <c r="Y1040" i="6"/>
  <c r="X1040" i="6"/>
  <c r="AM1039" i="6"/>
  <c r="AK1039" i="6"/>
  <c r="AJ1039" i="6"/>
  <c r="AI1039" i="6"/>
  <c r="AG1039" i="6"/>
  <c r="AF1039" i="6"/>
  <c r="AD1039" i="6"/>
  <c r="AC1039" i="6"/>
  <c r="AB1039" i="6"/>
  <c r="AA1039" i="6"/>
  <c r="Z1039" i="6"/>
  <c r="Y1039" i="6"/>
  <c r="X1039" i="6"/>
  <c r="AM1038" i="6"/>
  <c r="AK1038" i="6"/>
  <c r="AJ1038" i="6"/>
  <c r="AI1038" i="6"/>
  <c r="AG1038" i="6"/>
  <c r="AF1038" i="6"/>
  <c r="AD1038" i="6"/>
  <c r="AC1038" i="6"/>
  <c r="AB1038" i="6"/>
  <c r="AA1038" i="6"/>
  <c r="Z1038" i="6"/>
  <c r="Y1038" i="6"/>
  <c r="X1038" i="6"/>
  <c r="AM1037" i="6"/>
  <c r="AK1037" i="6"/>
  <c r="AJ1037" i="6"/>
  <c r="AI1037" i="6"/>
  <c r="AG1037" i="6"/>
  <c r="AF1037" i="6"/>
  <c r="AD1037" i="6"/>
  <c r="AC1037" i="6"/>
  <c r="AB1037" i="6"/>
  <c r="AA1037" i="6"/>
  <c r="Z1037" i="6"/>
  <c r="Y1037" i="6"/>
  <c r="X1037" i="6"/>
  <c r="AM1036" i="6"/>
  <c r="AK1036" i="6"/>
  <c r="AJ1036" i="6"/>
  <c r="AI1036" i="6"/>
  <c r="AG1036" i="6"/>
  <c r="AF1036" i="6"/>
  <c r="AD1036" i="6"/>
  <c r="AC1036" i="6"/>
  <c r="AB1036" i="6"/>
  <c r="AA1036" i="6"/>
  <c r="Z1036" i="6"/>
  <c r="Y1036" i="6"/>
  <c r="X1036" i="6"/>
  <c r="AM1035" i="6"/>
  <c r="AK1035" i="6"/>
  <c r="AJ1035" i="6"/>
  <c r="AI1035" i="6"/>
  <c r="AG1035" i="6"/>
  <c r="AF1035" i="6"/>
  <c r="AD1035" i="6"/>
  <c r="AC1035" i="6"/>
  <c r="AB1035" i="6"/>
  <c r="AA1035" i="6"/>
  <c r="Z1035" i="6"/>
  <c r="Y1035" i="6"/>
  <c r="X1035" i="6"/>
  <c r="AM1034" i="6"/>
  <c r="AK1034" i="6"/>
  <c r="AJ1034" i="6"/>
  <c r="AI1034" i="6"/>
  <c r="AG1034" i="6"/>
  <c r="AF1034" i="6"/>
  <c r="AD1034" i="6"/>
  <c r="AC1034" i="6"/>
  <c r="AB1034" i="6"/>
  <c r="AA1034" i="6"/>
  <c r="Z1034" i="6"/>
  <c r="Y1034" i="6"/>
  <c r="X1034" i="6"/>
  <c r="AM1033" i="6"/>
  <c r="AK1033" i="6"/>
  <c r="AJ1033" i="6"/>
  <c r="AI1033" i="6"/>
  <c r="AG1033" i="6"/>
  <c r="AF1033" i="6"/>
  <c r="AD1033" i="6"/>
  <c r="AC1033" i="6"/>
  <c r="AB1033" i="6"/>
  <c r="AA1033" i="6"/>
  <c r="Z1033" i="6"/>
  <c r="Y1033" i="6"/>
  <c r="X1033" i="6"/>
  <c r="AM1032" i="6"/>
  <c r="AK1032" i="6"/>
  <c r="AJ1032" i="6"/>
  <c r="AI1032" i="6"/>
  <c r="AG1032" i="6"/>
  <c r="AF1032" i="6"/>
  <c r="AD1032" i="6"/>
  <c r="AC1032" i="6"/>
  <c r="AB1032" i="6"/>
  <c r="AA1032" i="6"/>
  <c r="Z1032" i="6"/>
  <c r="Y1032" i="6"/>
  <c r="X1032" i="6"/>
  <c r="AM1031" i="6"/>
  <c r="AK1031" i="6"/>
  <c r="AJ1031" i="6"/>
  <c r="AI1031" i="6"/>
  <c r="AG1031" i="6"/>
  <c r="AF1031" i="6"/>
  <c r="AD1031" i="6"/>
  <c r="AC1031" i="6"/>
  <c r="AB1031" i="6"/>
  <c r="AA1031" i="6"/>
  <c r="Z1031" i="6"/>
  <c r="Y1031" i="6"/>
  <c r="X1031" i="6"/>
  <c r="AM1030" i="6"/>
  <c r="AK1030" i="6"/>
  <c r="AJ1030" i="6"/>
  <c r="AI1030" i="6"/>
  <c r="AG1030" i="6"/>
  <c r="AF1030" i="6"/>
  <c r="AD1030" i="6"/>
  <c r="AC1030" i="6"/>
  <c r="AB1030" i="6"/>
  <c r="AA1030" i="6"/>
  <c r="Z1030" i="6"/>
  <c r="Y1030" i="6"/>
  <c r="X1030" i="6"/>
  <c r="AM1029" i="6"/>
  <c r="AK1029" i="6"/>
  <c r="AJ1029" i="6"/>
  <c r="AI1029" i="6"/>
  <c r="AG1029" i="6"/>
  <c r="AF1029" i="6"/>
  <c r="AD1029" i="6"/>
  <c r="AC1029" i="6"/>
  <c r="AB1029" i="6"/>
  <c r="AA1029" i="6"/>
  <c r="Z1029" i="6"/>
  <c r="Y1029" i="6"/>
  <c r="X1029" i="6"/>
  <c r="AM1028" i="6"/>
  <c r="AK1028" i="6"/>
  <c r="AJ1028" i="6"/>
  <c r="AI1028" i="6"/>
  <c r="AG1028" i="6"/>
  <c r="AF1028" i="6"/>
  <c r="AD1028" i="6"/>
  <c r="AC1028" i="6"/>
  <c r="AB1028" i="6"/>
  <c r="AA1028" i="6"/>
  <c r="Z1028" i="6"/>
  <c r="Y1028" i="6"/>
  <c r="X1028" i="6"/>
  <c r="AM1027" i="6"/>
  <c r="AK1027" i="6"/>
  <c r="AJ1027" i="6"/>
  <c r="AI1027" i="6"/>
  <c r="AG1027" i="6"/>
  <c r="AF1027" i="6"/>
  <c r="AD1027" i="6"/>
  <c r="AC1027" i="6"/>
  <c r="AB1027" i="6"/>
  <c r="AA1027" i="6"/>
  <c r="Z1027" i="6"/>
  <c r="Y1027" i="6"/>
  <c r="X1027" i="6"/>
  <c r="AM1026" i="6"/>
  <c r="AK1026" i="6"/>
  <c r="AJ1026" i="6"/>
  <c r="AI1026" i="6"/>
  <c r="AG1026" i="6"/>
  <c r="AF1026" i="6"/>
  <c r="AD1026" i="6"/>
  <c r="AC1026" i="6"/>
  <c r="AB1026" i="6"/>
  <c r="AA1026" i="6"/>
  <c r="Z1026" i="6"/>
  <c r="Y1026" i="6"/>
  <c r="X1026" i="6"/>
  <c r="AM1025" i="6"/>
  <c r="AK1025" i="6"/>
  <c r="AJ1025" i="6"/>
  <c r="AI1025" i="6"/>
  <c r="AG1025" i="6"/>
  <c r="AF1025" i="6"/>
  <c r="AD1025" i="6"/>
  <c r="AC1025" i="6"/>
  <c r="AB1025" i="6"/>
  <c r="AA1025" i="6"/>
  <c r="Z1025" i="6"/>
  <c r="Y1025" i="6"/>
  <c r="X1025" i="6"/>
  <c r="AM1024" i="6"/>
  <c r="AK1024" i="6"/>
  <c r="AJ1024" i="6"/>
  <c r="AI1024" i="6"/>
  <c r="AG1024" i="6"/>
  <c r="AF1024" i="6"/>
  <c r="AD1024" i="6"/>
  <c r="AC1024" i="6"/>
  <c r="AB1024" i="6"/>
  <c r="AA1024" i="6"/>
  <c r="Z1024" i="6"/>
  <c r="Y1024" i="6"/>
  <c r="X1024" i="6"/>
  <c r="AM1023" i="6"/>
  <c r="AK1023" i="6"/>
  <c r="AJ1023" i="6"/>
  <c r="AI1023" i="6"/>
  <c r="AG1023" i="6"/>
  <c r="AF1023" i="6"/>
  <c r="AD1023" i="6"/>
  <c r="AC1023" i="6"/>
  <c r="AB1023" i="6"/>
  <c r="AA1023" i="6"/>
  <c r="Z1023" i="6"/>
  <c r="Y1023" i="6"/>
  <c r="X1023" i="6"/>
  <c r="AM1022" i="6"/>
  <c r="AK1022" i="6"/>
  <c r="AJ1022" i="6"/>
  <c r="AI1022" i="6"/>
  <c r="AG1022" i="6"/>
  <c r="AF1022" i="6"/>
  <c r="AD1022" i="6"/>
  <c r="AC1022" i="6"/>
  <c r="AB1022" i="6"/>
  <c r="AA1022" i="6"/>
  <c r="Z1022" i="6"/>
  <c r="Y1022" i="6"/>
  <c r="X1022" i="6"/>
  <c r="AM1021" i="6"/>
  <c r="AK1021" i="6"/>
  <c r="AJ1021" i="6"/>
  <c r="AI1021" i="6"/>
  <c r="AG1021" i="6"/>
  <c r="AF1021" i="6"/>
  <c r="AD1021" i="6"/>
  <c r="AC1021" i="6"/>
  <c r="AB1021" i="6"/>
  <c r="AA1021" i="6"/>
  <c r="Z1021" i="6"/>
  <c r="Y1021" i="6"/>
  <c r="X1021" i="6"/>
  <c r="AM1020" i="6"/>
  <c r="AK1020" i="6"/>
  <c r="AJ1020" i="6"/>
  <c r="AI1020" i="6"/>
  <c r="AG1020" i="6"/>
  <c r="AF1020" i="6"/>
  <c r="AD1020" i="6"/>
  <c r="AC1020" i="6"/>
  <c r="AB1020" i="6"/>
  <c r="AA1020" i="6"/>
  <c r="Z1020" i="6"/>
  <c r="Y1020" i="6"/>
  <c r="X1020" i="6"/>
  <c r="AM1019" i="6"/>
  <c r="AK1019" i="6"/>
  <c r="AJ1019" i="6"/>
  <c r="AI1019" i="6"/>
  <c r="AG1019" i="6"/>
  <c r="AF1019" i="6"/>
  <c r="AD1019" i="6"/>
  <c r="AC1019" i="6"/>
  <c r="AB1019" i="6"/>
  <c r="AA1019" i="6"/>
  <c r="Z1019" i="6"/>
  <c r="Y1019" i="6"/>
  <c r="X1019" i="6"/>
  <c r="AM1018" i="6"/>
  <c r="AK1018" i="6"/>
  <c r="AJ1018" i="6"/>
  <c r="AI1018" i="6"/>
  <c r="AG1018" i="6"/>
  <c r="AF1018" i="6"/>
  <c r="AD1018" i="6"/>
  <c r="AC1018" i="6"/>
  <c r="AB1018" i="6"/>
  <c r="AA1018" i="6"/>
  <c r="Z1018" i="6"/>
  <c r="Y1018" i="6"/>
  <c r="X1018" i="6"/>
  <c r="AM1017" i="6"/>
  <c r="AK1017" i="6"/>
  <c r="AJ1017" i="6"/>
  <c r="AI1017" i="6"/>
  <c r="AG1017" i="6"/>
  <c r="AF1017" i="6"/>
  <c r="AD1017" i="6"/>
  <c r="AC1017" i="6"/>
  <c r="AB1017" i="6"/>
  <c r="AA1017" i="6"/>
  <c r="Z1017" i="6"/>
  <c r="Y1017" i="6"/>
  <c r="X1017" i="6"/>
  <c r="AM1016" i="6"/>
  <c r="AK1016" i="6"/>
  <c r="AJ1016" i="6"/>
  <c r="AI1016" i="6"/>
  <c r="AG1016" i="6"/>
  <c r="AF1016" i="6"/>
  <c r="AD1016" i="6"/>
  <c r="AC1016" i="6"/>
  <c r="AB1016" i="6"/>
  <c r="AA1016" i="6"/>
  <c r="Z1016" i="6"/>
  <c r="Y1016" i="6"/>
  <c r="X1016" i="6"/>
  <c r="AM1015" i="6"/>
  <c r="AK1015" i="6"/>
  <c r="AJ1015" i="6"/>
  <c r="AI1015" i="6"/>
  <c r="AG1015" i="6"/>
  <c r="AF1015" i="6"/>
  <c r="AD1015" i="6"/>
  <c r="AC1015" i="6"/>
  <c r="AB1015" i="6"/>
  <c r="AA1015" i="6"/>
  <c r="Z1015" i="6"/>
  <c r="Y1015" i="6"/>
  <c r="X1015" i="6"/>
  <c r="AM1014" i="6"/>
  <c r="AK1014" i="6"/>
  <c r="AJ1014" i="6"/>
  <c r="AI1014" i="6"/>
  <c r="AG1014" i="6"/>
  <c r="AF1014" i="6"/>
  <c r="AD1014" i="6"/>
  <c r="AC1014" i="6"/>
  <c r="AB1014" i="6"/>
  <c r="AA1014" i="6"/>
  <c r="Z1014" i="6"/>
  <c r="Y1014" i="6"/>
  <c r="X1014" i="6"/>
  <c r="AM1013" i="6"/>
  <c r="AK1013" i="6"/>
  <c r="AJ1013" i="6"/>
  <c r="AI1013" i="6"/>
  <c r="AG1013" i="6"/>
  <c r="AF1013" i="6"/>
  <c r="AD1013" i="6"/>
  <c r="AC1013" i="6"/>
  <c r="AB1013" i="6"/>
  <c r="AA1013" i="6"/>
  <c r="Z1013" i="6"/>
  <c r="Y1013" i="6"/>
  <c r="X1013" i="6"/>
  <c r="AM1012" i="6"/>
  <c r="AK1012" i="6"/>
  <c r="AJ1012" i="6"/>
  <c r="AI1012" i="6"/>
  <c r="AG1012" i="6"/>
  <c r="AF1012" i="6"/>
  <c r="AD1012" i="6"/>
  <c r="AC1012" i="6"/>
  <c r="AB1012" i="6"/>
  <c r="AA1012" i="6"/>
  <c r="Z1012" i="6"/>
  <c r="Y1012" i="6"/>
  <c r="X1012" i="6"/>
  <c r="AM1011" i="6"/>
  <c r="AK1011" i="6"/>
  <c r="AJ1011" i="6"/>
  <c r="AI1011" i="6"/>
  <c r="AG1011" i="6"/>
  <c r="AF1011" i="6"/>
  <c r="AD1011" i="6"/>
  <c r="AC1011" i="6"/>
  <c r="AB1011" i="6"/>
  <c r="AA1011" i="6"/>
  <c r="Z1011" i="6"/>
  <c r="Y1011" i="6"/>
  <c r="X1011" i="6"/>
  <c r="AM1010" i="6"/>
  <c r="AK1010" i="6"/>
  <c r="AJ1010" i="6"/>
  <c r="AI1010" i="6"/>
  <c r="AG1010" i="6"/>
  <c r="AF1010" i="6"/>
  <c r="AD1010" i="6"/>
  <c r="AC1010" i="6"/>
  <c r="AB1010" i="6"/>
  <c r="AA1010" i="6"/>
  <c r="Z1010" i="6"/>
  <c r="Y1010" i="6"/>
  <c r="X1010" i="6"/>
  <c r="AM1009" i="6"/>
  <c r="AK1009" i="6"/>
  <c r="AJ1009" i="6"/>
  <c r="AI1009" i="6"/>
  <c r="AG1009" i="6"/>
  <c r="AF1009" i="6"/>
  <c r="AD1009" i="6"/>
  <c r="AC1009" i="6"/>
  <c r="AB1009" i="6"/>
  <c r="AA1009" i="6"/>
  <c r="Z1009" i="6"/>
  <c r="Y1009" i="6"/>
  <c r="X1009" i="6"/>
  <c r="AM1008" i="6"/>
  <c r="AK1008" i="6"/>
  <c r="AJ1008" i="6"/>
  <c r="AI1008" i="6"/>
  <c r="AG1008" i="6"/>
  <c r="AF1008" i="6"/>
  <c r="AD1008" i="6"/>
  <c r="AC1008" i="6"/>
  <c r="AB1008" i="6"/>
  <c r="AA1008" i="6"/>
  <c r="Z1008" i="6"/>
  <c r="Y1008" i="6"/>
  <c r="X1008" i="6"/>
  <c r="AM1007" i="6"/>
  <c r="AK1007" i="6"/>
  <c r="AJ1007" i="6"/>
  <c r="AI1007" i="6"/>
  <c r="AG1007" i="6"/>
  <c r="AF1007" i="6"/>
  <c r="AD1007" i="6"/>
  <c r="AC1007" i="6"/>
  <c r="AB1007" i="6"/>
  <c r="AA1007" i="6"/>
  <c r="Z1007" i="6"/>
  <c r="Y1007" i="6"/>
  <c r="X1007" i="6"/>
  <c r="AM1006" i="6"/>
  <c r="AK1006" i="6"/>
  <c r="AJ1006" i="6"/>
  <c r="AI1006" i="6"/>
  <c r="AG1006" i="6"/>
  <c r="AF1006" i="6"/>
  <c r="AD1006" i="6"/>
  <c r="AC1006" i="6"/>
  <c r="AB1006" i="6"/>
  <c r="AA1006" i="6"/>
  <c r="Z1006" i="6"/>
  <c r="Y1006" i="6"/>
  <c r="X1006" i="6"/>
  <c r="AM1005" i="6"/>
  <c r="AK1005" i="6"/>
  <c r="AJ1005" i="6"/>
  <c r="AI1005" i="6"/>
  <c r="AG1005" i="6"/>
  <c r="AF1005" i="6"/>
  <c r="AD1005" i="6"/>
  <c r="AC1005" i="6"/>
  <c r="AB1005" i="6"/>
  <c r="AA1005" i="6"/>
  <c r="Z1005" i="6"/>
  <c r="Y1005" i="6"/>
  <c r="X1005" i="6"/>
  <c r="AM1004" i="6"/>
  <c r="AK1004" i="6"/>
  <c r="AJ1004" i="6"/>
  <c r="AI1004" i="6"/>
  <c r="AG1004" i="6"/>
  <c r="AF1004" i="6"/>
  <c r="AD1004" i="6"/>
  <c r="AC1004" i="6"/>
  <c r="AB1004" i="6"/>
  <c r="AA1004" i="6"/>
  <c r="Z1004" i="6"/>
  <c r="Y1004" i="6"/>
  <c r="X1004" i="6"/>
  <c r="AM1003" i="6"/>
  <c r="AK1003" i="6"/>
  <c r="AJ1003" i="6"/>
  <c r="AI1003" i="6"/>
  <c r="AG1003" i="6"/>
  <c r="AF1003" i="6"/>
  <c r="AD1003" i="6"/>
  <c r="AC1003" i="6"/>
  <c r="AB1003" i="6"/>
  <c r="AA1003" i="6"/>
  <c r="Z1003" i="6"/>
  <c r="Y1003" i="6"/>
  <c r="X1003" i="6"/>
  <c r="AM1002" i="6"/>
  <c r="AK1002" i="6"/>
  <c r="AJ1002" i="6"/>
  <c r="AI1002" i="6"/>
  <c r="AG1002" i="6"/>
  <c r="AF1002" i="6"/>
  <c r="AD1002" i="6"/>
  <c r="AC1002" i="6"/>
  <c r="AB1002" i="6"/>
  <c r="AA1002" i="6"/>
  <c r="Z1002" i="6"/>
  <c r="Y1002" i="6"/>
  <c r="X1002" i="6"/>
  <c r="AM1001" i="6"/>
  <c r="AK1001" i="6"/>
  <c r="AJ1001" i="6"/>
  <c r="AI1001" i="6"/>
  <c r="AG1001" i="6"/>
  <c r="AF1001" i="6"/>
  <c r="AD1001" i="6"/>
  <c r="AC1001" i="6"/>
  <c r="AB1001" i="6"/>
  <c r="AA1001" i="6"/>
  <c r="Z1001" i="6"/>
  <c r="Y1001" i="6"/>
  <c r="X1001" i="6"/>
  <c r="AM1000" i="6"/>
  <c r="AK1000" i="6"/>
  <c r="AJ1000" i="6"/>
  <c r="AI1000" i="6"/>
  <c r="AG1000" i="6"/>
  <c r="AF1000" i="6"/>
  <c r="AD1000" i="6"/>
  <c r="AC1000" i="6"/>
  <c r="AB1000" i="6"/>
  <c r="AA1000" i="6"/>
  <c r="Z1000" i="6"/>
  <c r="Y1000" i="6"/>
  <c r="X1000" i="6"/>
  <c r="AM999" i="6"/>
  <c r="AK999" i="6"/>
  <c r="AJ999" i="6"/>
  <c r="AI999" i="6"/>
  <c r="AG999" i="6"/>
  <c r="AF999" i="6"/>
  <c r="AD999" i="6"/>
  <c r="AC999" i="6"/>
  <c r="AB999" i="6"/>
  <c r="AA999" i="6"/>
  <c r="Z999" i="6"/>
  <c r="Y999" i="6"/>
  <c r="X999" i="6"/>
  <c r="AM998" i="6"/>
  <c r="AK998" i="6"/>
  <c r="AJ998" i="6"/>
  <c r="AI998" i="6"/>
  <c r="AG998" i="6"/>
  <c r="AF998" i="6"/>
  <c r="AD998" i="6"/>
  <c r="AC998" i="6"/>
  <c r="AB998" i="6"/>
  <c r="AA998" i="6"/>
  <c r="Z998" i="6"/>
  <c r="Y998" i="6"/>
  <c r="X998" i="6"/>
  <c r="AM997" i="6"/>
  <c r="AK997" i="6"/>
  <c r="AJ997" i="6"/>
  <c r="AI997" i="6"/>
  <c r="AG997" i="6"/>
  <c r="AF997" i="6"/>
  <c r="AD997" i="6"/>
  <c r="AC997" i="6"/>
  <c r="AB997" i="6"/>
  <c r="AA997" i="6"/>
  <c r="Z997" i="6"/>
  <c r="Y997" i="6"/>
  <c r="X997" i="6"/>
  <c r="AM996" i="6"/>
  <c r="AK996" i="6"/>
  <c r="AJ996" i="6"/>
  <c r="AI996" i="6"/>
  <c r="AG996" i="6"/>
  <c r="AF996" i="6"/>
  <c r="AD996" i="6"/>
  <c r="AC996" i="6"/>
  <c r="AB996" i="6"/>
  <c r="AA996" i="6"/>
  <c r="Z996" i="6"/>
  <c r="Y996" i="6"/>
  <c r="X996" i="6"/>
  <c r="AM995" i="6"/>
  <c r="AK995" i="6"/>
  <c r="AJ995" i="6"/>
  <c r="AI995" i="6"/>
  <c r="AG995" i="6"/>
  <c r="AF995" i="6"/>
  <c r="AD995" i="6"/>
  <c r="AC995" i="6"/>
  <c r="AB995" i="6"/>
  <c r="AA995" i="6"/>
  <c r="Z995" i="6"/>
  <c r="Y995" i="6"/>
  <c r="X995" i="6"/>
  <c r="AM994" i="6"/>
  <c r="AK994" i="6"/>
  <c r="AJ994" i="6"/>
  <c r="AI994" i="6"/>
  <c r="AG994" i="6"/>
  <c r="AF994" i="6"/>
  <c r="AD994" i="6"/>
  <c r="AC994" i="6"/>
  <c r="AB994" i="6"/>
  <c r="AA994" i="6"/>
  <c r="Z994" i="6"/>
  <c r="Y994" i="6"/>
  <c r="X994" i="6"/>
  <c r="AM993" i="6"/>
  <c r="AK993" i="6"/>
  <c r="AJ993" i="6"/>
  <c r="AI993" i="6"/>
  <c r="AG993" i="6"/>
  <c r="AF993" i="6"/>
  <c r="AD993" i="6"/>
  <c r="AC993" i="6"/>
  <c r="AB993" i="6"/>
  <c r="AA993" i="6"/>
  <c r="Z993" i="6"/>
  <c r="Y993" i="6"/>
  <c r="X993" i="6"/>
  <c r="AM992" i="6"/>
  <c r="AK992" i="6"/>
  <c r="AJ992" i="6"/>
  <c r="AI992" i="6"/>
  <c r="AG992" i="6"/>
  <c r="AF992" i="6"/>
  <c r="AD992" i="6"/>
  <c r="AC992" i="6"/>
  <c r="AB992" i="6"/>
  <c r="AA992" i="6"/>
  <c r="Z992" i="6"/>
  <c r="Y992" i="6"/>
  <c r="X992" i="6"/>
  <c r="AM991" i="6"/>
  <c r="AK991" i="6"/>
  <c r="AJ991" i="6"/>
  <c r="AI991" i="6"/>
  <c r="AG991" i="6"/>
  <c r="AF991" i="6"/>
  <c r="AD991" i="6"/>
  <c r="AC991" i="6"/>
  <c r="AB991" i="6"/>
  <c r="AA991" i="6"/>
  <c r="Z991" i="6"/>
  <c r="Y991" i="6"/>
  <c r="X991" i="6"/>
  <c r="AM990" i="6"/>
  <c r="AK990" i="6"/>
  <c r="AJ990" i="6"/>
  <c r="AI990" i="6"/>
  <c r="AG990" i="6"/>
  <c r="AF990" i="6"/>
  <c r="AD990" i="6"/>
  <c r="AC990" i="6"/>
  <c r="AB990" i="6"/>
  <c r="AA990" i="6"/>
  <c r="Z990" i="6"/>
  <c r="Y990" i="6"/>
  <c r="X990" i="6"/>
  <c r="AM989" i="6"/>
  <c r="AK989" i="6"/>
  <c r="AJ989" i="6"/>
  <c r="AI989" i="6"/>
  <c r="AG989" i="6"/>
  <c r="AF989" i="6"/>
  <c r="AD989" i="6"/>
  <c r="AC989" i="6"/>
  <c r="AB989" i="6"/>
  <c r="AA989" i="6"/>
  <c r="Z989" i="6"/>
  <c r="Y989" i="6"/>
  <c r="X989" i="6"/>
  <c r="AM988" i="6"/>
  <c r="AK988" i="6"/>
  <c r="AJ988" i="6"/>
  <c r="AI988" i="6"/>
  <c r="AG988" i="6"/>
  <c r="AF988" i="6"/>
  <c r="AD988" i="6"/>
  <c r="AC988" i="6"/>
  <c r="AB988" i="6"/>
  <c r="AA988" i="6"/>
  <c r="Z988" i="6"/>
  <c r="Y988" i="6"/>
  <c r="X988" i="6"/>
  <c r="AM987" i="6"/>
  <c r="AK987" i="6"/>
  <c r="AJ987" i="6"/>
  <c r="AI987" i="6"/>
  <c r="AG987" i="6"/>
  <c r="AF987" i="6"/>
  <c r="AD987" i="6"/>
  <c r="AC987" i="6"/>
  <c r="AB987" i="6"/>
  <c r="AA987" i="6"/>
  <c r="Z987" i="6"/>
  <c r="Y987" i="6"/>
  <c r="X987" i="6"/>
  <c r="AM986" i="6"/>
  <c r="AK986" i="6"/>
  <c r="AJ986" i="6"/>
  <c r="AI986" i="6"/>
  <c r="AG986" i="6"/>
  <c r="AF986" i="6"/>
  <c r="AD986" i="6"/>
  <c r="AC986" i="6"/>
  <c r="AB986" i="6"/>
  <c r="AA986" i="6"/>
  <c r="Z986" i="6"/>
  <c r="Y986" i="6"/>
  <c r="X986" i="6"/>
  <c r="AM985" i="6"/>
  <c r="AK985" i="6"/>
  <c r="AJ985" i="6"/>
  <c r="AI985" i="6"/>
  <c r="AG985" i="6"/>
  <c r="AF985" i="6"/>
  <c r="AD985" i="6"/>
  <c r="AC985" i="6"/>
  <c r="AB985" i="6"/>
  <c r="AA985" i="6"/>
  <c r="Z985" i="6"/>
  <c r="Y985" i="6"/>
  <c r="X985" i="6"/>
  <c r="AM984" i="6"/>
  <c r="AK984" i="6"/>
  <c r="AJ984" i="6"/>
  <c r="AI984" i="6"/>
  <c r="AG984" i="6"/>
  <c r="AF984" i="6"/>
  <c r="AD984" i="6"/>
  <c r="AC984" i="6"/>
  <c r="AB984" i="6"/>
  <c r="AA984" i="6"/>
  <c r="Z984" i="6"/>
  <c r="Y984" i="6"/>
  <c r="X984" i="6"/>
  <c r="AM983" i="6"/>
  <c r="AK983" i="6"/>
  <c r="AJ983" i="6"/>
  <c r="AI983" i="6"/>
  <c r="AG983" i="6"/>
  <c r="AF983" i="6"/>
  <c r="AD983" i="6"/>
  <c r="AC983" i="6"/>
  <c r="AB983" i="6"/>
  <c r="AA983" i="6"/>
  <c r="Z983" i="6"/>
  <c r="Y983" i="6"/>
  <c r="X983" i="6"/>
  <c r="AM982" i="6"/>
  <c r="AK982" i="6"/>
  <c r="AJ982" i="6"/>
  <c r="AI982" i="6"/>
  <c r="AG982" i="6"/>
  <c r="AF982" i="6"/>
  <c r="AD982" i="6"/>
  <c r="AC982" i="6"/>
  <c r="AB982" i="6"/>
  <c r="AA982" i="6"/>
  <c r="Z982" i="6"/>
  <c r="Y982" i="6"/>
  <c r="X982" i="6"/>
  <c r="AM981" i="6"/>
  <c r="AK981" i="6"/>
  <c r="AJ981" i="6"/>
  <c r="AI981" i="6"/>
  <c r="AG981" i="6"/>
  <c r="AF981" i="6"/>
  <c r="AD981" i="6"/>
  <c r="AC981" i="6"/>
  <c r="AB981" i="6"/>
  <c r="AA981" i="6"/>
  <c r="Z981" i="6"/>
  <c r="Y981" i="6"/>
  <c r="X981" i="6"/>
  <c r="AM980" i="6"/>
  <c r="AK980" i="6"/>
  <c r="AJ980" i="6"/>
  <c r="AI980" i="6"/>
  <c r="AG980" i="6"/>
  <c r="AF980" i="6"/>
  <c r="AD980" i="6"/>
  <c r="AC980" i="6"/>
  <c r="AB980" i="6"/>
  <c r="AA980" i="6"/>
  <c r="Z980" i="6"/>
  <c r="Y980" i="6"/>
  <c r="X980" i="6"/>
  <c r="AM979" i="6"/>
  <c r="AK979" i="6"/>
  <c r="AJ979" i="6"/>
  <c r="AI979" i="6"/>
  <c r="AG979" i="6"/>
  <c r="AF979" i="6"/>
  <c r="AD979" i="6"/>
  <c r="AC979" i="6"/>
  <c r="AB979" i="6"/>
  <c r="AA979" i="6"/>
  <c r="Z979" i="6"/>
  <c r="Y979" i="6"/>
  <c r="X979" i="6"/>
  <c r="AM978" i="6"/>
  <c r="AK978" i="6"/>
  <c r="AJ978" i="6"/>
  <c r="AI978" i="6"/>
  <c r="AG978" i="6"/>
  <c r="AF978" i="6"/>
  <c r="AD978" i="6"/>
  <c r="AC978" i="6"/>
  <c r="AB978" i="6"/>
  <c r="AA978" i="6"/>
  <c r="Z978" i="6"/>
  <c r="Y978" i="6"/>
  <c r="X978" i="6"/>
  <c r="AM977" i="6"/>
  <c r="AK977" i="6"/>
  <c r="AJ977" i="6"/>
  <c r="AI977" i="6"/>
  <c r="AG977" i="6"/>
  <c r="AF977" i="6"/>
  <c r="AD977" i="6"/>
  <c r="AC977" i="6"/>
  <c r="AB977" i="6"/>
  <c r="AA977" i="6"/>
  <c r="Z977" i="6"/>
  <c r="Y977" i="6"/>
  <c r="X977" i="6"/>
  <c r="AM976" i="6"/>
  <c r="AK976" i="6"/>
  <c r="AJ976" i="6"/>
  <c r="AI976" i="6"/>
  <c r="AG976" i="6"/>
  <c r="AF976" i="6"/>
  <c r="AD976" i="6"/>
  <c r="AC976" i="6"/>
  <c r="AB976" i="6"/>
  <c r="AA976" i="6"/>
  <c r="Z976" i="6"/>
  <c r="Y976" i="6"/>
  <c r="X976" i="6"/>
  <c r="AM973" i="6"/>
  <c r="AK973" i="6"/>
  <c r="AJ973" i="6"/>
  <c r="AI973" i="6"/>
  <c r="AG973" i="6"/>
  <c r="AF973" i="6"/>
  <c r="AD973" i="6"/>
  <c r="AC973" i="6"/>
  <c r="AB973" i="6"/>
  <c r="AA973" i="6"/>
  <c r="Z973" i="6"/>
  <c r="Y973" i="6"/>
  <c r="X973" i="6"/>
  <c r="AM972" i="6"/>
  <c r="AK972" i="6"/>
  <c r="AJ972" i="6"/>
  <c r="AI972" i="6"/>
  <c r="AG972" i="6"/>
  <c r="AF972" i="6"/>
  <c r="AD972" i="6"/>
  <c r="AC972" i="6"/>
  <c r="AB972" i="6"/>
  <c r="AA972" i="6"/>
  <c r="Z972" i="6"/>
  <c r="Y972" i="6"/>
  <c r="X972" i="6"/>
  <c r="AM971" i="6"/>
  <c r="AK971" i="6"/>
  <c r="AJ971" i="6"/>
  <c r="AI971" i="6"/>
  <c r="AG971" i="6"/>
  <c r="AF971" i="6"/>
  <c r="AD971" i="6"/>
  <c r="AC971" i="6"/>
  <c r="AB971" i="6"/>
  <c r="AA971" i="6"/>
  <c r="Z971" i="6"/>
  <c r="Y971" i="6"/>
  <c r="X971" i="6"/>
  <c r="AM970" i="6"/>
  <c r="AK970" i="6"/>
  <c r="AJ970" i="6"/>
  <c r="AI970" i="6"/>
  <c r="AG970" i="6"/>
  <c r="AF970" i="6"/>
  <c r="AD970" i="6"/>
  <c r="AC970" i="6"/>
  <c r="AB970" i="6"/>
  <c r="AA970" i="6"/>
  <c r="Z970" i="6"/>
  <c r="Y970" i="6"/>
  <c r="X970" i="6"/>
  <c r="AK969" i="6"/>
  <c r="AJ969" i="6"/>
  <c r="AI969" i="6"/>
  <c r="AG969" i="6"/>
  <c r="AM969" i="6" s="1"/>
  <c r="AF969" i="6"/>
  <c r="AD969" i="6"/>
  <c r="AB969" i="6"/>
  <c r="AA969" i="6"/>
  <c r="AC969" i="6" s="1"/>
  <c r="Z969" i="6"/>
  <c r="Y969" i="6"/>
  <c r="X969" i="6"/>
  <c r="AK793" i="6"/>
  <c r="AJ793" i="6"/>
  <c r="AI793" i="6"/>
  <c r="AG793" i="6"/>
  <c r="AM793" i="6" s="1"/>
  <c r="AF793" i="6"/>
  <c r="AD793" i="6"/>
  <c r="AB793" i="6"/>
  <c r="AA793" i="6"/>
  <c r="AC793" i="6" s="1"/>
  <c r="Z793" i="6"/>
  <c r="Y793" i="6"/>
  <c r="X793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88" i="6"/>
  <c r="AK788" i="6"/>
  <c r="AJ788" i="6"/>
  <c r="AI788" i="6"/>
  <c r="AG788" i="6"/>
  <c r="AF788" i="6"/>
  <c r="AD788" i="6"/>
  <c r="AC788" i="6"/>
  <c r="AB788" i="6"/>
  <c r="AA788" i="6"/>
  <c r="Z788" i="6"/>
  <c r="Y788" i="6"/>
  <c r="X788" i="6"/>
  <c r="AM787" i="6"/>
  <c r="AK787" i="6"/>
  <c r="AJ787" i="6"/>
  <c r="AI787" i="6"/>
  <c r="AG787" i="6"/>
  <c r="AF787" i="6"/>
  <c r="AD787" i="6"/>
  <c r="AC787" i="6"/>
  <c r="AB787" i="6"/>
  <c r="AA787" i="6"/>
  <c r="Z787" i="6"/>
  <c r="Y787" i="6"/>
  <c r="X787" i="6"/>
  <c r="AK736" i="6"/>
  <c r="AJ736" i="6"/>
  <c r="AI736" i="6"/>
  <c r="AF736" i="6"/>
  <c r="AD736" i="6"/>
  <c r="AB736" i="6"/>
  <c r="AA736" i="6"/>
  <c r="AC736" i="6" s="1"/>
  <c r="Z736" i="6"/>
  <c r="Y736" i="6"/>
  <c r="X736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K617" i="6"/>
  <c r="AJ617" i="6"/>
  <c r="AI617" i="6"/>
  <c r="AF617" i="6"/>
  <c r="AD617" i="6"/>
  <c r="AB617" i="6"/>
  <c r="AA617" i="6"/>
  <c r="AC617" i="6" s="1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K603" i="6"/>
  <c r="AJ603" i="6"/>
  <c r="AI603" i="6"/>
  <c r="AF603" i="6"/>
  <c r="AD603" i="6"/>
  <c r="AB603" i="6"/>
  <c r="AA603" i="6"/>
  <c r="AC603" i="6" s="1"/>
  <c r="Z603" i="6"/>
  <c r="Y603" i="6"/>
  <c r="X603" i="6"/>
  <c r="AM602" i="6"/>
  <c r="AK602" i="6"/>
  <c r="AJ602" i="6"/>
  <c r="AI602" i="6"/>
  <c r="AG602" i="6"/>
  <c r="AF602" i="6"/>
  <c r="AD602" i="6"/>
  <c r="AC602" i="6"/>
  <c r="AB602" i="6"/>
  <c r="AA602" i="6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K580" i="6"/>
  <c r="AJ580" i="6"/>
  <c r="AI580" i="6"/>
  <c r="AF580" i="6"/>
  <c r="AD580" i="6"/>
  <c r="AB580" i="6"/>
  <c r="AA580" i="6"/>
  <c r="AC580" i="6" s="1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70" i="6"/>
  <c r="AJ570" i="6"/>
  <c r="AI570" i="6"/>
  <c r="AF570" i="6"/>
  <c r="AD570" i="6"/>
  <c r="AB570" i="6"/>
  <c r="AA570" i="6"/>
  <c r="AC570" i="6" s="1"/>
  <c r="Z570" i="6"/>
  <c r="Y570" i="6"/>
  <c r="X570" i="6"/>
  <c r="AK975" i="6"/>
  <c r="AJ975" i="6"/>
  <c r="AI975" i="6"/>
  <c r="AF975" i="6"/>
  <c r="AD975" i="6"/>
  <c r="AB975" i="6"/>
  <c r="AA975" i="6"/>
  <c r="AC975" i="6" s="1"/>
  <c r="Z975" i="6"/>
  <c r="Y975" i="6"/>
  <c r="X975" i="6"/>
  <c r="AK974" i="6"/>
  <c r="AJ974" i="6"/>
  <c r="AI974" i="6"/>
  <c r="AF974" i="6"/>
  <c r="AD974" i="6"/>
  <c r="AB974" i="6"/>
  <c r="AA974" i="6"/>
  <c r="AC974" i="6" s="1"/>
  <c r="Z974" i="6"/>
  <c r="Y974" i="6"/>
  <c r="X974" i="6"/>
  <c r="AK568" i="6"/>
  <c r="AJ568" i="6"/>
  <c r="AI568" i="6"/>
  <c r="AG568" i="6"/>
  <c r="AM568" i="6" s="1"/>
  <c r="AF568" i="6"/>
  <c r="AD568" i="6"/>
  <c r="AB568" i="6"/>
  <c r="AA568" i="6"/>
  <c r="AC568" i="6" s="1"/>
  <c r="Z568" i="6"/>
  <c r="Y568" i="6"/>
  <c r="X568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5" i="6"/>
  <c r="AJ565" i="6"/>
  <c r="AI565" i="6"/>
  <c r="AG565" i="6"/>
  <c r="AM565" i="6" s="1"/>
  <c r="AF565" i="6"/>
  <c r="AD565" i="6"/>
  <c r="AB565" i="6"/>
  <c r="AA565" i="6"/>
  <c r="AC565" i="6" s="1"/>
  <c r="Z565" i="6"/>
  <c r="Y565" i="6"/>
  <c r="X565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60" i="6"/>
  <c r="AJ560" i="6"/>
  <c r="AI560" i="6"/>
  <c r="AG560" i="6"/>
  <c r="AM560" i="6" s="1"/>
  <c r="AF560" i="6"/>
  <c r="AD560" i="6"/>
  <c r="AB560" i="6"/>
  <c r="AA560" i="6"/>
  <c r="AC560" i="6" s="1"/>
  <c r="Z560" i="6"/>
  <c r="Y560" i="6"/>
  <c r="X560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7" i="6"/>
  <c r="AJ557" i="6"/>
  <c r="AI557" i="6"/>
  <c r="AG557" i="6"/>
  <c r="AM557" i="6" s="1"/>
  <c r="AF557" i="6"/>
  <c r="AD557" i="6"/>
  <c r="AB557" i="6"/>
  <c r="AA557" i="6"/>
  <c r="AC557" i="6" s="1"/>
  <c r="Z557" i="6"/>
  <c r="Y557" i="6"/>
  <c r="X557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490" i="6"/>
  <c r="AJ490" i="6"/>
  <c r="AI490" i="6"/>
  <c r="AG490" i="6"/>
  <c r="AM490" i="6" s="1"/>
  <c r="AF490" i="6"/>
  <c r="AD490" i="6"/>
  <c r="AB490" i="6"/>
  <c r="AA490" i="6"/>
  <c r="AC490" i="6" s="1"/>
  <c r="Z490" i="6"/>
  <c r="Y490" i="6"/>
  <c r="X490" i="6"/>
  <c r="AK489" i="6"/>
  <c r="AJ489" i="6"/>
  <c r="AI489" i="6"/>
  <c r="AG489" i="6"/>
  <c r="AM489" i="6" s="1"/>
  <c r="AF489" i="6"/>
  <c r="AD489" i="6"/>
  <c r="AB489" i="6"/>
  <c r="AA489" i="6"/>
  <c r="AC489" i="6" s="1"/>
  <c r="Z489" i="6"/>
  <c r="Y489" i="6"/>
  <c r="X489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M479" i="6"/>
  <c r="AK479" i="6"/>
  <c r="AJ479" i="6"/>
  <c r="AI479" i="6"/>
  <c r="AG479" i="6"/>
  <c r="AF479" i="6"/>
  <c r="AD479" i="6"/>
  <c r="AC479" i="6"/>
  <c r="AB479" i="6"/>
  <c r="AA479" i="6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K477" i="6"/>
  <c r="AJ477" i="6"/>
  <c r="AI477" i="6"/>
  <c r="AG477" i="6"/>
  <c r="AM477" i="6" s="1"/>
  <c r="AF477" i="6"/>
  <c r="AD477" i="6"/>
  <c r="AB477" i="6"/>
  <c r="AA477" i="6"/>
  <c r="AC477" i="6" s="1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M473" i="6"/>
  <c r="AK473" i="6"/>
  <c r="AJ473" i="6"/>
  <c r="AI473" i="6"/>
  <c r="AG473" i="6"/>
  <c r="AF473" i="6"/>
  <c r="AD473" i="6"/>
  <c r="AC473" i="6"/>
  <c r="AB473" i="6"/>
  <c r="AA473" i="6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K469" i="6"/>
  <c r="AJ469" i="6"/>
  <c r="AI469" i="6"/>
  <c r="AG469" i="6"/>
  <c r="AM469" i="6" s="1"/>
  <c r="AF469" i="6"/>
  <c r="AD469" i="6"/>
  <c r="AB469" i="6"/>
  <c r="AA469" i="6"/>
  <c r="AC469" i="6" s="1"/>
  <c r="Z469" i="6"/>
  <c r="Y469" i="6"/>
  <c r="X469" i="6"/>
  <c r="AM468" i="6"/>
  <c r="AK468" i="6"/>
  <c r="AJ468" i="6"/>
  <c r="AI468" i="6"/>
  <c r="AG468" i="6"/>
  <c r="AF468" i="6"/>
  <c r="AD468" i="6"/>
  <c r="AC468" i="6"/>
  <c r="AB468" i="6"/>
  <c r="AA468" i="6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K466" i="6"/>
  <c r="AJ466" i="6"/>
  <c r="AI466" i="6"/>
  <c r="AG466" i="6"/>
  <c r="AM466" i="6" s="1"/>
  <c r="AF466" i="6"/>
  <c r="AD466" i="6"/>
  <c r="AB466" i="6"/>
  <c r="AA466" i="6"/>
  <c r="AC466" i="6" s="1"/>
  <c r="Z466" i="6"/>
  <c r="Y466" i="6"/>
  <c r="X466" i="6"/>
  <c r="AM465" i="6"/>
  <c r="AK465" i="6"/>
  <c r="AJ465" i="6"/>
  <c r="AI465" i="6"/>
  <c r="AG465" i="6"/>
  <c r="AF465" i="6"/>
  <c r="AD465" i="6"/>
  <c r="AC465" i="6"/>
  <c r="AB465" i="6"/>
  <c r="AA465" i="6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K463" i="6"/>
  <c r="AJ463" i="6"/>
  <c r="AI463" i="6"/>
  <c r="AG463" i="6"/>
  <c r="AM463" i="6" s="1"/>
  <c r="AF463" i="6"/>
  <c r="AD463" i="6"/>
  <c r="AB463" i="6"/>
  <c r="AA463" i="6"/>
  <c r="AC463" i="6" s="1"/>
  <c r="Z463" i="6"/>
  <c r="Y463" i="6"/>
  <c r="X463" i="6"/>
  <c r="AM462" i="6"/>
  <c r="AK462" i="6"/>
  <c r="AJ462" i="6"/>
  <c r="AI462" i="6"/>
  <c r="AG462" i="6"/>
  <c r="AF462" i="6"/>
  <c r="AD462" i="6"/>
  <c r="AC462" i="6"/>
  <c r="AB462" i="6"/>
  <c r="AA462" i="6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K460" i="6"/>
  <c r="AJ460" i="6"/>
  <c r="AI460" i="6"/>
  <c r="AG460" i="6"/>
  <c r="AM460" i="6" s="1"/>
  <c r="AF460" i="6"/>
  <c r="AD460" i="6"/>
  <c r="AB460" i="6"/>
  <c r="AA460" i="6"/>
  <c r="AC460" i="6" s="1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4" i="6"/>
  <c r="AJ454" i="6"/>
  <c r="AI454" i="6"/>
  <c r="AG454" i="6"/>
  <c r="AM454" i="6" s="1"/>
  <c r="AF454" i="6"/>
  <c r="AD454" i="6"/>
  <c r="AB454" i="6"/>
  <c r="AA454" i="6"/>
  <c r="AC454" i="6" s="1"/>
  <c r="Z454" i="6"/>
  <c r="Y454" i="6"/>
  <c r="X454" i="6"/>
  <c r="AK453" i="6"/>
  <c r="AJ453" i="6"/>
  <c r="AI453" i="6"/>
  <c r="AG453" i="6"/>
  <c r="AM453" i="6" s="1"/>
  <c r="AF453" i="6"/>
  <c r="AD453" i="6"/>
  <c r="AB453" i="6"/>
  <c r="AA453" i="6"/>
  <c r="AC453" i="6" s="1"/>
  <c r="Z453" i="6"/>
  <c r="Y453" i="6"/>
  <c r="X453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49" i="6"/>
  <c r="AJ449" i="6"/>
  <c r="AI449" i="6"/>
  <c r="AF449" i="6"/>
  <c r="AD449" i="6"/>
  <c r="AB449" i="6"/>
  <c r="AA449" i="6"/>
  <c r="AC449" i="6" s="1"/>
  <c r="Z449" i="6"/>
  <c r="Y449" i="6"/>
  <c r="X449" i="6"/>
  <c r="AK448" i="6"/>
  <c r="AJ448" i="6"/>
  <c r="AI448" i="6"/>
  <c r="AF448" i="6"/>
  <c r="AD448" i="6"/>
  <c r="AB448" i="6"/>
  <c r="AA448" i="6"/>
  <c r="AC448" i="6" s="1"/>
  <c r="Z448" i="6"/>
  <c r="Y448" i="6"/>
  <c r="X448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7" i="6"/>
  <c r="AJ417" i="6"/>
  <c r="AI417" i="6"/>
  <c r="AG417" i="6"/>
  <c r="AM417" i="6" s="1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4" i="6"/>
  <c r="AJ414" i="6"/>
  <c r="AI414" i="6"/>
  <c r="AG414" i="6"/>
  <c r="AM414" i="6" s="1"/>
  <c r="AF414" i="6"/>
  <c r="AD414" i="6"/>
  <c r="AB414" i="6"/>
  <c r="AA414" i="6"/>
  <c r="AC414" i="6" s="1"/>
  <c r="Z414" i="6"/>
  <c r="Y414" i="6"/>
  <c r="X414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5" i="6"/>
  <c r="AJ405" i="6"/>
  <c r="AI405" i="6"/>
  <c r="AG405" i="6"/>
  <c r="AM405" i="6" s="1"/>
  <c r="AF405" i="6"/>
  <c r="AD405" i="6"/>
  <c r="AB405" i="6"/>
  <c r="AA405" i="6"/>
  <c r="AC405" i="6" s="1"/>
  <c r="Z405" i="6"/>
  <c r="Y405" i="6"/>
  <c r="X405" i="6"/>
  <c r="AK404" i="6"/>
  <c r="AJ404" i="6"/>
  <c r="AI404" i="6"/>
  <c r="AG404" i="6"/>
  <c r="AM404" i="6" s="1"/>
  <c r="AF404" i="6"/>
  <c r="AD404" i="6"/>
  <c r="AB404" i="6"/>
  <c r="AA404" i="6"/>
  <c r="AC404" i="6" s="1"/>
  <c r="Z404" i="6"/>
  <c r="Y404" i="6"/>
  <c r="X404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2" i="6"/>
  <c r="AJ372" i="6"/>
  <c r="AI372" i="6"/>
  <c r="AG372" i="6"/>
  <c r="AM372" i="6" s="1"/>
  <c r="AF372" i="6"/>
  <c r="AD372" i="6"/>
  <c r="AB372" i="6"/>
  <c r="AA372" i="6"/>
  <c r="AC372" i="6" s="1"/>
  <c r="Z372" i="6"/>
  <c r="Y372" i="6"/>
  <c r="X372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7" i="6"/>
  <c r="AJ357" i="6"/>
  <c r="AI357" i="6"/>
  <c r="AG357" i="6"/>
  <c r="AM357" i="6" s="1"/>
  <c r="AF357" i="6"/>
  <c r="AD357" i="6"/>
  <c r="AB357" i="6"/>
  <c r="AA357" i="6"/>
  <c r="AC357" i="6" s="1"/>
  <c r="Z357" i="6"/>
  <c r="Y357" i="6"/>
  <c r="X357" i="6"/>
  <c r="AK353" i="6"/>
  <c r="AJ353" i="6"/>
  <c r="AI353" i="6"/>
  <c r="AG353" i="6"/>
  <c r="AM353" i="6" s="1"/>
  <c r="AF353" i="6"/>
  <c r="AD353" i="6"/>
  <c r="AB353" i="6"/>
  <c r="AA353" i="6"/>
  <c r="AC353" i="6" s="1"/>
  <c r="Z353" i="6"/>
  <c r="Y353" i="6"/>
  <c r="X353" i="6"/>
  <c r="AK352" i="6"/>
  <c r="AJ352" i="6"/>
  <c r="AI352" i="6"/>
  <c r="AG352" i="6"/>
  <c r="AM352" i="6" s="1"/>
  <c r="AF352" i="6"/>
  <c r="AD352" i="6"/>
  <c r="AB352" i="6"/>
  <c r="AA352" i="6"/>
  <c r="AC352" i="6" s="1"/>
  <c r="Z352" i="6"/>
  <c r="Y352" i="6"/>
  <c r="X352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19" i="6"/>
  <c r="AJ319" i="6"/>
  <c r="AI319" i="6"/>
  <c r="AG319" i="6"/>
  <c r="AM319" i="6" s="1"/>
  <c r="AF319" i="6"/>
  <c r="AD319" i="6"/>
  <c r="AB319" i="6"/>
  <c r="AA319" i="6"/>
  <c r="AC319" i="6" s="1"/>
  <c r="Z319" i="6"/>
  <c r="Y319" i="6"/>
  <c r="X319" i="6"/>
  <c r="AK318" i="6"/>
  <c r="AJ318" i="6"/>
  <c r="AI318" i="6"/>
  <c r="AG318" i="6"/>
  <c r="AM318" i="6" s="1"/>
  <c r="AF318" i="6"/>
  <c r="AD318" i="6"/>
  <c r="AB318" i="6"/>
  <c r="AA318" i="6"/>
  <c r="AC318" i="6" s="1"/>
  <c r="Z318" i="6"/>
  <c r="Y318" i="6"/>
  <c r="X318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5" i="6"/>
  <c r="AJ285" i="6"/>
  <c r="AI285" i="6"/>
  <c r="AG285" i="6"/>
  <c r="AM285" i="6" s="1"/>
  <c r="AF285" i="6"/>
  <c r="AD285" i="6"/>
  <c r="AB285" i="6"/>
  <c r="AA285" i="6"/>
  <c r="AC285" i="6" s="1"/>
  <c r="Z285" i="6"/>
  <c r="Y285" i="6"/>
  <c r="X285" i="6"/>
  <c r="AK284" i="6"/>
  <c r="AJ284" i="6"/>
  <c r="AI284" i="6"/>
  <c r="AG284" i="6"/>
  <c r="AM284" i="6" s="1"/>
  <c r="AF284" i="6"/>
  <c r="AD284" i="6"/>
  <c r="AB284" i="6"/>
  <c r="AA284" i="6"/>
  <c r="AC284" i="6" s="1"/>
  <c r="Z284" i="6"/>
  <c r="Y284" i="6"/>
  <c r="X284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1" i="6"/>
  <c r="AJ251" i="6"/>
  <c r="AI251" i="6"/>
  <c r="AG251" i="6"/>
  <c r="AM251" i="6" s="1"/>
  <c r="AF251" i="6"/>
  <c r="AD251" i="6"/>
  <c r="AB251" i="6"/>
  <c r="AA251" i="6"/>
  <c r="AC251" i="6" s="1"/>
  <c r="Z251" i="6"/>
  <c r="Y251" i="6"/>
  <c r="X251" i="6"/>
  <c r="AK250" i="6"/>
  <c r="AJ250" i="6"/>
  <c r="AI250" i="6"/>
  <c r="AG250" i="6"/>
  <c r="AM250" i="6" s="1"/>
  <c r="AF250" i="6"/>
  <c r="AD250" i="6"/>
  <c r="AB250" i="6"/>
  <c r="AA250" i="6"/>
  <c r="AC250" i="6" s="1"/>
  <c r="Z250" i="6"/>
  <c r="Y250" i="6"/>
  <c r="X250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8" i="6"/>
  <c r="AJ218" i="6"/>
  <c r="AI218" i="6"/>
  <c r="AG218" i="6"/>
  <c r="AM218" i="6" s="1"/>
  <c r="AF218" i="6"/>
  <c r="AD218" i="6"/>
  <c r="AB218" i="6"/>
  <c r="AA218" i="6"/>
  <c r="AC218" i="6" s="1"/>
  <c r="Z218" i="6"/>
  <c r="Y218" i="6"/>
  <c r="X218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2" i="6"/>
  <c r="AJ212" i="6"/>
  <c r="AI212" i="6"/>
  <c r="AG212" i="6"/>
  <c r="AM212" i="6" s="1"/>
  <c r="AF212" i="6"/>
  <c r="AD212" i="6"/>
  <c r="AB212" i="6"/>
  <c r="AA212" i="6"/>
  <c r="AC212" i="6" s="1"/>
  <c r="Z212" i="6"/>
  <c r="Y212" i="6"/>
  <c r="X212" i="6"/>
  <c r="AK211" i="6"/>
  <c r="AJ211" i="6"/>
  <c r="AI211" i="6"/>
  <c r="AG211" i="6"/>
  <c r="AM211" i="6" s="1"/>
  <c r="AF211" i="6"/>
  <c r="AD211" i="6"/>
  <c r="AB211" i="6"/>
  <c r="AA211" i="6"/>
  <c r="AC211" i="6" s="1"/>
  <c r="Z211" i="6"/>
  <c r="Y211" i="6"/>
  <c r="X211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3" i="6"/>
  <c r="AJ203" i="6"/>
  <c r="AI203" i="6"/>
  <c r="AG203" i="6"/>
  <c r="AM203" i="6" s="1"/>
  <c r="AF203" i="6"/>
  <c r="AD203" i="6"/>
  <c r="AB203" i="6"/>
  <c r="AA203" i="6"/>
  <c r="AC203" i="6" s="1"/>
  <c r="Z203" i="6"/>
  <c r="Y203" i="6"/>
  <c r="X203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75" i="6"/>
  <c r="AJ75" i="6"/>
  <c r="AI75" i="6"/>
  <c r="AG75" i="6"/>
  <c r="AM75" i="6" s="1"/>
  <c r="AF75" i="6"/>
  <c r="AD75" i="6"/>
  <c r="AB75" i="6"/>
  <c r="AA75" i="6"/>
  <c r="AC75" i="6" s="1"/>
  <c r="Z75" i="6"/>
  <c r="Y75" i="6"/>
  <c r="X75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5" i="6"/>
  <c r="AJ195" i="6"/>
  <c r="AI195" i="6"/>
  <c r="AG195" i="6"/>
  <c r="AM195" i="6" s="1"/>
  <c r="AF195" i="6"/>
  <c r="AD195" i="6"/>
  <c r="AB195" i="6"/>
  <c r="AA195" i="6"/>
  <c r="AC195" i="6" s="1"/>
  <c r="Z195" i="6"/>
  <c r="Y195" i="6"/>
  <c r="X195" i="6"/>
  <c r="AM194" i="6"/>
  <c r="AK194" i="6"/>
  <c r="AJ194" i="6"/>
  <c r="AI194" i="6"/>
  <c r="AG194" i="6"/>
  <c r="AF194" i="6"/>
  <c r="AD194" i="6"/>
  <c r="AC194" i="6"/>
  <c r="AB194" i="6"/>
  <c r="AA194" i="6"/>
  <c r="Z194" i="6"/>
  <c r="Y194" i="6"/>
  <c r="X194" i="6"/>
  <c r="AM968" i="6"/>
  <c r="AK968" i="6"/>
  <c r="AJ968" i="6"/>
  <c r="AI968" i="6"/>
  <c r="AG968" i="6"/>
  <c r="AF968" i="6"/>
  <c r="AD968" i="6"/>
  <c r="AC968" i="6"/>
  <c r="AB968" i="6"/>
  <c r="AA968" i="6"/>
  <c r="Z968" i="6"/>
  <c r="Y968" i="6"/>
  <c r="X968" i="6"/>
  <c r="AM967" i="6"/>
  <c r="AK967" i="6"/>
  <c r="AJ967" i="6"/>
  <c r="AI967" i="6"/>
  <c r="AG967" i="6"/>
  <c r="AF967" i="6"/>
  <c r="AD967" i="6"/>
  <c r="AC967" i="6"/>
  <c r="AB967" i="6"/>
  <c r="AA967" i="6"/>
  <c r="Z967" i="6"/>
  <c r="Y967" i="6"/>
  <c r="X967" i="6"/>
  <c r="AM966" i="6"/>
  <c r="AK966" i="6"/>
  <c r="AJ966" i="6"/>
  <c r="AI966" i="6"/>
  <c r="AG966" i="6"/>
  <c r="AF966" i="6"/>
  <c r="AD966" i="6"/>
  <c r="AC966" i="6"/>
  <c r="AB966" i="6"/>
  <c r="AA966" i="6"/>
  <c r="Z966" i="6"/>
  <c r="Y966" i="6"/>
  <c r="X966" i="6"/>
  <c r="AM965" i="6"/>
  <c r="AK965" i="6"/>
  <c r="AJ965" i="6"/>
  <c r="AI965" i="6"/>
  <c r="AG965" i="6"/>
  <c r="AF965" i="6"/>
  <c r="AD965" i="6"/>
  <c r="AC965" i="6"/>
  <c r="AB965" i="6"/>
  <c r="AA965" i="6"/>
  <c r="Z965" i="6"/>
  <c r="Y965" i="6"/>
  <c r="X965" i="6"/>
  <c r="AM964" i="6"/>
  <c r="AK964" i="6"/>
  <c r="AJ964" i="6"/>
  <c r="AI964" i="6"/>
  <c r="AG964" i="6"/>
  <c r="AF964" i="6"/>
  <c r="AD964" i="6"/>
  <c r="AC964" i="6"/>
  <c r="AB964" i="6"/>
  <c r="AA964" i="6"/>
  <c r="Z964" i="6"/>
  <c r="Y964" i="6"/>
  <c r="X964" i="6"/>
  <c r="AM963" i="6"/>
  <c r="AK963" i="6"/>
  <c r="AJ963" i="6"/>
  <c r="AI963" i="6"/>
  <c r="AG963" i="6"/>
  <c r="AF963" i="6"/>
  <c r="AD963" i="6"/>
  <c r="AC963" i="6"/>
  <c r="AB963" i="6"/>
  <c r="AA963" i="6"/>
  <c r="Z963" i="6"/>
  <c r="Y963" i="6"/>
  <c r="X963" i="6"/>
  <c r="AK948" i="6"/>
  <c r="AJ948" i="6"/>
  <c r="AI948" i="6"/>
  <c r="AG948" i="6"/>
  <c r="AM948" i="6" s="1"/>
  <c r="AF948" i="6"/>
  <c r="AD948" i="6"/>
  <c r="AB948" i="6"/>
  <c r="AA948" i="6"/>
  <c r="AC948" i="6" s="1"/>
  <c r="Z948" i="6"/>
  <c r="Y948" i="6"/>
  <c r="X948" i="6"/>
  <c r="AK928" i="6"/>
  <c r="AJ928" i="6"/>
  <c r="AI928" i="6"/>
  <c r="AG928" i="6"/>
  <c r="AM928" i="6" s="1"/>
  <c r="AF928" i="6"/>
  <c r="AD928" i="6"/>
  <c r="AB928" i="6"/>
  <c r="AA928" i="6"/>
  <c r="AC928" i="6" s="1"/>
  <c r="Z928" i="6"/>
  <c r="Y928" i="6"/>
  <c r="X928" i="6"/>
  <c r="AK927" i="6"/>
  <c r="AJ927" i="6"/>
  <c r="AI927" i="6"/>
  <c r="AG927" i="6"/>
  <c r="AM927" i="6" s="1"/>
  <c r="AF927" i="6"/>
  <c r="AD927" i="6"/>
  <c r="AB927" i="6"/>
  <c r="AA927" i="6"/>
  <c r="AC927" i="6" s="1"/>
  <c r="Z927" i="6"/>
  <c r="Y927" i="6"/>
  <c r="X927" i="6"/>
  <c r="AK926" i="6"/>
  <c r="AJ926" i="6"/>
  <c r="AI926" i="6"/>
  <c r="AG926" i="6"/>
  <c r="AM926" i="6" s="1"/>
  <c r="AF926" i="6"/>
  <c r="AD926" i="6"/>
  <c r="AB926" i="6"/>
  <c r="AA926" i="6"/>
  <c r="AC926" i="6" s="1"/>
  <c r="Z926" i="6"/>
  <c r="Y926" i="6"/>
  <c r="X926" i="6"/>
  <c r="AK925" i="6"/>
  <c r="AJ925" i="6"/>
  <c r="AI925" i="6"/>
  <c r="AG925" i="6"/>
  <c r="AM925" i="6" s="1"/>
  <c r="AF925" i="6"/>
  <c r="AD925" i="6"/>
  <c r="AB925" i="6"/>
  <c r="AA925" i="6"/>
  <c r="AC925" i="6" s="1"/>
  <c r="Z925" i="6"/>
  <c r="Y925" i="6"/>
  <c r="X925" i="6"/>
  <c r="AK924" i="6"/>
  <c r="AJ924" i="6"/>
  <c r="AI924" i="6"/>
  <c r="AG924" i="6"/>
  <c r="AM924" i="6" s="1"/>
  <c r="AF924" i="6"/>
  <c r="AD924" i="6"/>
  <c r="AB924" i="6"/>
  <c r="AA924" i="6"/>
  <c r="AC924" i="6" s="1"/>
  <c r="Z924" i="6"/>
  <c r="Y924" i="6"/>
  <c r="X924" i="6"/>
  <c r="AK923" i="6"/>
  <c r="AJ923" i="6"/>
  <c r="AI923" i="6"/>
  <c r="AG923" i="6"/>
  <c r="AM923" i="6" s="1"/>
  <c r="AF923" i="6"/>
  <c r="AD923" i="6"/>
  <c r="AB923" i="6"/>
  <c r="AA923" i="6"/>
  <c r="AC923" i="6" s="1"/>
  <c r="Z923" i="6"/>
  <c r="Y923" i="6"/>
  <c r="X923" i="6"/>
  <c r="AK922" i="6"/>
  <c r="AJ922" i="6"/>
  <c r="AI922" i="6"/>
  <c r="AG922" i="6"/>
  <c r="AM922" i="6" s="1"/>
  <c r="AF922" i="6"/>
  <c r="AD922" i="6"/>
  <c r="AB922" i="6"/>
  <c r="AA922" i="6"/>
  <c r="AC922" i="6" s="1"/>
  <c r="Z922" i="6"/>
  <c r="Y922" i="6"/>
  <c r="X922" i="6"/>
  <c r="AK921" i="6"/>
  <c r="AJ921" i="6"/>
  <c r="AI921" i="6"/>
  <c r="AG921" i="6"/>
  <c r="AM921" i="6" s="1"/>
  <c r="AF921" i="6"/>
  <c r="AD921" i="6"/>
  <c r="AB921" i="6"/>
  <c r="AA921" i="6"/>
  <c r="AC921" i="6" s="1"/>
  <c r="Z921" i="6"/>
  <c r="Y921" i="6"/>
  <c r="X921" i="6"/>
  <c r="AK920" i="6"/>
  <c r="AJ920" i="6"/>
  <c r="AI920" i="6"/>
  <c r="AG920" i="6"/>
  <c r="AM920" i="6" s="1"/>
  <c r="AF920" i="6"/>
  <c r="AD920" i="6"/>
  <c r="AB920" i="6"/>
  <c r="AA920" i="6"/>
  <c r="AC920" i="6" s="1"/>
  <c r="Z920" i="6"/>
  <c r="Y920" i="6"/>
  <c r="X920" i="6"/>
  <c r="AK919" i="6"/>
  <c r="AJ919" i="6"/>
  <c r="AI919" i="6"/>
  <c r="AG919" i="6"/>
  <c r="AM919" i="6" s="1"/>
  <c r="AF919" i="6"/>
  <c r="AD919" i="6"/>
  <c r="AB919" i="6"/>
  <c r="AA919" i="6"/>
  <c r="AC919" i="6" s="1"/>
  <c r="Z919" i="6"/>
  <c r="Y919" i="6"/>
  <c r="X919" i="6"/>
  <c r="AK918" i="6"/>
  <c r="AJ918" i="6"/>
  <c r="AI918" i="6"/>
  <c r="AG918" i="6"/>
  <c r="AM918" i="6" s="1"/>
  <c r="AF918" i="6"/>
  <c r="AD918" i="6"/>
  <c r="AB918" i="6"/>
  <c r="AA918" i="6"/>
  <c r="AC918" i="6" s="1"/>
  <c r="Z918" i="6"/>
  <c r="Y918" i="6"/>
  <c r="X918" i="6"/>
  <c r="AK917" i="6"/>
  <c r="AJ917" i="6"/>
  <c r="AI917" i="6"/>
  <c r="AG917" i="6"/>
  <c r="AM917" i="6" s="1"/>
  <c r="AF917" i="6"/>
  <c r="AD917" i="6"/>
  <c r="AB917" i="6"/>
  <c r="AA917" i="6"/>
  <c r="AC917" i="6" s="1"/>
  <c r="Z917" i="6"/>
  <c r="Y917" i="6"/>
  <c r="X917" i="6"/>
  <c r="AK916" i="6"/>
  <c r="AJ916" i="6"/>
  <c r="AI916" i="6"/>
  <c r="AG916" i="6"/>
  <c r="AM916" i="6" s="1"/>
  <c r="AF916" i="6"/>
  <c r="AD916" i="6"/>
  <c r="AB916" i="6"/>
  <c r="AA916" i="6"/>
  <c r="AC916" i="6" s="1"/>
  <c r="Z916" i="6"/>
  <c r="Y916" i="6"/>
  <c r="X916" i="6"/>
  <c r="AK915" i="6"/>
  <c r="AJ915" i="6"/>
  <c r="AI915" i="6"/>
  <c r="AG915" i="6"/>
  <c r="AM915" i="6" s="1"/>
  <c r="AF915" i="6"/>
  <c r="AD915" i="6"/>
  <c r="AB915" i="6"/>
  <c r="AA915" i="6"/>
  <c r="AC915" i="6" s="1"/>
  <c r="Z915" i="6"/>
  <c r="Y915" i="6"/>
  <c r="X915" i="6"/>
  <c r="AK914" i="6"/>
  <c r="AJ914" i="6"/>
  <c r="AI914" i="6"/>
  <c r="AG914" i="6"/>
  <c r="AM914" i="6" s="1"/>
  <c r="AF914" i="6"/>
  <c r="AD914" i="6"/>
  <c r="AB914" i="6"/>
  <c r="AA914" i="6"/>
  <c r="AC914" i="6" s="1"/>
  <c r="Z914" i="6"/>
  <c r="Y914" i="6"/>
  <c r="X914" i="6"/>
  <c r="AK913" i="6"/>
  <c r="AJ913" i="6"/>
  <c r="AI913" i="6"/>
  <c r="AG913" i="6"/>
  <c r="AM913" i="6" s="1"/>
  <c r="AF913" i="6"/>
  <c r="AD913" i="6"/>
  <c r="AB913" i="6"/>
  <c r="AA913" i="6"/>
  <c r="AC913" i="6" s="1"/>
  <c r="Z913" i="6"/>
  <c r="Y913" i="6"/>
  <c r="X913" i="6"/>
  <c r="AK912" i="6"/>
  <c r="AJ912" i="6"/>
  <c r="AI912" i="6"/>
  <c r="AG912" i="6"/>
  <c r="AM912" i="6" s="1"/>
  <c r="AF912" i="6"/>
  <c r="AD912" i="6"/>
  <c r="AB912" i="6"/>
  <c r="AA912" i="6"/>
  <c r="AC912" i="6" s="1"/>
  <c r="Z912" i="6"/>
  <c r="Y912" i="6"/>
  <c r="X912" i="6"/>
  <c r="AK911" i="6"/>
  <c r="AJ911" i="6"/>
  <c r="AI911" i="6"/>
  <c r="AG911" i="6"/>
  <c r="AM911" i="6" s="1"/>
  <c r="AF911" i="6"/>
  <c r="AD911" i="6"/>
  <c r="AB911" i="6"/>
  <c r="AA911" i="6"/>
  <c r="AC911" i="6" s="1"/>
  <c r="Z911" i="6"/>
  <c r="Y911" i="6"/>
  <c r="X911" i="6"/>
  <c r="AK910" i="6"/>
  <c r="AJ910" i="6"/>
  <c r="AI910" i="6"/>
  <c r="AG910" i="6"/>
  <c r="AM910" i="6" s="1"/>
  <c r="AF910" i="6"/>
  <c r="AD910" i="6"/>
  <c r="AB910" i="6"/>
  <c r="AA910" i="6"/>
  <c r="AC910" i="6" s="1"/>
  <c r="Z910" i="6"/>
  <c r="Y910" i="6"/>
  <c r="X910" i="6"/>
  <c r="AK909" i="6"/>
  <c r="AJ909" i="6"/>
  <c r="AI909" i="6"/>
  <c r="AG909" i="6"/>
  <c r="AM909" i="6" s="1"/>
  <c r="AF909" i="6"/>
  <c r="AD909" i="6"/>
  <c r="AB909" i="6"/>
  <c r="AA909" i="6"/>
  <c r="AC909" i="6" s="1"/>
  <c r="Z909" i="6"/>
  <c r="Y909" i="6"/>
  <c r="X909" i="6"/>
  <c r="AK908" i="6"/>
  <c r="AJ908" i="6"/>
  <c r="AI908" i="6"/>
  <c r="AG908" i="6"/>
  <c r="AM908" i="6" s="1"/>
  <c r="AF908" i="6"/>
  <c r="AD908" i="6"/>
  <c r="AB908" i="6"/>
  <c r="AA908" i="6"/>
  <c r="AC908" i="6" s="1"/>
  <c r="Z908" i="6"/>
  <c r="Y908" i="6"/>
  <c r="X908" i="6"/>
  <c r="AK907" i="6"/>
  <c r="AJ907" i="6"/>
  <c r="AI907" i="6"/>
  <c r="AG907" i="6"/>
  <c r="AM907" i="6" s="1"/>
  <c r="AF907" i="6"/>
  <c r="AD907" i="6"/>
  <c r="AB907" i="6"/>
  <c r="AA907" i="6"/>
  <c r="AC907" i="6" s="1"/>
  <c r="Z907" i="6"/>
  <c r="Y907" i="6"/>
  <c r="X907" i="6"/>
  <c r="AK906" i="6"/>
  <c r="AJ906" i="6"/>
  <c r="AI906" i="6"/>
  <c r="AG906" i="6"/>
  <c r="AM906" i="6" s="1"/>
  <c r="AF906" i="6"/>
  <c r="AD906" i="6"/>
  <c r="AB906" i="6"/>
  <c r="AA906" i="6"/>
  <c r="AC906" i="6" s="1"/>
  <c r="Z906" i="6"/>
  <c r="Y906" i="6"/>
  <c r="X906" i="6"/>
  <c r="AK905" i="6"/>
  <c r="AJ905" i="6"/>
  <c r="AI905" i="6"/>
  <c r="AG905" i="6"/>
  <c r="AM905" i="6" s="1"/>
  <c r="AF905" i="6"/>
  <c r="AD905" i="6"/>
  <c r="AB905" i="6"/>
  <c r="AA905" i="6"/>
  <c r="AC905" i="6" s="1"/>
  <c r="Z905" i="6"/>
  <c r="Y905" i="6"/>
  <c r="X905" i="6"/>
  <c r="AK904" i="6"/>
  <c r="AJ904" i="6"/>
  <c r="AI904" i="6"/>
  <c r="AG904" i="6"/>
  <c r="AM904" i="6" s="1"/>
  <c r="AF904" i="6"/>
  <c r="AD904" i="6"/>
  <c r="AB904" i="6"/>
  <c r="AA904" i="6"/>
  <c r="AC904" i="6" s="1"/>
  <c r="Z904" i="6"/>
  <c r="Y904" i="6"/>
  <c r="X904" i="6"/>
  <c r="AK903" i="6"/>
  <c r="AJ903" i="6"/>
  <c r="AI903" i="6"/>
  <c r="AG903" i="6"/>
  <c r="AM903" i="6" s="1"/>
  <c r="AF903" i="6"/>
  <c r="AD903" i="6"/>
  <c r="AB903" i="6"/>
  <c r="AA903" i="6"/>
  <c r="AC903" i="6" s="1"/>
  <c r="Z903" i="6"/>
  <c r="Y903" i="6"/>
  <c r="X903" i="6"/>
  <c r="AK902" i="6"/>
  <c r="AJ902" i="6"/>
  <c r="AI902" i="6"/>
  <c r="AG902" i="6"/>
  <c r="AM902" i="6" s="1"/>
  <c r="AF902" i="6"/>
  <c r="AD902" i="6"/>
  <c r="AB902" i="6"/>
  <c r="AA902" i="6"/>
  <c r="AC902" i="6" s="1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K899" i="6"/>
  <c r="AJ899" i="6"/>
  <c r="AI899" i="6"/>
  <c r="AG899" i="6"/>
  <c r="AM899" i="6" s="1"/>
  <c r="AF899" i="6"/>
  <c r="AD899" i="6"/>
  <c r="AB899" i="6"/>
  <c r="AA899" i="6"/>
  <c r="AC899" i="6" s="1"/>
  <c r="Z899" i="6"/>
  <c r="Y899" i="6"/>
  <c r="X899" i="6"/>
  <c r="AK898" i="6"/>
  <c r="AJ898" i="6"/>
  <c r="AI898" i="6"/>
  <c r="AG898" i="6"/>
  <c r="AM898" i="6" s="1"/>
  <c r="AF898" i="6"/>
  <c r="AD898" i="6"/>
  <c r="AB898" i="6"/>
  <c r="AA898" i="6"/>
  <c r="AC898" i="6" s="1"/>
  <c r="Z898" i="6"/>
  <c r="Y898" i="6"/>
  <c r="X898" i="6"/>
  <c r="AK897" i="6"/>
  <c r="AJ897" i="6"/>
  <c r="AI897" i="6"/>
  <c r="AG897" i="6"/>
  <c r="AM897" i="6" s="1"/>
  <c r="AF897" i="6"/>
  <c r="AD897" i="6"/>
  <c r="AB897" i="6"/>
  <c r="AA897" i="6"/>
  <c r="AC897" i="6" s="1"/>
  <c r="Z897" i="6"/>
  <c r="Y897" i="6"/>
  <c r="X897" i="6"/>
  <c r="AK896" i="6"/>
  <c r="AJ896" i="6"/>
  <c r="AI896" i="6"/>
  <c r="AG896" i="6"/>
  <c r="AM896" i="6" s="1"/>
  <c r="AF896" i="6"/>
  <c r="AD896" i="6"/>
  <c r="AB896" i="6"/>
  <c r="AA896" i="6"/>
  <c r="AC896" i="6" s="1"/>
  <c r="Z896" i="6"/>
  <c r="Y896" i="6"/>
  <c r="X896" i="6"/>
  <c r="AK895" i="6"/>
  <c r="AJ895" i="6"/>
  <c r="AI895" i="6"/>
  <c r="AG895" i="6"/>
  <c r="AM895" i="6" s="1"/>
  <c r="AF895" i="6"/>
  <c r="AD895" i="6"/>
  <c r="AB895" i="6"/>
  <c r="AA895" i="6"/>
  <c r="AC895" i="6" s="1"/>
  <c r="Z895" i="6"/>
  <c r="Y895" i="6"/>
  <c r="X895" i="6"/>
  <c r="AK894" i="6"/>
  <c r="AJ894" i="6"/>
  <c r="AI894" i="6"/>
  <c r="AG894" i="6"/>
  <c r="AM894" i="6" s="1"/>
  <c r="AF894" i="6"/>
  <c r="AD894" i="6"/>
  <c r="AB894" i="6"/>
  <c r="AA894" i="6"/>
  <c r="AC894" i="6" s="1"/>
  <c r="Z894" i="6"/>
  <c r="Y894" i="6"/>
  <c r="X894" i="6"/>
  <c r="AK893" i="6"/>
  <c r="AJ893" i="6"/>
  <c r="AI893" i="6"/>
  <c r="AG893" i="6"/>
  <c r="AM893" i="6" s="1"/>
  <c r="AF893" i="6"/>
  <c r="AD893" i="6"/>
  <c r="AB893" i="6"/>
  <c r="AA893" i="6"/>
  <c r="AC893" i="6" s="1"/>
  <c r="Z893" i="6"/>
  <c r="Y893" i="6"/>
  <c r="X893" i="6"/>
  <c r="AK892" i="6"/>
  <c r="AJ892" i="6"/>
  <c r="AI892" i="6"/>
  <c r="AG892" i="6"/>
  <c r="AM892" i="6" s="1"/>
  <c r="AF892" i="6"/>
  <c r="AD892" i="6"/>
  <c r="AB892" i="6"/>
  <c r="AA892" i="6"/>
  <c r="AC892" i="6" s="1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K889" i="6"/>
  <c r="AJ889" i="6"/>
  <c r="AI889" i="6"/>
  <c r="AG889" i="6"/>
  <c r="AM889" i="6" s="1"/>
  <c r="AF889" i="6"/>
  <c r="AD889" i="6"/>
  <c r="AB889" i="6"/>
  <c r="AA889" i="6"/>
  <c r="AC889" i="6" s="1"/>
  <c r="Z889" i="6"/>
  <c r="Y889" i="6"/>
  <c r="X889" i="6"/>
  <c r="AK888" i="6"/>
  <c r="AJ888" i="6"/>
  <c r="AI888" i="6"/>
  <c r="AG888" i="6"/>
  <c r="AM888" i="6" s="1"/>
  <c r="AF888" i="6"/>
  <c r="AD888" i="6"/>
  <c r="AB888" i="6"/>
  <c r="AA888" i="6"/>
  <c r="AC888" i="6" s="1"/>
  <c r="Z888" i="6"/>
  <c r="Y888" i="6"/>
  <c r="X888" i="6"/>
  <c r="AK887" i="6"/>
  <c r="AJ887" i="6"/>
  <c r="AI887" i="6"/>
  <c r="AG887" i="6"/>
  <c r="AM887" i="6" s="1"/>
  <c r="AF887" i="6"/>
  <c r="AD887" i="6"/>
  <c r="AB887" i="6"/>
  <c r="AA887" i="6"/>
  <c r="AC887" i="6" s="1"/>
  <c r="Z887" i="6"/>
  <c r="Y887" i="6"/>
  <c r="X887" i="6"/>
  <c r="AM886" i="6"/>
  <c r="AK886" i="6"/>
  <c r="AJ886" i="6"/>
  <c r="AI886" i="6"/>
  <c r="AG886" i="6"/>
  <c r="AF886" i="6"/>
  <c r="AD886" i="6"/>
  <c r="AC886" i="6"/>
  <c r="AB886" i="6"/>
  <c r="AA886" i="6"/>
  <c r="Z886" i="6"/>
  <c r="Y886" i="6"/>
  <c r="X886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K884" i="6"/>
  <c r="AJ884" i="6"/>
  <c r="AI884" i="6"/>
  <c r="AG884" i="6"/>
  <c r="AM884" i="6" s="1"/>
  <c r="AF884" i="6"/>
  <c r="AD884" i="6"/>
  <c r="AB884" i="6"/>
  <c r="AA884" i="6"/>
  <c r="AC884" i="6" s="1"/>
  <c r="Z884" i="6"/>
  <c r="Y884" i="6"/>
  <c r="X884" i="6"/>
  <c r="AK883" i="6"/>
  <c r="AJ883" i="6"/>
  <c r="AI883" i="6"/>
  <c r="AG883" i="6"/>
  <c r="AM883" i="6" s="1"/>
  <c r="AF883" i="6"/>
  <c r="AD883" i="6"/>
  <c r="AB883" i="6"/>
  <c r="AA883" i="6"/>
  <c r="AC883" i="6" s="1"/>
  <c r="Z883" i="6"/>
  <c r="Y883" i="6"/>
  <c r="X883" i="6"/>
  <c r="AK882" i="6"/>
  <c r="AJ882" i="6"/>
  <c r="AI882" i="6"/>
  <c r="AG882" i="6"/>
  <c r="AM882" i="6" s="1"/>
  <c r="AF882" i="6"/>
  <c r="AD882" i="6"/>
  <c r="AB882" i="6"/>
  <c r="AA882" i="6"/>
  <c r="AC882" i="6" s="1"/>
  <c r="Z882" i="6"/>
  <c r="Y882" i="6"/>
  <c r="X882" i="6"/>
  <c r="AK881" i="6"/>
  <c r="AJ881" i="6"/>
  <c r="AI881" i="6"/>
  <c r="AG881" i="6"/>
  <c r="AM881" i="6" s="1"/>
  <c r="AF881" i="6"/>
  <c r="AD881" i="6"/>
  <c r="AB881" i="6"/>
  <c r="AA881" i="6"/>
  <c r="AC881" i="6" s="1"/>
  <c r="Z881" i="6"/>
  <c r="Y881" i="6"/>
  <c r="X881" i="6"/>
  <c r="AK880" i="6"/>
  <c r="AJ880" i="6"/>
  <c r="AI880" i="6"/>
  <c r="AG880" i="6"/>
  <c r="AM880" i="6" s="1"/>
  <c r="AF880" i="6"/>
  <c r="AD880" i="6"/>
  <c r="AB880" i="6"/>
  <c r="AA880" i="6"/>
  <c r="AC880" i="6" s="1"/>
  <c r="Z880" i="6"/>
  <c r="Y880" i="6"/>
  <c r="X880" i="6"/>
  <c r="AK879" i="6"/>
  <c r="AJ879" i="6"/>
  <c r="AI879" i="6"/>
  <c r="AG879" i="6"/>
  <c r="AM879" i="6" s="1"/>
  <c r="AF879" i="6"/>
  <c r="AD879" i="6"/>
  <c r="AB879" i="6"/>
  <c r="AA879" i="6"/>
  <c r="AC879" i="6" s="1"/>
  <c r="Z879" i="6"/>
  <c r="Y879" i="6"/>
  <c r="X879" i="6"/>
  <c r="AK878" i="6"/>
  <c r="AJ878" i="6"/>
  <c r="AI878" i="6"/>
  <c r="AG878" i="6"/>
  <c r="AM878" i="6" s="1"/>
  <c r="AF878" i="6"/>
  <c r="AD878" i="6"/>
  <c r="AB878" i="6"/>
  <c r="AA878" i="6"/>
  <c r="AC878" i="6" s="1"/>
  <c r="Z878" i="6"/>
  <c r="Y878" i="6"/>
  <c r="X878" i="6"/>
  <c r="AK877" i="6"/>
  <c r="AJ877" i="6"/>
  <c r="AI877" i="6"/>
  <c r="AG877" i="6"/>
  <c r="AM877" i="6" s="1"/>
  <c r="AF877" i="6"/>
  <c r="AD877" i="6"/>
  <c r="AB877" i="6"/>
  <c r="AA877" i="6"/>
  <c r="AC877" i="6" s="1"/>
  <c r="Z877" i="6"/>
  <c r="Y877" i="6"/>
  <c r="X877" i="6"/>
  <c r="AM876" i="6"/>
  <c r="AK876" i="6"/>
  <c r="AJ876" i="6"/>
  <c r="AI876" i="6"/>
  <c r="AG876" i="6"/>
  <c r="AF876" i="6"/>
  <c r="AD876" i="6"/>
  <c r="AC876" i="6"/>
  <c r="AB876" i="6"/>
  <c r="AA876" i="6"/>
  <c r="Z876" i="6"/>
  <c r="Y876" i="6"/>
  <c r="X876" i="6"/>
  <c r="AK807" i="6"/>
  <c r="AJ807" i="6"/>
  <c r="AI807" i="6"/>
  <c r="AG807" i="6"/>
  <c r="AM807" i="6" s="1"/>
  <c r="AF807" i="6"/>
  <c r="AD807" i="6"/>
  <c r="AB807" i="6"/>
  <c r="AA807" i="6"/>
  <c r="AC807" i="6" s="1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K803" i="6"/>
  <c r="AJ803" i="6"/>
  <c r="AI803" i="6"/>
  <c r="AG803" i="6"/>
  <c r="AM803" i="6" s="1"/>
  <c r="AF803" i="6"/>
  <c r="AD803" i="6"/>
  <c r="AB803" i="6"/>
  <c r="AA803" i="6"/>
  <c r="AC803" i="6" s="1"/>
  <c r="Z803" i="6"/>
  <c r="Y803" i="6"/>
  <c r="X803" i="6"/>
  <c r="AM875" i="6"/>
  <c r="AK875" i="6"/>
  <c r="AJ875" i="6"/>
  <c r="AI875" i="6"/>
  <c r="AG875" i="6"/>
  <c r="AF875" i="6"/>
  <c r="AD875" i="6"/>
  <c r="AC875" i="6"/>
  <c r="AB875" i="6"/>
  <c r="AA875" i="6"/>
  <c r="Z875" i="6"/>
  <c r="Y875" i="6"/>
  <c r="X875" i="6"/>
  <c r="AK874" i="6"/>
  <c r="AJ874" i="6"/>
  <c r="AI874" i="6"/>
  <c r="AG874" i="6"/>
  <c r="AM874" i="6" s="1"/>
  <c r="AF874" i="6"/>
  <c r="AD874" i="6"/>
  <c r="AB874" i="6"/>
  <c r="AA874" i="6"/>
  <c r="AC874" i="6" s="1"/>
  <c r="Z874" i="6"/>
  <c r="Y874" i="6"/>
  <c r="X874" i="6"/>
  <c r="AK873" i="6"/>
  <c r="AJ873" i="6"/>
  <c r="AI873" i="6"/>
  <c r="AG873" i="6"/>
  <c r="AM873" i="6" s="1"/>
  <c r="AF873" i="6"/>
  <c r="AD873" i="6"/>
  <c r="AB873" i="6"/>
  <c r="AA873" i="6"/>
  <c r="AC873" i="6" s="1"/>
  <c r="Z873" i="6"/>
  <c r="Y873" i="6"/>
  <c r="X873" i="6"/>
  <c r="AK872" i="6"/>
  <c r="AJ872" i="6"/>
  <c r="AI872" i="6"/>
  <c r="AG872" i="6"/>
  <c r="AM872" i="6" s="1"/>
  <c r="AF872" i="6"/>
  <c r="AD872" i="6"/>
  <c r="AB872" i="6"/>
  <c r="AA872" i="6"/>
  <c r="AC872" i="6" s="1"/>
  <c r="Z872" i="6"/>
  <c r="Y872" i="6"/>
  <c r="X872" i="6"/>
  <c r="AK871" i="6"/>
  <c r="AJ871" i="6"/>
  <c r="AI871" i="6"/>
  <c r="AG871" i="6"/>
  <c r="AM871" i="6" s="1"/>
  <c r="AF871" i="6"/>
  <c r="AD871" i="6"/>
  <c r="AB871" i="6"/>
  <c r="AA871" i="6"/>
  <c r="AC871" i="6" s="1"/>
  <c r="Z871" i="6"/>
  <c r="Y871" i="6"/>
  <c r="X871" i="6"/>
  <c r="AM870" i="6"/>
  <c r="AK870" i="6"/>
  <c r="AJ870" i="6"/>
  <c r="AI870" i="6"/>
  <c r="AG870" i="6"/>
  <c r="AF870" i="6"/>
  <c r="AD870" i="6"/>
  <c r="AC870" i="6"/>
  <c r="AB870" i="6"/>
  <c r="AA870" i="6"/>
  <c r="Z870" i="6"/>
  <c r="Y870" i="6"/>
  <c r="X870" i="6"/>
  <c r="AK869" i="6"/>
  <c r="AJ869" i="6"/>
  <c r="AI869" i="6"/>
  <c r="AG869" i="6"/>
  <c r="AM869" i="6" s="1"/>
  <c r="AF869" i="6"/>
  <c r="AD869" i="6"/>
  <c r="AB869" i="6"/>
  <c r="AA869" i="6"/>
  <c r="AC869" i="6" s="1"/>
  <c r="Z869" i="6"/>
  <c r="Y869" i="6"/>
  <c r="X869" i="6"/>
  <c r="AK868" i="6"/>
  <c r="AJ868" i="6"/>
  <c r="AI868" i="6"/>
  <c r="AG868" i="6"/>
  <c r="AM868" i="6" s="1"/>
  <c r="AF868" i="6"/>
  <c r="AD868" i="6"/>
  <c r="AB868" i="6"/>
  <c r="AA868" i="6"/>
  <c r="AC868" i="6" s="1"/>
  <c r="Z868" i="6"/>
  <c r="Y868" i="6"/>
  <c r="X868" i="6"/>
  <c r="AK867" i="6"/>
  <c r="AJ867" i="6"/>
  <c r="AI867" i="6"/>
  <c r="AG867" i="6"/>
  <c r="AM867" i="6" s="1"/>
  <c r="AF867" i="6"/>
  <c r="AD867" i="6"/>
  <c r="AB867" i="6"/>
  <c r="AA867" i="6"/>
  <c r="AC867" i="6" s="1"/>
  <c r="Z867" i="6"/>
  <c r="Y867" i="6"/>
  <c r="X867" i="6"/>
  <c r="AK866" i="6"/>
  <c r="AJ866" i="6"/>
  <c r="AI866" i="6"/>
  <c r="AG866" i="6"/>
  <c r="AM866" i="6" s="1"/>
  <c r="AF866" i="6"/>
  <c r="AD866" i="6"/>
  <c r="AB866" i="6"/>
  <c r="AA866" i="6"/>
  <c r="AC866" i="6" s="1"/>
  <c r="Z866" i="6"/>
  <c r="Y866" i="6"/>
  <c r="X866" i="6"/>
  <c r="AK865" i="6"/>
  <c r="AJ865" i="6"/>
  <c r="AI865" i="6"/>
  <c r="AG865" i="6"/>
  <c r="AM865" i="6" s="1"/>
  <c r="AF865" i="6"/>
  <c r="AD865" i="6"/>
  <c r="AB865" i="6"/>
  <c r="AA865" i="6"/>
  <c r="AC865" i="6" s="1"/>
  <c r="Z865" i="6"/>
  <c r="Y865" i="6"/>
  <c r="X865" i="6"/>
  <c r="AK864" i="6"/>
  <c r="AJ864" i="6"/>
  <c r="AI864" i="6"/>
  <c r="AG864" i="6"/>
  <c r="AM864" i="6" s="1"/>
  <c r="AF864" i="6"/>
  <c r="AD864" i="6"/>
  <c r="AB864" i="6"/>
  <c r="AA864" i="6"/>
  <c r="AC864" i="6" s="1"/>
  <c r="Z864" i="6"/>
  <c r="Y864" i="6"/>
  <c r="X864" i="6"/>
  <c r="AK863" i="6"/>
  <c r="AJ863" i="6"/>
  <c r="AI863" i="6"/>
  <c r="AG863" i="6"/>
  <c r="AM863" i="6" s="1"/>
  <c r="AF863" i="6"/>
  <c r="AD863" i="6"/>
  <c r="AB863" i="6"/>
  <c r="AA863" i="6"/>
  <c r="AC863" i="6" s="1"/>
  <c r="Z863" i="6"/>
  <c r="Y863" i="6"/>
  <c r="X863" i="6"/>
  <c r="AK862" i="6"/>
  <c r="AJ862" i="6"/>
  <c r="AI862" i="6"/>
  <c r="AG862" i="6"/>
  <c r="AM862" i="6" s="1"/>
  <c r="AF862" i="6"/>
  <c r="AD862" i="6"/>
  <c r="AB862" i="6"/>
  <c r="AA862" i="6"/>
  <c r="AC862" i="6" s="1"/>
  <c r="Z862" i="6"/>
  <c r="Y862" i="6"/>
  <c r="X862" i="6"/>
  <c r="AK861" i="6"/>
  <c r="AJ861" i="6"/>
  <c r="AI861" i="6"/>
  <c r="AG861" i="6"/>
  <c r="AM861" i="6" s="1"/>
  <c r="AF861" i="6"/>
  <c r="AD861" i="6"/>
  <c r="AB861" i="6"/>
  <c r="AA861" i="6"/>
  <c r="AC861" i="6" s="1"/>
  <c r="Z861" i="6"/>
  <c r="Y861" i="6"/>
  <c r="X861" i="6"/>
  <c r="AK860" i="6"/>
  <c r="AJ860" i="6"/>
  <c r="AI860" i="6"/>
  <c r="AG860" i="6"/>
  <c r="AM860" i="6" s="1"/>
  <c r="AF860" i="6"/>
  <c r="AD860" i="6"/>
  <c r="AB860" i="6"/>
  <c r="AA860" i="6"/>
  <c r="AC860" i="6" s="1"/>
  <c r="Z860" i="6"/>
  <c r="Y860" i="6"/>
  <c r="X860" i="6"/>
  <c r="AK859" i="6"/>
  <c r="AJ859" i="6"/>
  <c r="AI859" i="6"/>
  <c r="AG859" i="6"/>
  <c r="AM859" i="6" s="1"/>
  <c r="AF859" i="6"/>
  <c r="AD859" i="6"/>
  <c r="AB859" i="6"/>
  <c r="AA859" i="6"/>
  <c r="AC859" i="6" s="1"/>
  <c r="Z859" i="6"/>
  <c r="Y859" i="6"/>
  <c r="X859" i="6"/>
  <c r="AK858" i="6"/>
  <c r="AJ858" i="6"/>
  <c r="AI858" i="6"/>
  <c r="AG858" i="6"/>
  <c r="AM858" i="6" s="1"/>
  <c r="AF858" i="6"/>
  <c r="AD858" i="6"/>
  <c r="AB858" i="6"/>
  <c r="AA858" i="6"/>
  <c r="AC858" i="6" s="1"/>
  <c r="Z858" i="6"/>
  <c r="Y858" i="6"/>
  <c r="X858" i="6"/>
  <c r="AK857" i="6"/>
  <c r="AJ857" i="6"/>
  <c r="AI857" i="6"/>
  <c r="AG857" i="6"/>
  <c r="AM857" i="6" s="1"/>
  <c r="AF857" i="6"/>
  <c r="AD857" i="6"/>
  <c r="AB857" i="6"/>
  <c r="AA857" i="6"/>
  <c r="AC857" i="6" s="1"/>
  <c r="Z857" i="6"/>
  <c r="Y857" i="6"/>
  <c r="X857" i="6"/>
  <c r="AK856" i="6"/>
  <c r="AJ856" i="6"/>
  <c r="AI856" i="6"/>
  <c r="AG856" i="6"/>
  <c r="AM856" i="6" s="1"/>
  <c r="AF856" i="6"/>
  <c r="AD856" i="6"/>
  <c r="AB856" i="6"/>
  <c r="AA856" i="6"/>
  <c r="AC856" i="6" s="1"/>
  <c r="Z856" i="6"/>
  <c r="Y856" i="6"/>
  <c r="X856" i="6"/>
  <c r="AK855" i="6"/>
  <c r="AJ855" i="6"/>
  <c r="AI855" i="6"/>
  <c r="AG855" i="6"/>
  <c r="AM855" i="6" s="1"/>
  <c r="AF855" i="6"/>
  <c r="AD855" i="6"/>
  <c r="AB855" i="6"/>
  <c r="AA855" i="6"/>
  <c r="AC855" i="6" s="1"/>
  <c r="Z855" i="6"/>
  <c r="Y855" i="6"/>
  <c r="X855" i="6"/>
  <c r="AK854" i="6"/>
  <c r="AJ854" i="6"/>
  <c r="AI854" i="6"/>
  <c r="AG854" i="6"/>
  <c r="AM854" i="6" s="1"/>
  <c r="AF854" i="6"/>
  <c r="AD854" i="6"/>
  <c r="AB854" i="6"/>
  <c r="AA854" i="6"/>
  <c r="AC854" i="6" s="1"/>
  <c r="Z854" i="6"/>
  <c r="Y854" i="6"/>
  <c r="X854" i="6"/>
  <c r="AK853" i="6"/>
  <c r="AJ853" i="6"/>
  <c r="AI853" i="6"/>
  <c r="AG853" i="6"/>
  <c r="AM853" i="6" s="1"/>
  <c r="AF853" i="6"/>
  <c r="AD853" i="6"/>
  <c r="AB853" i="6"/>
  <c r="AA853" i="6"/>
  <c r="AC853" i="6" s="1"/>
  <c r="Z853" i="6"/>
  <c r="Y853" i="6"/>
  <c r="X853" i="6"/>
  <c r="AK852" i="6"/>
  <c r="AJ852" i="6"/>
  <c r="AI852" i="6"/>
  <c r="AG852" i="6"/>
  <c r="AM852" i="6" s="1"/>
  <c r="AF852" i="6"/>
  <c r="AD852" i="6"/>
  <c r="AB852" i="6"/>
  <c r="AA852" i="6"/>
  <c r="AC852" i="6" s="1"/>
  <c r="Z852" i="6"/>
  <c r="Y852" i="6"/>
  <c r="X852" i="6"/>
  <c r="AK851" i="6"/>
  <c r="AJ851" i="6"/>
  <c r="AI851" i="6"/>
  <c r="AG851" i="6"/>
  <c r="AM851" i="6" s="1"/>
  <c r="AF851" i="6"/>
  <c r="AD851" i="6"/>
  <c r="AB851" i="6"/>
  <c r="AA851" i="6"/>
  <c r="AC851" i="6" s="1"/>
  <c r="Z851" i="6"/>
  <c r="Y851" i="6"/>
  <c r="X851" i="6"/>
  <c r="AK850" i="6"/>
  <c r="AJ850" i="6"/>
  <c r="AI850" i="6"/>
  <c r="AG850" i="6"/>
  <c r="AM850" i="6" s="1"/>
  <c r="AF850" i="6"/>
  <c r="AD850" i="6"/>
  <c r="AB850" i="6"/>
  <c r="AA850" i="6"/>
  <c r="AC850" i="6" s="1"/>
  <c r="Z850" i="6"/>
  <c r="Y850" i="6"/>
  <c r="X850" i="6"/>
  <c r="AK849" i="6"/>
  <c r="AJ849" i="6"/>
  <c r="AI849" i="6"/>
  <c r="AG849" i="6"/>
  <c r="AM849" i="6" s="1"/>
  <c r="AF849" i="6"/>
  <c r="AD849" i="6"/>
  <c r="AB849" i="6"/>
  <c r="AA849" i="6"/>
  <c r="AC849" i="6" s="1"/>
  <c r="Z849" i="6"/>
  <c r="Y849" i="6"/>
  <c r="X849" i="6"/>
  <c r="AK848" i="6"/>
  <c r="AJ848" i="6"/>
  <c r="AI848" i="6"/>
  <c r="AG848" i="6"/>
  <c r="AM848" i="6" s="1"/>
  <c r="AF848" i="6"/>
  <c r="AD848" i="6"/>
  <c r="AB848" i="6"/>
  <c r="AA848" i="6"/>
  <c r="AC848" i="6" s="1"/>
  <c r="Z848" i="6"/>
  <c r="Y848" i="6"/>
  <c r="X848" i="6"/>
  <c r="AK847" i="6"/>
  <c r="AJ847" i="6"/>
  <c r="AI847" i="6"/>
  <c r="AG847" i="6"/>
  <c r="AM847" i="6" s="1"/>
  <c r="AF847" i="6"/>
  <c r="AD847" i="6"/>
  <c r="AB847" i="6"/>
  <c r="AA847" i="6"/>
  <c r="AC847" i="6" s="1"/>
  <c r="Z847" i="6"/>
  <c r="Y847" i="6"/>
  <c r="X847" i="6"/>
  <c r="AK846" i="6"/>
  <c r="AJ846" i="6"/>
  <c r="AI846" i="6"/>
  <c r="AG846" i="6"/>
  <c r="AM846" i="6" s="1"/>
  <c r="AF846" i="6"/>
  <c r="AD846" i="6"/>
  <c r="AB846" i="6"/>
  <c r="AA846" i="6"/>
  <c r="AC846" i="6" s="1"/>
  <c r="Z846" i="6"/>
  <c r="Y846" i="6"/>
  <c r="X846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K832" i="6"/>
  <c r="AJ832" i="6"/>
  <c r="AI832" i="6"/>
  <c r="AG832" i="6"/>
  <c r="AM832" i="6" s="1"/>
  <c r="AF832" i="6"/>
  <c r="AD832" i="6"/>
  <c r="AB832" i="6"/>
  <c r="AA832" i="6"/>
  <c r="AC832" i="6" s="1"/>
  <c r="Z832" i="6"/>
  <c r="Y832" i="6"/>
  <c r="X832" i="6"/>
  <c r="AK831" i="6"/>
  <c r="AJ831" i="6"/>
  <c r="AI831" i="6"/>
  <c r="AG831" i="6"/>
  <c r="AM831" i="6" s="1"/>
  <c r="AF831" i="6"/>
  <c r="AD831" i="6"/>
  <c r="AB831" i="6"/>
  <c r="AA831" i="6"/>
  <c r="AC831" i="6" s="1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K818" i="6"/>
  <c r="AJ818" i="6"/>
  <c r="AI818" i="6"/>
  <c r="AG818" i="6"/>
  <c r="AM818" i="6" s="1"/>
  <c r="AF818" i="6"/>
  <c r="AD818" i="6"/>
  <c r="AB818" i="6"/>
  <c r="AA818" i="6"/>
  <c r="AC818" i="6" s="1"/>
  <c r="Z818" i="6"/>
  <c r="Y818" i="6"/>
  <c r="X818" i="6"/>
  <c r="AK817" i="6"/>
  <c r="AJ817" i="6"/>
  <c r="AI817" i="6"/>
  <c r="AG817" i="6"/>
  <c r="AM817" i="6" s="1"/>
  <c r="AF817" i="6"/>
  <c r="AD817" i="6"/>
  <c r="AB817" i="6"/>
  <c r="AA817" i="6"/>
  <c r="AC817" i="6" s="1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M811" i="6"/>
  <c r="AK811" i="6"/>
  <c r="AJ811" i="6"/>
  <c r="AI811" i="6"/>
  <c r="AG811" i="6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K802" i="6"/>
  <c r="AJ802" i="6"/>
  <c r="AI802" i="6"/>
  <c r="AG802" i="6"/>
  <c r="AM802" i="6" s="1"/>
  <c r="AF802" i="6"/>
  <c r="AD802" i="6"/>
  <c r="AB802" i="6"/>
  <c r="AA802" i="6"/>
  <c r="AC802" i="6" s="1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M796" i="6"/>
  <c r="AK796" i="6"/>
  <c r="AJ796" i="6"/>
  <c r="AI796" i="6"/>
  <c r="AG796" i="6"/>
  <c r="AF796" i="6"/>
  <c r="AD796" i="6"/>
  <c r="AC796" i="6"/>
  <c r="AB796" i="6"/>
  <c r="AA796" i="6"/>
  <c r="Z796" i="6"/>
  <c r="Y796" i="6"/>
  <c r="X796" i="6"/>
  <c r="AM193" i="6"/>
  <c r="AK193" i="6"/>
  <c r="AJ193" i="6"/>
  <c r="AI193" i="6"/>
  <c r="AG193" i="6"/>
  <c r="AF193" i="6"/>
  <c r="AD193" i="6"/>
  <c r="AC193" i="6"/>
  <c r="AB193" i="6"/>
  <c r="AA193" i="6"/>
  <c r="Z193" i="6"/>
  <c r="Y193" i="6"/>
  <c r="X193" i="6"/>
  <c r="AM192" i="6"/>
  <c r="AK192" i="6"/>
  <c r="AJ192" i="6"/>
  <c r="AI192" i="6"/>
  <c r="AG192" i="6"/>
  <c r="AF192" i="6"/>
  <c r="AD192" i="6"/>
  <c r="AB192" i="6"/>
  <c r="AA192" i="6"/>
  <c r="AC192" i="6" s="1"/>
  <c r="Z192" i="6"/>
  <c r="Y192" i="6"/>
  <c r="X192" i="6"/>
  <c r="AK174" i="6"/>
  <c r="AJ174" i="6"/>
  <c r="AI174" i="6"/>
  <c r="AG174" i="6"/>
  <c r="AM174" i="6" s="1"/>
  <c r="AF174" i="6"/>
  <c r="AD174" i="6"/>
  <c r="AB174" i="6"/>
  <c r="AA174" i="6"/>
  <c r="AC174" i="6" s="1"/>
  <c r="Z174" i="6"/>
  <c r="Y174" i="6"/>
  <c r="X174" i="6"/>
  <c r="AM173" i="6"/>
  <c r="AK173" i="6"/>
  <c r="AJ173" i="6"/>
  <c r="AI173" i="6"/>
  <c r="AG173" i="6"/>
  <c r="AF173" i="6"/>
  <c r="AD173" i="6"/>
  <c r="AC173" i="6"/>
  <c r="AB173" i="6"/>
  <c r="AA173" i="6"/>
  <c r="Z173" i="6"/>
  <c r="Y173" i="6"/>
  <c r="X173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67" i="6"/>
  <c r="AJ167" i="6"/>
  <c r="AI167" i="6"/>
  <c r="AG167" i="6"/>
  <c r="AM167" i="6" s="1"/>
  <c r="AF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D166" i="6"/>
  <c r="AB166" i="6"/>
  <c r="AA166" i="6"/>
  <c r="AC166" i="6" s="1"/>
  <c r="Z166" i="6"/>
  <c r="Y166" i="6"/>
  <c r="X166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M162" i="6"/>
  <c r="AK162" i="6"/>
  <c r="AJ162" i="6"/>
  <c r="AI162" i="6"/>
  <c r="AG162" i="6"/>
  <c r="AF162" i="6"/>
  <c r="AD162" i="6"/>
  <c r="AC162" i="6"/>
  <c r="AB162" i="6"/>
  <c r="AA162" i="6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K160" i="6"/>
  <c r="AJ160" i="6"/>
  <c r="AI160" i="6"/>
  <c r="AG160" i="6"/>
  <c r="AM160" i="6" s="1"/>
  <c r="AF160" i="6"/>
  <c r="AD160" i="6"/>
  <c r="AB160" i="6"/>
  <c r="AA160" i="6"/>
  <c r="AC160" i="6" s="1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M158" i="6"/>
  <c r="AK158" i="6"/>
  <c r="AJ158" i="6"/>
  <c r="AI158" i="6"/>
  <c r="AG158" i="6"/>
  <c r="AF158" i="6"/>
  <c r="AD158" i="6"/>
  <c r="AC158" i="6"/>
  <c r="AB158" i="6"/>
  <c r="AA158" i="6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K156" i="6"/>
  <c r="AJ156" i="6"/>
  <c r="AI156" i="6"/>
  <c r="AG156" i="6"/>
  <c r="AM156" i="6" s="1"/>
  <c r="AF156" i="6"/>
  <c r="AD156" i="6"/>
  <c r="AB156" i="6"/>
  <c r="AA156" i="6"/>
  <c r="AC156" i="6" s="1"/>
  <c r="Z156" i="6"/>
  <c r="Y156" i="6"/>
  <c r="X156" i="6"/>
  <c r="AM155" i="6"/>
  <c r="AK155" i="6"/>
  <c r="AJ155" i="6"/>
  <c r="AI155" i="6"/>
  <c r="AG155" i="6"/>
  <c r="AF155" i="6"/>
  <c r="AD155" i="6"/>
  <c r="AC155" i="6"/>
  <c r="AB155" i="6"/>
  <c r="AA155" i="6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K153" i="6"/>
  <c r="AJ153" i="6"/>
  <c r="AI153" i="6"/>
  <c r="AG153" i="6"/>
  <c r="AM153" i="6" s="1"/>
  <c r="AF153" i="6"/>
  <c r="AD153" i="6"/>
  <c r="AB153" i="6"/>
  <c r="AA153" i="6"/>
  <c r="AC153" i="6" s="1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M150" i="6"/>
  <c r="AK150" i="6"/>
  <c r="AJ150" i="6"/>
  <c r="AI150" i="6"/>
  <c r="AG150" i="6"/>
  <c r="AF150" i="6"/>
  <c r="AD150" i="6"/>
  <c r="AC150" i="6"/>
  <c r="AB150" i="6"/>
  <c r="AA150" i="6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K148" i="6"/>
  <c r="AJ148" i="6"/>
  <c r="AI148" i="6"/>
  <c r="AG148" i="6"/>
  <c r="AM148" i="6" s="1"/>
  <c r="AF148" i="6"/>
  <c r="AD148" i="6"/>
  <c r="AB148" i="6"/>
  <c r="AA148" i="6"/>
  <c r="AC148" i="6" s="1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M145" i="6"/>
  <c r="AK145" i="6"/>
  <c r="AJ145" i="6"/>
  <c r="AI145" i="6"/>
  <c r="AG145" i="6"/>
  <c r="AF145" i="6"/>
  <c r="AD145" i="6"/>
  <c r="AC145" i="6"/>
  <c r="AB145" i="6"/>
  <c r="AA145" i="6"/>
  <c r="Z145" i="6"/>
  <c r="Y145" i="6"/>
  <c r="X145" i="6"/>
  <c r="AK144" i="6"/>
  <c r="AJ144" i="6"/>
  <c r="AI144" i="6"/>
  <c r="AG144" i="6"/>
  <c r="AM144" i="6" s="1"/>
  <c r="AF144" i="6"/>
  <c r="AD144" i="6"/>
  <c r="AB144" i="6"/>
  <c r="AA144" i="6"/>
  <c r="AC144" i="6" s="1"/>
  <c r="Z144" i="6"/>
  <c r="Y144" i="6"/>
  <c r="X144" i="6"/>
  <c r="AK143" i="6"/>
  <c r="AJ143" i="6"/>
  <c r="AI143" i="6"/>
  <c r="AG143" i="6"/>
  <c r="AM143" i="6" s="1"/>
  <c r="AF143" i="6"/>
  <c r="AD143" i="6"/>
  <c r="AB143" i="6"/>
  <c r="AA143" i="6"/>
  <c r="AC143" i="6" s="1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3" i="6"/>
  <c r="AJ93" i="6"/>
  <c r="AI93" i="6"/>
  <c r="AG93" i="6"/>
  <c r="AM93" i="6" s="1"/>
  <c r="AF93" i="6"/>
  <c r="AD93" i="6"/>
  <c r="AB93" i="6"/>
  <c r="AA93" i="6"/>
  <c r="AC93" i="6" s="1"/>
  <c r="Z93" i="6"/>
  <c r="Y93" i="6"/>
  <c r="X93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94" i="6"/>
  <c r="AJ94" i="6"/>
  <c r="AI94" i="6"/>
  <c r="AG94" i="6"/>
  <c r="AM94" i="6" s="1"/>
  <c r="AF94" i="6"/>
  <c r="AD94" i="6"/>
  <c r="AB94" i="6"/>
  <c r="AA94" i="6"/>
  <c r="AC94" i="6" s="1"/>
  <c r="Z94" i="6"/>
  <c r="Y94" i="6"/>
  <c r="X94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M74" i="6"/>
  <c r="AK74" i="6"/>
  <c r="AJ74" i="6"/>
  <c r="AI74" i="6"/>
  <c r="AG74" i="6"/>
  <c r="AF74" i="6"/>
  <c r="AD74" i="6"/>
  <c r="AC74" i="6"/>
  <c r="AB74" i="6"/>
  <c r="AA74" i="6"/>
  <c r="Z74" i="6"/>
  <c r="Y74" i="6"/>
  <c r="X74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M71" i="6"/>
  <c r="AK71" i="6"/>
  <c r="AJ71" i="6"/>
  <c r="AI71" i="6"/>
  <c r="AG71" i="6"/>
  <c r="AF71" i="6"/>
  <c r="AD71" i="6"/>
  <c r="AC71" i="6"/>
  <c r="AB71" i="6"/>
  <c r="Z71" i="6"/>
  <c r="Y71" i="6"/>
  <c r="X71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36" i="6"/>
  <c r="AM736" i="6" s="1"/>
  <c r="B604" i="6"/>
  <c r="AG603" i="6"/>
  <c r="AM603" i="6" s="1"/>
  <c r="B571" i="6"/>
  <c r="AG570" i="6"/>
  <c r="AM570" i="6" s="1"/>
  <c r="AG975" i="6"/>
  <c r="AM975" i="6" s="1"/>
  <c r="AG974" i="6"/>
  <c r="AM974" i="6" s="1"/>
  <c r="AG449" i="6"/>
  <c r="AM449" i="6" s="1"/>
  <c r="AG448" i="6"/>
  <c r="AM448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I652" i="6" l="1"/>
  <c r="AG652" i="6" s="1"/>
  <c r="AM652" i="6" s="1"/>
  <c r="B718" i="6"/>
  <c r="AG717" i="6"/>
  <c r="AM717" i="6" s="1"/>
  <c r="B686" i="6"/>
  <c r="AG685" i="6"/>
  <c r="AM685" i="6" s="1"/>
  <c r="B572" i="6"/>
  <c r="I571" i="6"/>
  <c r="AG571" i="6" s="1"/>
  <c r="AM571" i="6" s="1"/>
  <c r="B605" i="6"/>
  <c r="I604" i="6"/>
  <c r="AG604" i="6" s="1"/>
  <c r="AM604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I653" i="6" l="1"/>
  <c r="AG653" i="6" s="1"/>
  <c r="AM653" i="6" s="1"/>
  <c r="B719" i="6"/>
  <c r="AG718" i="6"/>
  <c r="AM718" i="6" s="1"/>
  <c r="B687" i="6"/>
  <c r="AG686" i="6"/>
  <c r="AM686" i="6" s="1"/>
  <c r="B606" i="6"/>
  <c r="I605" i="6"/>
  <c r="AG605" i="6" s="1"/>
  <c r="AM605" i="6" s="1"/>
  <c r="B573" i="6"/>
  <c r="I572" i="6"/>
  <c r="AG572" i="6" s="1"/>
  <c r="AM572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I654" i="6" l="1"/>
  <c r="AG654" i="6" s="1"/>
  <c r="AM654" i="6" s="1"/>
  <c r="B720" i="6"/>
  <c r="AG719" i="6"/>
  <c r="AM719" i="6" s="1"/>
  <c r="B688" i="6"/>
  <c r="AG687" i="6"/>
  <c r="AM687" i="6" s="1"/>
  <c r="B574" i="6"/>
  <c r="I573" i="6"/>
  <c r="AG573" i="6" s="1"/>
  <c r="AM573" i="6" s="1"/>
  <c r="B607" i="6"/>
  <c r="I606" i="6"/>
  <c r="AG606" i="6" s="1"/>
  <c r="AM606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I655" i="6" l="1"/>
  <c r="AG655" i="6" s="1"/>
  <c r="AM655" i="6" s="1"/>
  <c r="B721" i="6"/>
  <c r="AG720" i="6"/>
  <c r="AM720" i="6" s="1"/>
  <c r="B689" i="6"/>
  <c r="AG688" i="6"/>
  <c r="AM688" i="6" s="1"/>
  <c r="B608" i="6"/>
  <c r="I607" i="6"/>
  <c r="AG607" i="6" s="1"/>
  <c r="AM607" i="6" s="1"/>
  <c r="B575" i="6"/>
  <c r="I574" i="6"/>
  <c r="AG574" i="6" s="1"/>
  <c r="AM574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I656" i="6" l="1"/>
  <c r="AG656" i="6" s="1"/>
  <c r="AM656" i="6" s="1"/>
  <c r="B722" i="6"/>
  <c r="AG721" i="6"/>
  <c r="AM721" i="6" s="1"/>
  <c r="B690" i="6"/>
  <c r="AG689" i="6"/>
  <c r="AM689" i="6" s="1"/>
  <c r="B576" i="6"/>
  <c r="I575" i="6"/>
  <c r="AG575" i="6" s="1"/>
  <c r="AM575" i="6" s="1"/>
  <c r="B609" i="6"/>
  <c r="I608" i="6"/>
  <c r="AG608" i="6" s="1"/>
  <c r="AM608" i="6" s="1"/>
  <c r="AJ6" i="6"/>
  <c r="AG6" i="6"/>
  <c r="I657" i="6" l="1"/>
  <c r="AG657" i="6" s="1"/>
  <c r="AM657" i="6" s="1"/>
  <c r="B723" i="6"/>
  <c r="AG722" i="6"/>
  <c r="AM722" i="6" s="1"/>
  <c r="B691" i="6"/>
  <c r="AG690" i="6"/>
  <c r="AM690" i="6" s="1"/>
  <c r="B610" i="6"/>
  <c r="I609" i="6"/>
  <c r="AG609" i="6" s="1"/>
  <c r="AM609" i="6" s="1"/>
  <c r="B577" i="6"/>
  <c r="I576" i="6"/>
  <c r="AG576" i="6" s="1"/>
  <c r="AM576" i="6" s="1"/>
  <c r="C5" i="6"/>
  <c r="I658" i="6" l="1"/>
  <c r="AG658" i="6" s="1"/>
  <c r="AM658" i="6" s="1"/>
  <c r="B724" i="6"/>
  <c r="AG723" i="6"/>
  <c r="AM723" i="6" s="1"/>
  <c r="B692" i="6"/>
  <c r="AG691" i="6"/>
  <c r="AM691" i="6" s="1"/>
  <c r="B578" i="6"/>
  <c r="I577" i="6"/>
  <c r="AG577" i="6" s="1"/>
  <c r="AM577" i="6" s="1"/>
  <c r="B611" i="6"/>
  <c r="I610" i="6"/>
  <c r="AG610" i="6" s="1"/>
  <c r="AM610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I659" i="6" l="1"/>
  <c r="AG659" i="6" s="1"/>
  <c r="AM659" i="6" s="1"/>
  <c r="B725" i="6"/>
  <c r="AG724" i="6"/>
  <c r="AM724" i="6" s="1"/>
  <c r="B693" i="6"/>
  <c r="AG692" i="6"/>
  <c r="AM692" i="6" s="1"/>
  <c r="B612" i="6"/>
  <c r="I611" i="6"/>
  <c r="AG611" i="6" s="1"/>
  <c r="AM611" i="6" s="1"/>
  <c r="B579" i="6"/>
  <c r="I578" i="6"/>
  <c r="AG578" i="6" s="1"/>
  <c r="AM578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I660" i="6" l="1"/>
  <c r="AG660" i="6" s="1"/>
  <c r="AM660" i="6" s="1"/>
  <c r="B726" i="6"/>
  <c r="AG725" i="6"/>
  <c r="AM725" i="6" s="1"/>
  <c r="B694" i="6"/>
  <c r="AG693" i="6"/>
  <c r="AM693" i="6" s="1"/>
  <c r="B580" i="6"/>
  <c r="I579" i="6"/>
  <c r="AG579" i="6" s="1"/>
  <c r="AM579" i="6" s="1"/>
  <c r="B613" i="6"/>
  <c r="I612" i="6"/>
  <c r="AG612" i="6" s="1"/>
  <c r="AM612" i="6" s="1"/>
  <c r="C43" i="1"/>
  <c r="I661" i="6" l="1"/>
  <c r="AG661" i="6" s="1"/>
  <c r="AM661" i="6" s="1"/>
  <c r="B727" i="6"/>
  <c r="AG726" i="6"/>
  <c r="AM726" i="6" s="1"/>
  <c r="B695" i="6"/>
  <c r="AG694" i="6"/>
  <c r="AM694" i="6" s="1"/>
  <c r="B614" i="6"/>
  <c r="I613" i="6"/>
  <c r="AG613" i="6" s="1"/>
  <c r="AM613" i="6" s="1"/>
  <c r="B581" i="6"/>
  <c r="I580" i="6"/>
  <c r="AG580" i="6" s="1"/>
  <c r="AM580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I662" i="6" l="1"/>
  <c r="AG662" i="6" s="1"/>
  <c r="AM662" i="6" s="1"/>
  <c r="B728" i="6"/>
  <c r="AG727" i="6"/>
  <c r="AM727" i="6" s="1"/>
  <c r="B696" i="6"/>
  <c r="AG695" i="6"/>
  <c r="AM695" i="6" s="1"/>
  <c r="B582" i="6"/>
  <c r="I581" i="6"/>
  <c r="AG581" i="6" s="1"/>
  <c r="AM581" i="6" s="1"/>
  <c r="B615" i="6"/>
  <c r="I614" i="6"/>
  <c r="AG614" i="6" s="1"/>
  <c r="AM614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I663" i="6" l="1"/>
  <c r="AG663" i="6" s="1"/>
  <c r="AM663" i="6" s="1"/>
  <c r="B729" i="6"/>
  <c r="AG728" i="6"/>
  <c r="AM728" i="6" s="1"/>
  <c r="B697" i="6"/>
  <c r="AG696" i="6"/>
  <c r="AM696" i="6" s="1"/>
  <c r="B616" i="6"/>
  <c r="I615" i="6"/>
  <c r="AG615" i="6" s="1"/>
  <c r="AM615" i="6" s="1"/>
  <c r="B583" i="6"/>
  <c r="I582" i="6"/>
  <c r="AG582" i="6" s="1"/>
  <c r="AM582" i="6" s="1"/>
  <c r="D51" i="1"/>
  <c r="D47" i="1"/>
  <c r="D50" i="1"/>
  <c r="D49" i="1"/>
  <c r="D44" i="1"/>
  <c r="D53" i="1"/>
  <c r="D46" i="1"/>
  <c r="D48" i="1"/>
  <c r="D43" i="1"/>
  <c r="D45" i="1"/>
  <c r="D52" i="1"/>
  <c r="I664" i="6" l="1"/>
  <c r="AG664" i="6" s="1"/>
  <c r="AM664" i="6" s="1"/>
  <c r="B730" i="6"/>
  <c r="AG729" i="6"/>
  <c r="AM729" i="6" s="1"/>
  <c r="B698" i="6"/>
  <c r="AG697" i="6"/>
  <c r="AM697" i="6" s="1"/>
  <c r="B584" i="6"/>
  <c r="I583" i="6"/>
  <c r="AG583" i="6" s="1"/>
  <c r="AM583" i="6" s="1"/>
  <c r="B617" i="6"/>
  <c r="I616" i="6"/>
  <c r="AG616" i="6" s="1"/>
  <c r="AM616" i="6" s="1"/>
  <c r="E48" i="1"/>
  <c r="E51" i="1"/>
  <c r="E43" i="1"/>
  <c r="E50" i="1"/>
  <c r="E45" i="1"/>
  <c r="E47" i="1"/>
  <c r="E49" i="1"/>
  <c r="E44" i="1"/>
  <c r="E52" i="1"/>
  <c r="E53" i="1"/>
  <c r="E46" i="1"/>
  <c r="I665" i="6" l="1"/>
  <c r="AG665" i="6" s="1"/>
  <c r="AM665" i="6" s="1"/>
  <c r="B731" i="6"/>
  <c r="AG730" i="6"/>
  <c r="AM730" i="6" s="1"/>
  <c r="B699" i="6"/>
  <c r="AG698" i="6"/>
  <c r="AM698" i="6" s="1"/>
  <c r="B618" i="6"/>
  <c r="I617" i="6"/>
  <c r="AG617" i="6" s="1"/>
  <c r="AM617" i="6" s="1"/>
  <c r="B585" i="6"/>
  <c r="I584" i="6"/>
  <c r="AG584" i="6" s="1"/>
  <c r="AM584" i="6" s="1"/>
  <c r="F47" i="1"/>
  <c r="F51" i="1"/>
  <c r="F46" i="1"/>
  <c r="F48" i="1"/>
  <c r="F50" i="1"/>
  <c r="F45" i="1"/>
  <c r="F44" i="1"/>
  <c r="F43" i="1"/>
  <c r="F53" i="1"/>
  <c r="F49" i="1"/>
  <c r="F52" i="1"/>
  <c r="I667" i="6" l="1"/>
  <c r="AG667" i="6" s="1"/>
  <c r="AM667" i="6" s="1"/>
  <c r="I666" i="6"/>
  <c r="AG666" i="6" s="1"/>
  <c r="AM666" i="6" s="1"/>
  <c r="B732" i="6"/>
  <c r="AG731" i="6"/>
  <c r="AM731" i="6" s="1"/>
  <c r="B700" i="6"/>
  <c r="AG699" i="6"/>
  <c r="AM699" i="6" s="1"/>
  <c r="B586" i="6"/>
  <c r="I585" i="6"/>
  <c r="AG585" i="6" s="1"/>
  <c r="AM585" i="6" s="1"/>
  <c r="B619" i="6"/>
  <c r="I618" i="6"/>
  <c r="AG618" i="6" s="1"/>
  <c r="AM618" i="6" s="1"/>
  <c r="J48" i="1"/>
  <c r="L47" i="1"/>
  <c r="J43" i="1"/>
  <c r="J50" i="1"/>
  <c r="J52" i="1"/>
  <c r="J45" i="1"/>
  <c r="B733" i="6" l="1"/>
  <c r="AG732" i="6"/>
  <c r="AM732" i="6" s="1"/>
  <c r="B701" i="6"/>
  <c r="AG701" i="6" s="1"/>
  <c r="AM701" i="6" s="1"/>
  <c r="AG700" i="6"/>
  <c r="AM700" i="6" s="1"/>
  <c r="B620" i="6"/>
  <c r="I619" i="6"/>
  <c r="AG619" i="6" s="1"/>
  <c r="AM619" i="6" s="1"/>
  <c r="B587" i="6"/>
  <c r="I586" i="6"/>
  <c r="AG586" i="6" s="1"/>
  <c r="AM586" i="6" s="1"/>
  <c r="I49" i="1"/>
  <c r="I44" i="1"/>
  <c r="I53" i="1"/>
  <c r="B734" i="6" l="1"/>
  <c r="AG734" i="6" s="1"/>
  <c r="AM734" i="6" s="1"/>
  <c r="AG733" i="6"/>
  <c r="AM733" i="6" s="1"/>
  <c r="B588" i="6"/>
  <c r="I587" i="6"/>
  <c r="AG587" i="6" s="1"/>
  <c r="AM587" i="6" s="1"/>
  <c r="B621" i="6"/>
  <c r="I620" i="6"/>
  <c r="AG620" i="6" s="1"/>
  <c r="AM620" i="6" s="1"/>
  <c r="J49" i="1"/>
  <c r="J53" i="1"/>
  <c r="J44" i="1"/>
  <c r="B622" i="6" l="1"/>
  <c r="I621" i="6"/>
  <c r="AG621" i="6" s="1"/>
  <c r="AM621" i="6" s="1"/>
  <c r="B589" i="6"/>
  <c r="I588" i="6"/>
  <c r="AG588" i="6" s="1"/>
  <c r="AM588" i="6" s="1"/>
  <c r="I47" i="1"/>
  <c r="B590" i="6" l="1"/>
  <c r="I589" i="6"/>
  <c r="AG589" i="6" s="1"/>
  <c r="AM589" i="6" s="1"/>
  <c r="B623" i="6"/>
  <c r="I622" i="6"/>
  <c r="AG622" i="6" s="1"/>
  <c r="AM622" i="6" s="1"/>
  <c r="J47" i="1"/>
  <c r="B624" i="6" l="1"/>
  <c r="I623" i="6"/>
  <c r="AG623" i="6" s="1"/>
  <c r="AM623" i="6" s="1"/>
  <c r="B591" i="6"/>
  <c r="I590" i="6"/>
  <c r="AG590" i="6" s="1"/>
  <c r="AM590" i="6" s="1"/>
  <c r="L44" i="1"/>
  <c r="B592" i="6" l="1"/>
  <c r="I591" i="6"/>
  <c r="AG591" i="6" s="1"/>
  <c r="AM591" i="6" s="1"/>
  <c r="B625" i="6"/>
  <c r="I624" i="6"/>
  <c r="AG624" i="6" s="1"/>
  <c r="AM624" i="6" s="1"/>
  <c r="M44" i="1"/>
  <c r="B626" i="6" l="1"/>
  <c r="I625" i="6"/>
  <c r="AG625" i="6" s="1"/>
  <c r="AM625" i="6" s="1"/>
  <c r="B593" i="6"/>
  <c r="I592" i="6"/>
  <c r="AG592" i="6" s="1"/>
  <c r="AM592" i="6" s="1"/>
  <c r="F3" i="1"/>
  <c r="B594" i="6" l="1"/>
  <c r="I593" i="6"/>
  <c r="AG593" i="6" s="1"/>
  <c r="AM593" i="6" s="1"/>
  <c r="B627" i="6"/>
  <c r="I626" i="6"/>
  <c r="AG626" i="6" s="1"/>
  <c r="AM626" i="6" s="1"/>
  <c r="H3" i="1"/>
  <c r="B628" i="6" l="1"/>
  <c r="I627" i="6"/>
  <c r="AG627" i="6" s="1"/>
  <c r="AM627" i="6" s="1"/>
  <c r="B595" i="6"/>
  <c r="I594" i="6"/>
  <c r="AG594" i="6" s="1"/>
  <c r="AM594" i="6" s="1"/>
  <c r="I3" i="1"/>
  <c r="B596" i="6" l="1"/>
  <c r="I595" i="6"/>
  <c r="AG595" i="6" s="1"/>
  <c r="AM595" i="6" s="1"/>
  <c r="B629" i="6"/>
  <c r="I628" i="6"/>
  <c r="AG628" i="6" s="1"/>
  <c r="AM628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30" i="6" l="1"/>
  <c r="I629" i="6"/>
  <c r="AG629" i="6" s="1"/>
  <c r="AM629" i="6" s="1"/>
  <c r="B597" i="6"/>
  <c r="I596" i="6"/>
  <c r="AG596" i="6" s="1"/>
  <c r="AM596" i="6" s="1"/>
  <c r="B598" i="6" l="1"/>
  <c r="I597" i="6"/>
  <c r="AG597" i="6" s="1"/>
  <c r="AM597" i="6" s="1"/>
  <c r="B631" i="6"/>
  <c r="I630" i="6"/>
  <c r="AG630" i="6" s="1"/>
  <c r="AM630" i="6" s="1"/>
  <c r="B632" i="6" l="1"/>
  <c r="I631" i="6"/>
  <c r="AG631" i="6" s="1"/>
  <c r="AM631" i="6" s="1"/>
  <c r="B599" i="6"/>
  <c r="I598" i="6"/>
  <c r="AG598" i="6" s="1"/>
  <c r="AM598" i="6" s="1"/>
  <c r="B600" i="6" l="1"/>
  <c r="I599" i="6"/>
  <c r="AG599" i="6" s="1"/>
  <c r="AM599" i="6" s="1"/>
  <c r="B633" i="6"/>
  <c r="I632" i="6"/>
  <c r="AG632" i="6" s="1"/>
  <c r="AM632" i="6" s="1"/>
  <c r="B634" i="6" l="1"/>
  <c r="I634" i="6" s="1"/>
  <c r="AG634" i="6" s="1"/>
  <c r="AM634" i="6" s="1"/>
  <c r="I633" i="6"/>
  <c r="AG633" i="6" s="1"/>
  <c r="AM633" i="6" s="1"/>
  <c r="B601" i="6"/>
  <c r="I601" i="6" s="1"/>
  <c r="AG601" i="6" s="1"/>
  <c r="AM601" i="6" s="1"/>
  <c r="I600" i="6"/>
  <c r="AG600" i="6" s="1"/>
  <c r="AM600" i="6" s="1"/>
</calcChain>
</file>

<file path=xl/sharedStrings.xml><?xml version="1.0" encoding="utf-8"?>
<sst xmlns="http://schemas.openxmlformats.org/spreadsheetml/2006/main" count="10214" uniqueCount="898">
  <si>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</si>
  <si>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</si>
  <si>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</si>
  <si>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</si>
  <si>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</si>
  <si>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</si>
  <si>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</si>
  <si>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</si>
  <si>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</si>
  <si>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</si>
  <si>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</si>
  <si>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</si>
  <si>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</si>
  <si>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</si>
  <si>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</si>
  <si>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</si>
  <si>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</si>
  <si>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</si>
  <si>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</si>
  <si>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</si>
  <si>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</si>
  <si>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</si>
  <si>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</si>
  <si>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</si>
  <si>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</si>
  <si>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</si>
  <si>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</si>
  <si>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</si>
  <si>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</si>
  <si>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</si>
  <si>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</si>
  <si>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</si>
  <si>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</si>
  <si>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</si>
  <si>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</si>
  <si>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</si>
  <si>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</si>
  <si>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</si>
  <si>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</si>
  <si>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</si>
  <si>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</si>
  <si>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</si>
  <si>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</si>
  <si>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</si>
  <si>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</si>
  <si>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</si>
  <si>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</si>
  <si>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</si>
  <si>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</si>
  <si>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</si>
  <si>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</si>
  <si>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</si>
  <si>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</si>
  <si>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</si>
  <si>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</si>
  <si>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</si>
  <si>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</si>
  <si>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</si>
  <si>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</si>
  <si>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</si>
  <si>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</si>
  <si>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</si>
  <si>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</si>
  <si>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</si>
  <si>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</si>
  <si>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</si>
  <si>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</si>
  <si>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</si>
  <si>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</si>
  <si>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</si>
  <si>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</si>
  <si>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</si>
  <si>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</si>
  <si>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</si>
  <si>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</si>
  <si>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</si>
  <si>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</si>
  <si>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</si>
  <si>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</si>
  <si>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</si>
  <si>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</si>
  <si>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</si>
  <si>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</si>
  <si>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</si>
  <si>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</si>
  <si>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</si>
  <si>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</si>
  <si>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</si>
  <si>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</si>
  <si>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</si>
  <si>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</si>
  <si>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</si>
  <si>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</si>
  <si>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</si>
  <si>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</si>
  <si>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</si>
  <si>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</si>
  <si>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</si>
  <si>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</si>
  <si>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</si>
  <si>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</si>
  <si>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</si>
  <si>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</si>
  <si>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</si>
  <si>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</si>
  <si>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</si>
  <si>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</si>
  <si>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</si>
  <si>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</si>
  <si>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</si>
  <si>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</si>
  <si>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</si>
  <si>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</si>
  <si>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</si>
  <si>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</si>
  <si>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</si>
  <si>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</si>
  <si>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</si>
  <si>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</si>
  <si>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</si>
  <si>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</si>
  <si>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</si>
  <si>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</si>
  <si>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</si>
  <si>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</si>
  <si>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</si>
  <si>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</si>
  <si>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</si>
  <si>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</si>
  <si>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</si>
  <si>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</si>
  <si>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</si>
  <si>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</si>
  <si>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</si>
  <si>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</si>
  <si>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</si>
  <si>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</si>
  <si>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</si>
  <si>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</si>
  <si>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</si>
  <si>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</si>
  <si>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</si>
  <si>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</si>
  <si>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</si>
  <si>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</si>
  <si>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</si>
  <si>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</si>
  <si>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</si>
  <si>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</si>
  <si>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</si>
  <si>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</si>
  <si>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</si>
  <si>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</si>
  <si>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</si>
  <si>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</si>
  <si>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</si>
  <si>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</si>
  <si>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</si>
  <si>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</si>
  <si>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</si>
  <si>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</si>
  <si>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</si>
  <si>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</si>
  <si>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</si>
  <si>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</si>
  <si>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</si>
  <si>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</si>
  <si>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</si>
  <si>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</si>
  <si>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</si>
  <si>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</si>
  <si>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</si>
  <si>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</si>
  <si>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</si>
  <si>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</si>
  <si>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</si>
  <si>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</si>
  <si>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</si>
  <si>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</si>
  <si>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</si>
  <si>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</si>
  <si>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</si>
  <si>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</si>
  <si>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</si>
  <si>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</si>
  <si>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</si>
  <si>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</si>
  <si>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</si>
  <si>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</si>
  <si>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</si>
  <si>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</si>
  <si>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</si>
  <si>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</si>
  <si>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</si>
  <si>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</si>
  <si>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</si>
  <si>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</si>
  <si>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</si>
  <si>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</si>
  <si>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</si>
  <si>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</si>
  <si>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</si>
  <si>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</si>
  <si>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</si>
  <si>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</si>
  <si>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</si>
  <si>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</si>
  <si>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</si>
  <si>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</si>
  <si>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</si>
  <si>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</si>
  <si>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</si>
  <si>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</si>
  <si>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</si>
  <si>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</si>
  <si>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</si>
  <si>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</si>
  <si>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</si>
  <si>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</si>
  <si>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</si>
  <si>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</si>
  <si>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</si>
  <si>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</si>
  <si>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</si>
  <si>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</si>
  <si>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</si>
  <si>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</si>
  <si>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</si>
  <si>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</si>
  <si>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</si>
  <si>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</si>
  <si>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</si>
  <si>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</si>
  <si>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</si>
  <si>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</si>
  <si>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</si>
  <si>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</si>
  <si>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</si>
  <si>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</si>
  <si>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</si>
  <si>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</si>
  <si>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</si>
  <si>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</si>
  <si>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</si>
  <si>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</si>
  <si>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</si>
  <si>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</si>
  <si>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</si>
  <si>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</si>
  <si>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</si>
  <si>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</si>
  <si>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</si>
  <si>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</si>
  <si>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</si>
  <si>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</si>
  <si>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</si>
  <si>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</si>
  <si>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</si>
  <si>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</si>
  <si>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</si>
  <si>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</si>
  <si>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</si>
  <si>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</si>
  <si>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</si>
  <si>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</si>
  <si>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</si>
  <si>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</si>
  <si>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</si>
  <si>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</si>
  <si>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</si>
  <si>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</si>
  <si>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</si>
  <si>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</si>
  <si>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</si>
  <si>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</si>
  <si>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</si>
  <si>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</si>
  <si>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</si>
  <si>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</si>
  <si>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</si>
  <si>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</si>
  <si>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</si>
  <si>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</si>
  <si>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</si>
  <si>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</si>
  <si>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</si>
  <si>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</si>
  <si>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</si>
  <si>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</si>
  <si>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</si>
  <si>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</si>
  <si>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</si>
  <si>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</si>
  <si>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</si>
  <si>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</si>
  <si>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</si>
  <si>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</si>
  <si>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</si>
  <si>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</si>
  <si>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</si>
  <si>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</si>
  <si>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</si>
  <si>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</si>
  <si>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</si>
  <si>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</si>
  <si>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</si>
  <si>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</si>
  <si>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</si>
  <si>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</si>
  <si>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</si>
  <si>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</si>
  <si>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</si>
  <si>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</si>
  <si>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</si>
  <si>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</si>
  <si>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</si>
  <si>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</si>
  <si>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</si>
  <si>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</si>
  <si>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</si>
  <si>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</si>
  <si>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</si>
  <si>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</si>
  <si>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</si>
  <si>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</si>
  <si>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</si>
  <si>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</si>
  <si>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</si>
  <si>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</si>
  <si>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</si>
  <si>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</si>
  <si>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</si>
  <si>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</si>
  <si>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</si>
  <si>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</si>
  <si>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</si>
  <si>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</si>
  <si>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</si>
  <si>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</si>
  <si>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</si>
  <si>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</si>
  <si>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</si>
  <si>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</si>
  <si>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</si>
  <si>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</si>
  <si>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</si>
  <si>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</si>
  <si>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</si>
  <si>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</si>
  <si>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</si>
  <si>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</si>
  <si>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</si>
  <si>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</si>
  <si>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</si>
  <si>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</si>
  <si>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</si>
  <si>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</si>
  <si>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</si>
  <si>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</si>
  <si>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</si>
  <si>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</si>
  <si>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</si>
  <si>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</si>
  <si>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</si>
  <si>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</si>
  <si>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</si>
  <si>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</si>
  <si>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</si>
  <si>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</si>
  <si>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</si>
  <si>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</si>
  <si>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</si>
  <si>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</si>
  <si>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</si>
  <si>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</si>
  <si>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</si>
  <si>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</si>
  <si>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</si>
  <si>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</si>
  <si>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</si>
  <si>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</si>
  <si>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</si>
  <si>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</si>
  <si>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</si>
  <si>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</si>
  <si>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</si>
  <si>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</si>
  <si>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</si>
  <si>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</si>
  <si>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</si>
  <si>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</si>
  <si>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</si>
  <si>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</si>
  <si>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</si>
  <si>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</si>
  <si>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</si>
  <si>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</si>
  <si>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</si>
  <si>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</si>
  <si>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</si>
  <si>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</si>
  <si>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</si>
  <si>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</si>
  <si>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</si>
  <si>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</si>
  <si>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</si>
  <si>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</si>
  <si>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</si>
  <si>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</si>
  <si>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</si>
  <si>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</si>
  <si>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</si>
  <si>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</si>
  <si>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</si>
  <si>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</si>
  <si>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</si>
  <si>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</si>
  <si>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</si>
  <si>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</si>
  <si>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</si>
  <si>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</si>
  <si>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</si>
  <si>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</si>
  <si>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</si>
  <si>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</si>
  <si>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</si>
  <si>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</si>
  <si>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</si>
  <si>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</si>
  <si>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</si>
  <si>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</si>
  <si>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</si>
  <si>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</si>
  <si>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</si>
  <si>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</si>
  <si>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</si>
  <si>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</si>
  <si>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</si>
  <si>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</si>
  <si>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</si>
  <si>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</si>
  <si>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</si>
  <si>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</si>
  <si>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</si>
  <si>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</si>
  <si>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</si>
  <si>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</si>
  <si>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</si>
  <si>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</si>
  <si>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</si>
  <si>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</si>
  <si>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</si>
  <si>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</si>
  <si>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</si>
  <si>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</si>
  <si>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</si>
  <si>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</si>
  <si>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</si>
  <si>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</si>
  <si>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</si>
  <si>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</si>
  <si>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</si>
  <si>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</si>
  <si>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</si>
  <si>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</si>
  <si>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</si>
  <si>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</si>
  <si>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</si>
  <si>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</si>
  <si>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</si>
  <si>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</si>
  <si>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</si>
  <si>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</si>
  <si>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</si>
  <si>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</si>
  <si>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</si>
  <si>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</si>
  <si>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</si>
  <si>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</si>
  <si>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</si>
  <si>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</si>
  <si>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</si>
  <si>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</si>
  <si>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</si>
  <si>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</si>
  <si>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</si>
  <si>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</si>
  <si>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</si>
  <si>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</si>
  <si>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</si>
  <si>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</si>
  <si>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</si>
  <si>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</si>
  <si>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</si>
  <si>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</si>
  <si>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</si>
  <si>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</si>
  <si>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</si>
  <si>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</si>
  <si>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</si>
  <si>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</si>
  <si>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</si>
  <si>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</si>
  <si>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</si>
  <si>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</si>
  <si>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</si>
  <si>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</si>
  <si>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</si>
  <si>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</si>
  <si>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</si>
  <si>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</si>
  <si>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</si>
  <si>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</si>
  <si>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</si>
  <si>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</si>
  <si>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</si>
  <si>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</si>
  <si>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</si>
  <si>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</si>
  <si>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</si>
  <si>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</si>
  <si>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</si>
  <si>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</si>
  <si>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</si>
  <si>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</si>
  <si>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</si>
  <si>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</si>
  <si>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</si>
  <si>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</si>
  <si>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</si>
  <si>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</si>
  <si>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</si>
  <si>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</si>
  <si>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</si>
  <si>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</si>
  <si>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</si>
  <si>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</si>
  <si>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</si>
  <si>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</si>
  <si>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</si>
  <si>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</si>
  <si>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</si>
  <si>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</si>
  <si>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</si>
  <si>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</si>
  <si>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</si>
  <si>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</si>
  <si>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</si>
  <si>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</si>
  <si>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</si>
  <si>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</si>
  <si>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</si>
  <si>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</si>
  <si>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</si>
  <si>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</si>
  <si>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</si>
  <si>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</si>
  <si>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</si>
  <si>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</si>
  <si>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</si>
  <si>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</si>
  <si>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</si>
  <si>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</si>
  <si>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</si>
  <si>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</si>
  <si>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</si>
  <si>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</si>
  <si>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</si>
  <si>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</si>
  <si>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</si>
  <si>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</si>
  <si>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</si>
  <si>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</si>
  <si>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</si>
  <si>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</si>
  <si>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</si>
  <si>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</si>
  <si>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</si>
  <si>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</si>
  <si>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</si>
  <si>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</si>
  <si>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</si>
  <si>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</si>
  <si>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</si>
  <si>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</si>
  <si>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</si>
  <si>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</si>
  <si>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</si>
  <si>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</si>
  <si>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</si>
  <si>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</si>
  <si>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</si>
  <si>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</si>
  <si>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</si>
  <si>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</si>
  <si>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</si>
  <si>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</si>
  <si>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</si>
  <si>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</si>
  <si>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</si>
  <si>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</si>
  <si>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</si>
  <si>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</si>
  <si>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</si>
  <si>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</si>
  <si>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</si>
  <si>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</si>
  <si>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</si>
  <si>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</si>
  <si>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</si>
  <si>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</si>
  <si>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</si>
  <si>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</si>
  <si>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</si>
  <si>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</si>
  <si>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</si>
  <si>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</si>
  <si>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</si>
  <si>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</si>
  <si>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</si>
  <si>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</si>
  <si>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</si>
  <si>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</si>
  <si>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</si>
  <si>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</si>
  <si>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</si>
  <si>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</si>
  <si>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</si>
  <si>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</si>
  <si>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</si>
  <si>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</si>
  <si>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</si>
  <si>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</si>
  <si>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</si>
  <si>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</si>
  <si>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</si>
  <si>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</si>
  <si>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</si>
  <si>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</si>
  <si>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</si>
  <si>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</si>
  <si>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</si>
  <si>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</si>
  <si>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</si>
  <si>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</si>
  <si>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</si>
  <si>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</si>
  <si>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</si>
  <si>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</si>
  <si>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</si>
  <si>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</si>
  <si>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</si>
  <si>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</si>
  <si>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</si>
  <si>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</si>
  <si>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</si>
  <si>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</si>
  <si>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</si>
  <si>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</si>
  <si>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</si>
  <si>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</si>
  <si>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</si>
  <si>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</si>
  <si>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</si>
  <si>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</si>
  <si>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</si>
  <si>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</si>
  <si>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</si>
  <si>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</si>
  <si>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</si>
  <si>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</si>
  <si>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</si>
  <si>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</si>
  <si>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</si>
  <si>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</si>
  <si>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</si>
  <si>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</si>
  <si>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</si>
  <si>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</si>
  <si>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</si>
  <si>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</si>
  <si>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</si>
  <si>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</si>
  <si>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</si>
  <si>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</si>
  <si>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</si>
  <si>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</si>
  <si>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</si>
  <si>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</si>
  <si>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</si>
  <si>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</si>
  <si>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</si>
  <si>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</si>
  <si>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</si>
  <si>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</si>
  <si>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</si>
  <si>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</si>
  <si>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</si>
  <si>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</si>
  <si>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</si>
  <si>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</si>
  <si>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</si>
  <si>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</si>
  <si>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</si>
  <si>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</si>
  <si>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</si>
  <si>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</si>
  <si>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</si>
  <si>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</si>
  <si>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</si>
  <si>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</si>
  <si>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</si>
  <si>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</si>
  <si>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</si>
  <si>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</si>
  <si>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</si>
  <si>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</si>
  <si>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</si>
  <si>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</si>
  <si>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</si>
  <si>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</si>
  <si>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</si>
  <si>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</si>
  <si>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</si>
  <si>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</si>
  <si>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</si>
  <si>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</si>
  <si>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</si>
  <si>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</si>
  <si>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</si>
  <si>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</si>
  <si>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</si>
  <si>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</si>
  <si>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</si>
  <si>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</si>
  <si>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</si>
  <si>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</si>
  <si>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</si>
  <si>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</si>
  <si>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</si>
  <si>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</si>
  <si>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</si>
  <si>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</si>
  <si>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</si>
  <si>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</si>
  <si>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</si>
  <si>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</si>
  <si>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</si>
  <si>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</si>
  <si>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</si>
  <si>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</si>
  <si>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</si>
  <si>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</si>
  <si>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</si>
  <si>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</si>
  <si>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</si>
  <si>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</si>
  <si>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</si>
  <si>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</si>
  <si>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</si>
  <si>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</si>
  <si>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</si>
  <si>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</si>
  <si>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</si>
  <si>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</si>
  <si>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</si>
  <si>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</si>
  <si>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</si>
  <si>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</si>
  <si>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</si>
  <si>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</si>
  <si>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</si>
  <si>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</si>
  <si>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</si>
  <si>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</si>
  <si>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</si>
  <si>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</si>
  <si>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</si>
  <si>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</si>
  <si>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</si>
  <si>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</si>
  <si>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</si>
  <si>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</si>
  <si>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</si>
  <si>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</si>
  <si>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</si>
  <si>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</si>
  <si>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</si>
  <si>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</si>
  <si>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</si>
  <si>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</si>
  <si>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</si>
  <si>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</si>
  <si>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</si>
  <si>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</si>
  <si>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</si>
  <si>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</si>
  <si>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</si>
  <si>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</si>
  <si>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</si>
  <si>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</si>
  <si>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</si>
  <si>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</si>
  <si>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</si>
  <si>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</si>
  <si>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</si>
  <si>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</si>
  <si>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</si>
  <si>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</si>
  <si>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</si>
  <si>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</si>
  <si>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</si>
  <si>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</si>
  <si>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</si>
  <si>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</si>
  <si>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</si>
  <si>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</si>
  <si>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</si>
  <si>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</si>
  <si>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</si>
  <si>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</si>
  <si>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</si>
  <si>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</si>
  <si>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</si>
  <si>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</si>
  <si>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</si>
  <si>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</si>
  <si>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</si>
  <si>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</si>
  <si>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</si>
  <si>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</si>
  <si>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</si>
  <si>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</si>
  <si>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</si>
  <si>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</si>
  <si>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</si>
  <si>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</si>
  <si>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</si>
  <si>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</si>
  <si>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</si>
  <si>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</si>
  <si>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</si>
  <si>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</si>
  <si>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</si>
  <si>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</si>
  <si>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</si>
  <si>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</si>
  <si>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</si>
  <si>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</si>
  <si>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</si>
  <si>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</si>
  <si>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</si>
  <si>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</si>
  <si>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</si>
  <si>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</si>
  <si>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</si>
  <si>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</si>
  <si>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</si>
  <si>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</si>
  <si>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</si>
  <si>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</si>
  <si>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</si>
  <si>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</si>
  <si>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</si>
  <si>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</si>
  <si>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</si>
  <si>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</si>
  <si>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</si>
  <si>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</si>
  <si>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</si>
  <si>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</si>
  <si>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</si>
  <si>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</si>
  <si>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</si>
  <si>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</si>
  <si>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</si>
  <si>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</si>
  <si>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</si>
  <si>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</si>
  <si>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</si>
  <si>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</si>
  <si>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</si>
  <si>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</si>
  <si>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</si>
  <si>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</si>
  <si>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</si>
  <si>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</si>
  <si>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</si>
  <si>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</si>
  <si>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</si>
  <si>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</si>
  <si>
    <t>PortFreq</t>
  </si>
  <si>
    <t>PortFreq</t>
    <phoneticPr fontId="1" type="noConversion"/>
  </si>
  <si>
    <t>pvValSaveCmd</t>
  </si>
  <si>
    <t>pvValSaveCmd</t>
    <phoneticPr fontId="1" type="noConversion"/>
  </si>
  <si>
    <t>save_cfg</t>
    <phoneticPr fontId="1" type="noConversion"/>
  </si>
  <si>
    <t>portfreq</t>
    <phoneticPr fontId="1" type="noConversion"/>
  </si>
  <si>
    <t>set_port_freq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</si>
</sst>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표준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0000000}" name="Table2915" displayName="Table2915" ref="B90:F113" totalsRowShown="0" headerRowDxfId="167" dataDxfId="166">
  <autoFilter ref="B90:F11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alue type" dataDxfId="165"/>
    <tableColumn id="2" xr3:uid="{00000000-0010-0000-0000-000002000000}" name="template" dataDxfId="164"/>
    <tableColumn id="3" xr3:uid="{00000000-0010-0000-0000-000003000000}" name="Param Type" dataDxfId="163"/>
    <tableColumn id="4" xr3:uid="{00000000-0010-0000-0000-000004000000}" name="DTYP" dataDxfId="162"/>
    <tableColumn id="6" xr3:uid="{00000000-0010-0000-0000-000006000000}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1000000}" name="Table51117" displayName="Table51117" ref="B72:C88" totalsRowShown="0" headerRowDxfId="160" dataDxfId="159">
  <autoFilter ref="B72:C88" xr:uid="{00000000-0009-0000-0100-000010000000}">
    <filterColumn colId="0" hiddenButton="1"/>
    <filterColumn colId="1" hiddenButton="1"/>
  </autoFilter>
  <tableColumns count="2">
    <tableColumn id="1" xr3:uid="{00000000-0010-0000-0100-000001000000}" name="IP_NAME" dataDxfId="158"/>
    <tableColumn id="2" xr3:uid="{00000000-0010-0000-0100-000002000000}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351218" displayName="Table351218" ref="B125:D141" totalsRowShown="0" headerRowDxfId="156" dataDxfId="155">
  <autoFilter ref="B125:D141" xr:uid="{00000000-0009-0000-0100-000011000000}">
    <filterColumn colId="0" hiddenButton="1"/>
    <filterColumn colId="1" hiddenButton="1"/>
    <filterColumn colId="2" hiddenButton="1"/>
  </autoFilter>
  <tableColumns count="3">
    <tableColumn id="2" xr3:uid="{00000000-0010-0000-0200-000002000000}" name="DataType" dataDxfId="154"/>
    <tableColumn id="1" xr3:uid="{00000000-0010-0000-0200-000001000000}" name="D-Index" dataDxfId="153"/>
    <tableColumn id="3" xr3:uid="{00000000-0010-0000-0200-000003000000}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8" displayName="Table8" ref="B10:AY38" totalsRowShown="0" headerRowDxfId="151" dataDxfId="150">
  <autoFilter ref="B10:AY38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300-000001000000}" name="2" dataDxfId="149"/>
    <tableColumn id="49" xr3:uid="{00000000-0010-0000-0300-000031000000}" name="3" dataDxfId="148"/>
    <tableColumn id="50" xr3:uid="{00000000-0010-0000-0300-000032000000}" name="4" dataDxfId="147"/>
    <tableColumn id="2" xr3:uid="{00000000-0010-0000-0300-000002000000}" name="5" dataDxfId="146"/>
    <tableColumn id="3" xr3:uid="{00000000-0010-0000-0300-000003000000}" name="6" dataDxfId="145"/>
    <tableColumn id="4" xr3:uid="{00000000-0010-0000-0300-000004000000}" name="7" dataDxfId="144"/>
    <tableColumn id="5" xr3:uid="{00000000-0010-0000-0300-000005000000}" name="8" dataDxfId="143"/>
    <tableColumn id="6" xr3:uid="{00000000-0010-0000-0300-000006000000}" name="9" dataDxfId="142"/>
    <tableColumn id="7" xr3:uid="{00000000-0010-0000-0300-000007000000}" name="10" dataDxfId="141"/>
    <tableColumn id="8" xr3:uid="{00000000-0010-0000-0300-000008000000}" name="11" dataDxfId="140"/>
    <tableColumn id="9" xr3:uid="{00000000-0010-0000-0300-000009000000}" name="12" dataDxfId="139"/>
    <tableColumn id="10" xr3:uid="{00000000-0010-0000-0300-00000A000000}" name="13" dataDxfId="138"/>
    <tableColumn id="11" xr3:uid="{00000000-0010-0000-0300-00000B000000}" name="14" dataDxfId="137"/>
    <tableColumn id="12" xr3:uid="{00000000-0010-0000-0300-00000C000000}" name="15" dataDxfId="136"/>
    <tableColumn id="13" xr3:uid="{00000000-0010-0000-0300-00000D000000}" name="16" dataDxfId="135"/>
    <tableColumn id="14" xr3:uid="{00000000-0010-0000-0300-00000E000000}" name="17" dataDxfId="134"/>
    <tableColumn id="15" xr3:uid="{00000000-0010-0000-0300-00000F000000}" name="18" dataDxfId="133"/>
    <tableColumn id="16" xr3:uid="{00000000-0010-0000-0300-000010000000}" name="19" dataDxfId="132"/>
    <tableColumn id="17" xr3:uid="{00000000-0010-0000-0300-000011000000}" name="20" dataDxfId="131"/>
    <tableColumn id="18" xr3:uid="{00000000-0010-0000-0300-000012000000}" name="21" dataDxfId="130"/>
    <tableColumn id="19" xr3:uid="{00000000-0010-0000-0300-000013000000}" name="22" dataDxfId="129"/>
    <tableColumn id="20" xr3:uid="{00000000-0010-0000-0300-000014000000}" name="23" dataDxfId="128"/>
    <tableColumn id="21" xr3:uid="{00000000-0010-0000-0300-000015000000}" name="24" dataDxfId="127"/>
    <tableColumn id="22" xr3:uid="{00000000-0010-0000-0300-000016000000}" name="25" dataDxfId="126"/>
    <tableColumn id="23" xr3:uid="{00000000-0010-0000-0300-000017000000}" name="26" dataDxfId="125"/>
    <tableColumn id="24" xr3:uid="{00000000-0010-0000-0300-000018000000}" name="27" dataDxfId="124"/>
    <tableColumn id="25" xr3:uid="{00000000-0010-0000-0300-000019000000}" name="28" dataDxfId="123"/>
    <tableColumn id="26" xr3:uid="{00000000-0010-0000-0300-00001A000000}" name="29" dataDxfId="122"/>
    <tableColumn id="27" xr3:uid="{00000000-0010-0000-0300-00001B000000}" name="30" dataDxfId="121"/>
    <tableColumn id="28" xr3:uid="{00000000-0010-0000-0300-00001C000000}" name="31" dataDxfId="120"/>
    <tableColumn id="29" xr3:uid="{00000000-0010-0000-0300-00001D000000}" name="32" dataDxfId="119"/>
    <tableColumn id="30" xr3:uid="{00000000-0010-0000-0300-00001E000000}" name="33" dataDxfId="118"/>
    <tableColumn id="31" xr3:uid="{00000000-0010-0000-0300-00001F000000}" name="34" dataDxfId="117"/>
    <tableColumn id="32" xr3:uid="{00000000-0010-0000-0300-000020000000}" name="35" dataDxfId="116"/>
    <tableColumn id="33" xr3:uid="{00000000-0010-0000-0300-000021000000}" name="36" dataDxfId="115"/>
    <tableColumn id="34" xr3:uid="{00000000-0010-0000-0300-000022000000}" name="37" dataDxfId="114"/>
    <tableColumn id="35" xr3:uid="{00000000-0010-0000-0300-000023000000}" name="38" dataDxfId="113"/>
    <tableColumn id="36" xr3:uid="{00000000-0010-0000-0300-000024000000}" name="39" dataDxfId="112"/>
    <tableColumn id="37" xr3:uid="{00000000-0010-0000-0300-000025000000}" name="40" dataDxfId="111"/>
    <tableColumn id="38" xr3:uid="{00000000-0010-0000-0300-000026000000}" name="41" dataDxfId="110"/>
    <tableColumn id="39" xr3:uid="{00000000-0010-0000-0300-000027000000}" name="42" dataDxfId="109"/>
    <tableColumn id="40" xr3:uid="{00000000-0010-0000-0300-000028000000}" name="43" dataDxfId="108"/>
    <tableColumn id="41" xr3:uid="{00000000-0010-0000-0300-000029000000}" name="44" dataDxfId="107"/>
    <tableColumn id="42" xr3:uid="{00000000-0010-0000-0300-00002A000000}" name="45" dataDxfId="106"/>
    <tableColumn id="43" xr3:uid="{00000000-0010-0000-0300-00002B000000}" name="46" dataDxfId="105"/>
    <tableColumn id="44" xr3:uid="{00000000-0010-0000-0300-00002C000000}" name="47" dataDxfId="104"/>
    <tableColumn id="45" xr3:uid="{00000000-0010-0000-0300-00002D000000}" name="48" dataDxfId="103"/>
    <tableColumn id="46" xr3:uid="{00000000-0010-0000-0300-00002E000000}" name="49" dataDxfId="102"/>
    <tableColumn id="47" xr3:uid="{00000000-0010-0000-0300-00002F000000}" name="50" dataDxfId="101"/>
    <tableColumn id="48" xr3:uid="{00000000-0010-0000-0300-000030000000}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9" displayName="Table9" ref="B41:AY69" totalsRowShown="0" headerRowDxfId="99" dataDxfId="98">
  <autoFilter ref="B41:AY69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xr3:uid="{00000000-0010-0000-0400-000001000000}" name="2" dataDxfId="97"/>
    <tableColumn id="49" xr3:uid="{00000000-0010-0000-0400-000031000000}" name="3" dataDxfId="96">
      <calculatedColumnFormula>IF(C11="","",C11)</calculatedColumnFormula>
    </tableColumn>
    <tableColumn id="50" xr3:uid="{00000000-0010-0000-0400-000032000000}" name="4" dataDxfId="95">
      <calculatedColumnFormula>IF(D11="","",HLOOKUP(D11,Table13[],2,FALSE))</calculatedColumnFormula>
    </tableColumn>
    <tableColumn id="2" xr3:uid="{00000000-0010-0000-0400-000002000000}" name="5" dataDxfId="94">
      <calculatedColumnFormula>IF(E11="","",HLOOKUP(E11,Table13[],2,FALSE))</calculatedColumnFormula>
    </tableColumn>
    <tableColumn id="3" xr3:uid="{00000000-0010-0000-0400-000003000000}" name="6" dataDxfId="93">
      <calculatedColumnFormula>IF(F11="","",HLOOKUP(F11,Table13[],2,FALSE))</calculatedColumnFormula>
    </tableColumn>
    <tableColumn id="4" xr3:uid="{00000000-0010-0000-0400-000004000000}" name="7" dataDxfId="92">
      <calculatedColumnFormula>IF(G11="","",HLOOKUP(G11,Table13[],2,FALSE))</calculatedColumnFormula>
    </tableColumn>
    <tableColumn id="5" xr3:uid="{00000000-0010-0000-0400-000005000000}" name="8" dataDxfId="91">
      <calculatedColumnFormula>IF(H11="","",HLOOKUP(H11,Table13[],2,FALSE))</calculatedColumnFormula>
    </tableColumn>
    <tableColumn id="6" xr3:uid="{00000000-0010-0000-0400-000006000000}" name="9" dataDxfId="90">
      <calculatedColumnFormula>IF(I11="","",HLOOKUP(I11,Table13[],2,FALSE))</calculatedColumnFormula>
    </tableColumn>
    <tableColumn id="7" xr3:uid="{00000000-0010-0000-0400-000007000000}" name="10" dataDxfId="89">
      <calculatedColumnFormula>IF(J11="","",HLOOKUP(J11,Table13[],2,FALSE))</calculatedColumnFormula>
    </tableColumn>
    <tableColumn id="8" xr3:uid="{00000000-0010-0000-0400-000008000000}" name="11" dataDxfId="88">
      <calculatedColumnFormula>IF(K11="","",HLOOKUP(K11,Table13[],2,FALSE))</calculatedColumnFormula>
    </tableColumn>
    <tableColumn id="9" xr3:uid="{00000000-0010-0000-0400-000009000000}" name="12" dataDxfId="87">
      <calculatedColumnFormula>IF(L11="","",HLOOKUP(L11,Table13[],2,FALSE))</calculatedColumnFormula>
    </tableColumn>
    <tableColumn id="10" xr3:uid="{00000000-0010-0000-0400-00000A000000}" name="13" dataDxfId="86">
      <calculatedColumnFormula>IF(M11="","",HLOOKUP(M11,Table13[],2,FALSE))</calculatedColumnFormula>
    </tableColumn>
    <tableColumn id="11" xr3:uid="{00000000-0010-0000-0400-00000B000000}" name="14" dataDxfId="85">
      <calculatedColumnFormula>IF(N11="","",HLOOKUP(N11,Table13[],2,FALSE))</calculatedColumnFormula>
    </tableColumn>
    <tableColumn id="12" xr3:uid="{00000000-0010-0000-0400-00000C000000}" name="15" dataDxfId="84">
      <calculatedColumnFormula>IF(O11="","",HLOOKUP(O11,Table13[],2,FALSE))</calculatedColumnFormula>
    </tableColumn>
    <tableColumn id="13" xr3:uid="{00000000-0010-0000-0400-00000D000000}" name="16" dataDxfId="83">
      <calculatedColumnFormula>IF(P11="","",HLOOKUP(P11,Table13[],2,FALSE))</calculatedColumnFormula>
    </tableColumn>
    <tableColumn id="14" xr3:uid="{00000000-0010-0000-0400-00000E000000}" name="17" dataDxfId="82">
      <calculatedColumnFormula>IF(Q11="","",HLOOKUP(Q11,Table13[],2,FALSE))</calculatedColumnFormula>
    </tableColumn>
    <tableColumn id="15" xr3:uid="{00000000-0010-0000-0400-00000F000000}" name="18" dataDxfId="81">
      <calculatedColumnFormula>IF(R11="","",HLOOKUP(R11,Table13[],2,FALSE))</calculatedColumnFormula>
    </tableColumn>
    <tableColumn id="16" xr3:uid="{00000000-0010-0000-0400-000010000000}" name="19" dataDxfId="80">
      <calculatedColumnFormula>IF(S11="","",HLOOKUP(S11,Table13[],2,FALSE))</calculatedColumnFormula>
    </tableColumn>
    <tableColumn id="17" xr3:uid="{00000000-0010-0000-0400-000011000000}" name="20" dataDxfId="79">
      <calculatedColumnFormula>IF(T11="","",HLOOKUP(T11,Table13[],2,FALSE))</calculatedColumnFormula>
    </tableColumn>
    <tableColumn id="18" xr3:uid="{00000000-0010-0000-0400-000012000000}" name="21" dataDxfId="78">
      <calculatedColumnFormula>IF(U11="","",HLOOKUP(U11,Table13[],2,FALSE))</calculatedColumnFormula>
    </tableColumn>
    <tableColumn id="19" xr3:uid="{00000000-0010-0000-0400-000013000000}" name="22" dataDxfId="77">
      <calculatedColumnFormula>IF(V11="","",HLOOKUP(V11,Table13[],2,FALSE))</calculatedColumnFormula>
    </tableColumn>
    <tableColumn id="20" xr3:uid="{00000000-0010-0000-0400-000014000000}" name="23" dataDxfId="76">
      <calculatedColumnFormula>IF(W11="","",HLOOKUP(W11,Table13[],2,FALSE))</calculatedColumnFormula>
    </tableColumn>
    <tableColumn id="21" xr3:uid="{00000000-0010-0000-0400-000015000000}" name="24" dataDxfId="75">
      <calculatedColumnFormula>IF(X11="","",HLOOKUP(X11,Table13[],2,FALSE))</calculatedColumnFormula>
    </tableColumn>
    <tableColumn id="22" xr3:uid="{00000000-0010-0000-0400-000016000000}" name="25" dataDxfId="74">
      <calculatedColumnFormula>IF(Y11="","",HLOOKUP(Y11,Table13[],2,FALSE))</calculatedColumnFormula>
    </tableColumn>
    <tableColumn id="23" xr3:uid="{00000000-0010-0000-0400-000017000000}" name="26" dataDxfId="73">
      <calculatedColumnFormula>IF(Z11="","",HLOOKUP(Z11,Table13[],2,FALSE))</calculatedColumnFormula>
    </tableColumn>
    <tableColumn id="24" xr3:uid="{00000000-0010-0000-0400-000018000000}" name="27" dataDxfId="72">
      <calculatedColumnFormula>IF(AA11="","",HLOOKUP(AA11,Table13[],2,FALSE))</calculatedColumnFormula>
    </tableColumn>
    <tableColumn id="25" xr3:uid="{00000000-0010-0000-0400-000019000000}" name="28" dataDxfId="71">
      <calculatedColumnFormula>IF(AB11="","",HLOOKUP(AB11,Table13[],2,FALSE))</calculatedColumnFormula>
    </tableColumn>
    <tableColumn id="26" xr3:uid="{00000000-0010-0000-0400-00001A000000}" name="29" dataDxfId="70">
      <calculatedColumnFormula>IF(AC11="","",HLOOKUP(AC11,Table13[],2,FALSE))</calculatedColumnFormula>
    </tableColumn>
    <tableColumn id="27" xr3:uid="{00000000-0010-0000-0400-00001B000000}" name="30" dataDxfId="69">
      <calculatedColumnFormula>IF(AD11="","",HLOOKUP(AD11,Table13[],2,FALSE))</calculatedColumnFormula>
    </tableColumn>
    <tableColumn id="28" xr3:uid="{00000000-0010-0000-0400-00001C000000}" name="31" dataDxfId="68">
      <calculatedColumnFormula>IF(AE11="","",HLOOKUP(AE11,Table13[],2,FALSE))</calculatedColumnFormula>
    </tableColumn>
    <tableColumn id="29" xr3:uid="{00000000-0010-0000-0400-00001D000000}" name="32" dataDxfId="67">
      <calculatedColumnFormula>IF(AF11="","",HLOOKUP(AF11,Table13[],2,FALSE))</calculatedColumnFormula>
    </tableColumn>
    <tableColumn id="30" xr3:uid="{00000000-0010-0000-0400-00001E000000}" name="33" dataDxfId="66">
      <calculatedColumnFormula>IF(AG11="","",HLOOKUP(AG11,Table13[],2,FALSE))</calculatedColumnFormula>
    </tableColumn>
    <tableColumn id="31" xr3:uid="{00000000-0010-0000-0400-00001F000000}" name="34" dataDxfId="65">
      <calculatedColumnFormula>IF(AH11="","",HLOOKUP(AH11,Table13[],2,FALSE))</calculatedColumnFormula>
    </tableColumn>
    <tableColumn id="32" xr3:uid="{00000000-0010-0000-0400-000020000000}" name="35" dataDxfId="64">
      <calculatedColumnFormula>IF(AI11="","",HLOOKUP(AI11,Table13[],2,FALSE))</calculatedColumnFormula>
    </tableColumn>
    <tableColumn id="33" xr3:uid="{00000000-0010-0000-0400-000021000000}" name="36" dataDxfId="63">
      <calculatedColumnFormula>IF(AJ11="","",HLOOKUP(AJ11,Table13[],2,FALSE))</calculatedColumnFormula>
    </tableColumn>
    <tableColumn id="34" xr3:uid="{00000000-0010-0000-0400-000022000000}" name="37" dataDxfId="62">
      <calculatedColumnFormula>IF(AK11="","",HLOOKUP(AK11,Table13[],2,FALSE))</calculatedColumnFormula>
    </tableColumn>
    <tableColumn id="35" xr3:uid="{00000000-0010-0000-0400-000023000000}" name="38" dataDxfId="61">
      <calculatedColumnFormula>IF(AL11="","",HLOOKUP(AL11,Table13[],2,FALSE))</calculatedColumnFormula>
    </tableColumn>
    <tableColumn id="36" xr3:uid="{00000000-0010-0000-0400-000024000000}" name="39" dataDxfId="60">
      <calculatedColumnFormula>IF(AM11="","",HLOOKUP(AM11,Table13[],2,FALSE))</calculatedColumnFormula>
    </tableColumn>
    <tableColumn id="37" xr3:uid="{00000000-0010-0000-0400-000025000000}" name="40" dataDxfId="59">
      <calculatedColumnFormula>IF(AN11="","",HLOOKUP(AN11,Table13[],2,FALSE))</calculatedColumnFormula>
    </tableColumn>
    <tableColumn id="38" xr3:uid="{00000000-0010-0000-0400-000026000000}" name="41" dataDxfId="58">
      <calculatedColumnFormula>IF(AO11="","",HLOOKUP(AO11,Table13[],2,FALSE))</calculatedColumnFormula>
    </tableColumn>
    <tableColumn id="39" xr3:uid="{00000000-0010-0000-0400-000027000000}" name="42" dataDxfId="57">
      <calculatedColumnFormula>IF(AP11="","",HLOOKUP(AP11,Table13[],2,FALSE))</calculatedColumnFormula>
    </tableColumn>
    <tableColumn id="40" xr3:uid="{00000000-0010-0000-0400-000028000000}" name="43" dataDxfId="56">
      <calculatedColumnFormula>IF(AQ11="","",HLOOKUP(AQ11,Table13[],2,FALSE))</calculatedColumnFormula>
    </tableColumn>
    <tableColumn id="41" xr3:uid="{00000000-0010-0000-0400-000029000000}" name="44" dataDxfId="55">
      <calculatedColumnFormula>IF(AR11="","",HLOOKUP(AR11,Table13[],2,FALSE))</calculatedColumnFormula>
    </tableColumn>
    <tableColumn id="42" xr3:uid="{00000000-0010-0000-0400-00002A000000}" name="45" dataDxfId="54">
      <calculatedColumnFormula>IF(AS11="","",HLOOKUP(AS11,Table13[],2,FALSE))</calculatedColumnFormula>
    </tableColumn>
    <tableColumn id="43" xr3:uid="{00000000-0010-0000-0400-00002B000000}" name="46" dataDxfId="53">
      <calculatedColumnFormula>IF(AT11="","",HLOOKUP(AT11,Table13[],2,FALSE))</calculatedColumnFormula>
    </tableColumn>
    <tableColumn id="44" xr3:uid="{00000000-0010-0000-0400-00002C000000}" name="47" dataDxfId="52">
      <calculatedColumnFormula>IF(AU11="","",HLOOKUP(AU11,Table13[],2,FALSE))</calculatedColumnFormula>
    </tableColumn>
    <tableColumn id="45" xr3:uid="{00000000-0010-0000-0400-00002D000000}" name="48" dataDxfId="51">
      <calculatedColumnFormula>IF(AV11="","",HLOOKUP(AV11,Table13[],2,FALSE))</calculatedColumnFormula>
    </tableColumn>
    <tableColumn id="46" xr3:uid="{00000000-0010-0000-0400-00002E000000}" name="49" dataDxfId="50">
      <calculatedColumnFormula>IF(AW11="","",HLOOKUP(AW11,Table13[],2,FALSE))</calculatedColumnFormula>
    </tableColumn>
    <tableColumn id="47" xr3:uid="{00000000-0010-0000-0400-00002F000000}" name="50" dataDxfId="49">
      <calculatedColumnFormula>IF(AX11="","",HLOOKUP(AX11,Table13[],2,FALSE))</calculatedColumnFormula>
    </tableColumn>
    <tableColumn id="48" xr3:uid="{00000000-0010-0000-0400-000030000000}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Table2" displayName="Table2" ref="B143:C147" totalsRowShown="0" headerRowDxfId="47" dataDxfId="46">
  <autoFilter ref="B143:C147" xr:uid="{00000000-0009-0000-0100-000002000000}">
    <filterColumn colId="0" hiddenButton="1"/>
    <filterColumn colId="1" hiddenButton="1"/>
  </autoFilter>
  <tableColumns count="2">
    <tableColumn id="1" xr3:uid="{00000000-0010-0000-0500-000001000000}" name="Access Type" dataDxfId="45"/>
    <tableColumn id="2" xr3:uid="{00000000-0010-0000-0500-000002000000}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Table22" displayName="Table22" ref="B150:C154" totalsRowShown="0" headerRowDxfId="43" dataDxfId="42">
  <autoFilter ref="B150:C154" xr:uid="{00000000-0009-0000-0100-000001000000}">
    <filterColumn colId="0" hiddenButton="1"/>
    <filterColumn colId="1" hiddenButton="1"/>
  </autoFilter>
  <tableColumns count="2">
    <tableColumn id="1" xr3:uid="{00000000-0010-0000-0600-000001000000}" name="AddressType" dataDxfId="41"/>
    <tableColumn id="2" xr3:uid="{00000000-0010-0000-0600-000002000000}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able13" displayName="Table13" ref="B3:AM1041" totalsRowShown="0" headerRowDxfId="39" dataDxfId="38">
  <tableColumns count="38">
    <tableColumn id="1" xr3:uid="{00000000-0010-0000-0700-000001000000}" name="Index" dataDxfId="37"/>
    <tableColumn id="2" xr3:uid="{00000000-0010-0000-0700-000002000000}" name="value Type" dataDxfId="36"/>
    <tableColumn id="39" xr3:uid="{00000000-0010-0000-0700-000027000000}" name="Acc Type" dataDxfId="35"/>
    <tableColumn id="14" xr3:uid="{00000000-0010-0000-0700-00000E000000}" name="IP" dataDxfId="34"/>
    <tableColumn id="25" xr3:uid="{00000000-0010-0000-0700-000019000000}" name="IP MAX" dataDxfId="33"/>
    <tableColumn id="15" xr3:uid="{00000000-0010-0000-0700-00000F000000}" name="PARAM_NAME" dataDxfId="32"/>
    <tableColumn id="16" xr3:uid="{00000000-0010-0000-0700-000010000000}" name="SUB" dataDxfId="31"/>
    <tableColumn id="17" xr3:uid="{00000000-0010-0000-0700-000011000000}" name="Addr[HEX]" dataDxfId="30"/>
    <tableColumn id="10" xr3:uid="{00000000-0010-0000-0700-00000A000000}" name="AddrTypeI" dataDxfId="29"/>
    <tableColumn id="18" xr3:uid="{00000000-0010-0000-0700-000012000000}" name="DataType" dataDxfId="28"/>
    <tableColumn id="19" xr3:uid="{00000000-0010-0000-0700-000013000000}" name="DataWidth" dataDxfId="27"/>
    <tableColumn id="20" xr3:uid="{00000000-0010-0000-0700-000014000000}" name="DataOffset" dataDxfId="26"/>
    <tableColumn id="60" xr3:uid="{00000000-0010-0000-0700-00003C000000}" name="PORT" dataDxfId="25"/>
    <tableColumn id="22" xr3:uid="{00000000-0010-0000-0700-000016000000}" name="ADDR" dataDxfId="24"/>
    <tableColumn id="6" xr3:uid="{00000000-0010-0000-0700-000006000000}" name="TIMEOUT" dataDxfId="23"/>
    <tableColumn id="7" xr3:uid="{00000000-0010-0000-0700-000007000000}" name="SCAN" dataDxfId="22"/>
    <tableColumn id="13" xr3:uid="{00000000-0010-0000-0700-00000D000000}" name="FLNK" dataDxfId="21"/>
    <tableColumn id="33" xr3:uid="{00000000-0010-0000-0700-000021000000}" name="PINI" dataDxfId="20"/>
    <tableColumn id="34" xr3:uid="{00000000-0010-0000-0700-000022000000}" name="IVAL" dataDxfId="19"/>
    <tableColumn id="23" xr3:uid="{00000000-0010-0000-0700-000017000000}" name="NELM" dataDxfId="18"/>
    <tableColumn id="9" xr3:uid="{00000000-0010-0000-0700-000009000000}" name="ZNAM" dataDxfId="17"/>
    <tableColumn id="11" xr3:uid="{00000000-0010-0000-0700-00000B000000}" name="ONAM" dataDxfId="16"/>
    <tableColumn id="31" xr3:uid="{00000000-0010-0000-0700-00001F000000}" name="template" dataDxfId="15"/>
    <tableColumn id="5" xr3:uid="{00000000-0010-0000-0700-000005000000}" name="Param Type" dataDxfId="14"/>
    <tableColumn id="32" xr3:uid="{00000000-0010-0000-0700-000020000000}" name="DTYP" dataDxfId="13"/>
    <tableColumn id="41" xr3:uid="{00000000-0010-0000-0700-000029000000}" name="xx" dataDxfId="12"/>
    <tableColumn id="35" xr3:uid="{00000000-0010-0000-0700-000023000000}" name="FTVL" dataDxfId="11"/>
    <tableColumn id="12" xr3:uid="{00000000-0010-0000-0700-00000C000000}" name="ALIAS" dataDxfId="10"/>
    <tableColumn id="26" xr3:uid="{00000000-0010-0000-0700-00001A000000}" name="IP_ID" dataDxfId="9"/>
    <tableColumn id="8" xr3:uid="{00000000-0010-0000-0700-000008000000}" name="IP_CNT" dataDxfId="8"/>
    <tableColumn id="40" xr3:uid="{00000000-0010-0000-0700-000028000000}" name="ACC_Type" dataDxfId="7"/>
    <tableColumn id="28" xr3:uid="{00000000-0010-0000-0700-00001C000000}" name="ADDR_Offset" dataDxfId="6"/>
    <tableColumn id="24" xr3:uid="{00000000-0010-0000-0700-000018000000}" name="AddrType" dataDxfId="5"/>
    <tableColumn id="4" xr3:uid="{00000000-0010-0000-0700-000004000000}" name="D_Type" dataDxfId="4"/>
    <tableColumn id="3" xr3:uid="{00000000-0010-0000-0700-000003000000}" name="D_Width" dataDxfId="3"/>
    <tableColumn id="27" xr3:uid="{00000000-0010-0000-0700-00001B000000}" name="D_Offset" dataDxfId="2"/>
    <tableColumn id="21" xr3:uid="{00000000-0010-0000-0700-000015000000}" name="----" dataDxfId="1"/>
    <tableColumn id="38" xr3:uid="{00000000-0010-0000-0700-000026000000}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Y154"/>
  <sheetViews>
    <sheetView zoomScaleNormal="100" workbookViewId="0">
      <pane xSplit="1" ySplit="24" topLeftCell="B79" activePane="bottomRight" state="frozen"/>
      <selection pane="topRight" activeCell="B1" sqref="B1"/>
      <selection pane="bottomLeft" activeCell="A17" sqref="A17"/>
      <selection pane="bottomRight" activeCell="J134" sqref="J134"/>
    </sheetView>
  </sheetViews>
  <sheetFormatPr defaultColWidth="10.125" defaultRowHeight="12" x14ac:dyDescent="0.3"/>
  <cols>
    <col min="1" max="1" width="10.125" style="16"/>
    <col min="2" max="2" width="17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B137" s="16" t="s">
        <v>892</v>
      </c>
      <c r="C137" s="16">
        <v>11</v>
      </c>
    </row>
    <row r="138" spans="2:4" x14ac:dyDescent="0.3">
      <c r="B138" s="16" t="s">
        <v>894</v>
      </c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1041"/>
  <sheetViews>
    <sheetView tabSelected="1" zoomScaleNormal="100" workbookViewId="0">
      <pane xSplit="2" ySplit="6" topLeftCell="C16" activePane="bottomRight" state="frozen"/>
      <selection pane="topRight" activeCell="C1" sqref="C1"/>
      <selection pane="bottomLeft" activeCell="A7" sqref="A7"/>
      <selection pane="bottomRight" activeCell="G30" sqref="G30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44875.754803703705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 t="s">
        <v>2</v>
      </c>
      <c r="D69" s="14" t="s">
        <v>380</v>
      </c>
      <c r="E69" s="24" t="s">
        <v>18</v>
      </c>
      <c r="F69" s="24"/>
      <c r="G69" s="14" t="s">
        <v>895</v>
      </c>
      <c r="H69" s="15"/>
      <c r="I69" s="29">
        <v>109</v>
      </c>
      <c r="J69" s="15" t="s">
        <v>747</v>
      </c>
      <c r="K69" s="15" t="s">
        <v>893</v>
      </c>
      <c r="L69" s="14">
        <v>32</v>
      </c>
      <c r="M69" s="35">
        <v>0</v>
      </c>
      <c r="N69" s="15" t="s">
        <v>105</v>
      </c>
      <c r="O69" s="88">
        <v>0</v>
      </c>
      <c r="P69" s="25">
        <v>1</v>
      </c>
      <c r="Q69" s="15" t="s">
        <v>81</v>
      </c>
      <c r="R69" s="26" t="s">
        <v>93</v>
      </c>
      <c r="S69" s="27" t="s">
        <v>239</v>
      </c>
      <c r="T69" s="27">
        <v>0</v>
      </c>
      <c r="U69" s="86"/>
      <c r="V69" s="14"/>
      <c r="W69" s="14"/>
      <c r="X69" s="30" t="str">
        <f>IF(Table13[[#This Row],[value Type]]="","",VLOOKUP(Table13[[#This Row],[value Type]],Table2915[],2,FALSE))</f>
        <v>stringout</v>
      </c>
      <c r="Y69" s="30" t="str">
        <f>IF(Table13[[#This Row],[value Type]]="","",VLOOKUP(Table13[[#This Row],[value Type]],Table2915[],3,FALSE))</f>
        <v>asynParamOctet</v>
      </c>
      <c r="Z69" s="64" t="str">
        <f>IF(Table13[[#This Row],[value Type]]="","",VLOOKUP(Table13[[#This Row],[value Type]],Table2915[],4,FALSE))</f>
        <v xml:space="preserve"> </v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 xml:space="preserve"> </v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xIPx_SYS_SAVE_CFG</v>
      </c>
      <c r="AD69" s="79">
        <f>IF(Table13[[#This Row],[value Type]]="","",VLOOKUP(Table13[[#This Row],[IP]],Table51117[],2,FALSE))</f>
        <v>0</v>
      </c>
      <c r="AE69" s="79" t="str">
        <f>IF(Table13[[#This Row],[value Type]]="","",    IF(Table13[[#This Row],[IP MAX]]="","0","@"  )     )</f>
        <v>0</v>
      </c>
      <c r="AF69" s="68">
        <f>IF(Table13[[#This Row],[value Type]]="","",VLOOKUP(Table13[[#This Row],[Acc Type]],Table2[],2,FALSE))</f>
        <v>1</v>
      </c>
      <c r="AG69" s="75">
        <f>IF(Table13[[#This Row],[value Type]]="","",4*HEX2DEC(Table13[[#This Row],[Addr'[HEX']]]))</f>
        <v>1060</v>
      </c>
      <c r="AH69" s="75">
        <f>IF(Table13[[#This Row],[value Type]]="","",VLOOKUP(Table13[[#This Row],[AddrTypeI]],Table22[],2,FALSE))</f>
        <v>0</v>
      </c>
      <c r="AI69" s="68">
        <f>IF(Table13[[#This Row],[value Type]]="","",VLOOKUP(Table13[[#This Row],[DataType]],Table351218[],2,FALSE))</f>
        <v>12</v>
      </c>
      <c r="AJ69" s="68">
        <f>IF(Table13[[#This Row],[value Type]]="","",Table13[[#This Row],[DataWidth]])</f>
        <v>32</v>
      </c>
      <c r="AK69" s="68">
        <f>IF(Table13[[#This Row],[value Type]]="","", Table13[[#This Row],[DataOffset]])</f>
        <v>0</v>
      </c>
      <c r="AL69" s="24"/>
      <c r="AM69" s="24" t="str">
        <f>IF(Table13[[#This Row],[value Type]]="","", "0x"&amp;DEC2HEX(Table13[[#This Row],[ADDR_Offset]],8) )</f>
        <v>0x00000424</v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64"/>
      <c r="AB70" s="79"/>
      <c r="AC70" s="12"/>
      <c r="AD70" s="84"/>
      <c r="AE70" s="79"/>
      <c r="AF70" s="68"/>
      <c r="AG70" s="75"/>
      <c r="AH70" s="75"/>
      <c r="AI70" s="81"/>
      <c r="AJ70" s="81"/>
      <c r="AK70" s="81"/>
      <c r="AL70" s="24"/>
      <c r="AM70" s="24"/>
    </row>
    <row r="71" spans="2:39" s="6" customFormat="1" x14ac:dyDescent="0.3">
      <c r="B71" s="14">
        <v>0</v>
      </c>
      <c r="C71" s="14"/>
      <c r="D71" s="14"/>
      <c r="E71" s="24"/>
      <c r="F71" s="24"/>
      <c r="G71" s="14"/>
      <c r="H71" s="15"/>
      <c r="I71" s="29"/>
      <c r="J71" s="15" t="s">
        <v>747</v>
      </c>
      <c r="K71" s="15"/>
      <c r="L71" s="14"/>
      <c r="M71" s="35"/>
      <c r="N71" s="15"/>
      <c r="O71" s="88"/>
      <c r="P71" s="25"/>
      <c r="Q71" s="15"/>
      <c r="R71" s="26"/>
      <c r="S71" s="27"/>
      <c r="T71" s="27"/>
      <c r="U71" s="86"/>
      <c r="V71" s="14"/>
      <c r="W71" s="14"/>
      <c r="X71" s="30" t="str">
        <f>IF(Table13[[#This Row],[value Type]]="","",VLOOKUP(Table13[[#This Row],[value Type]],Table2915[],2,FALSE))</f>
        <v/>
      </c>
      <c r="Y71" s="30" t="str">
        <f>IF(Table13[[#This Row],[value Type]]="","",VLOOKUP(Table13[[#This Row],[value Type]],Table2915[],3,FALSE))</f>
        <v/>
      </c>
      <c r="Z71" s="64" t="str">
        <f>IF(Table13[[#This Row],[value Type]]="","",VLOOKUP(Table13[[#This Row],[value Type]],Table2915[],4,FALSE))</f>
        <v/>
      </c>
      <c r="AA71" s="30" t="str">
        <f>IF(Table13[[#This Row],[value Type]]="","",    IF(Table13[[#This Row],[IP MAX]]="","","@"  )     )</f>
        <v/>
      </c>
      <c r="AB71" s="79" t="str">
        <f>IF(Table13[[#This Row],[value Type]]="","",VLOOKUP(Table13[[#This Row],[value Type]],Table2915[],5,FALSE))</f>
        <v/>
      </c>
      <c r="AC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79" t="str">
        <f>IF(Table13[[#This Row],[value Type]]="","",VLOOKUP(Table13[[#This Row],[IP]],Table51117[],2,FALSE))</f>
        <v/>
      </c>
      <c r="AE71" s="79" t="str">
        <f>IF(Table13[[#This Row],[value Type]]="","",    IF(Table13[[#This Row],[IP MAX]]="","0","@"  )     )</f>
        <v/>
      </c>
      <c r="AF71" s="68" t="str">
        <f>IF(Table13[[#This Row],[value Type]]="","",VLOOKUP(Table13[[#This Row],[Acc Type]],Table2[],2,FALSE))</f>
        <v/>
      </c>
      <c r="AG71" s="75" t="str">
        <f>IF(Table13[[#This Row],[value Type]]="","",4*HEX2DEC(Table13[[#This Row],[Addr'[HEX']]]))</f>
        <v/>
      </c>
      <c r="AH71" s="75" t="str">
        <f>IF(Table13[[#This Row],[value Type]]="","",VLOOKUP(Table13[[#This Row],[AddrTypeI]],Table22[],2,FALSE))</f>
        <v/>
      </c>
      <c r="AI71" s="68" t="str">
        <f>IF(Table13[[#This Row],[value Type]]="","",VLOOKUP(Table13[[#This Row],[DataType]],Table351218[],2,FALSE))</f>
        <v/>
      </c>
      <c r="AJ71" s="68" t="str">
        <f>IF(Table13[[#This Row],[value Type]]="","",Table13[[#This Row],[DataWidth]])</f>
        <v/>
      </c>
      <c r="AK71" s="68" t="str">
        <f>IF(Table13[[#This Row],[value Type]]="","", Table13[[#This Row],[DataOffset]])</f>
        <v/>
      </c>
      <c r="AL71" s="24"/>
      <c r="AM71" s="24" t="str">
        <f>IF(Table13[[#This Row],[value Type]]="","", "0x"&amp;DEC2HEX(Table13[[#This Row],[ADDR_Offset]],8) )</f>
        <v/>
      </c>
    </row>
    <row r="72" spans="2:39" s="6" customFormat="1" x14ac:dyDescent="0.3">
      <c r="B72" s="14"/>
      <c r="C72" s="14"/>
      <c r="D72" s="14"/>
      <c r="E72" s="24"/>
      <c r="F72" s="24"/>
      <c r="G72" s="14"/>
      <c r="H72" s="15"/>
      <c r="I72" s="29"/>
      <c r="J72" s="15"/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86"/>
      <c r="V72" s="14"/>
      <c r="W72" s="14"/>
      <c r="X72" s="30"/>
      <c r="Y72" s="30"/>
      <c r="Z72" s="64"/>
      <c r="AA72" s="30"/>
      <c r="AB72" s="79"/>
      <c r="AC72" s="12"/>
      <c r="AD72" s="79"/>
      <c r="AE72" s="79"/>
      <c r="AF72" s="68"/>
      <c r="AG72" s="75"/>
      <c r="AH72" s="75"/>
      <c r="AI72" s="68"/>
      <c r="AJ72" s="68"/>
      <c r="AK72" s="68"/>
      <c r="AL72" s="24"/>
      <c r="AM72" s="24"/>
    </row>
    <row r="73" spans="2:39" s="6" customFormat="1" x14ac:dyDescent="0.3">
      <c r="B73" s="47">
        <v>0</v>
      </c>
      <c r="C73" s="47"/>
      <c r="D73" s="47"/>
      <c r="E73" s="48"/>
      <c r="F73" s="48"/>
      <c r="G73" s="47"/>
      <c r="H73" s="58"/>
      <c r="I73" s="57"/>
      <c r="J73" s="49"/>
      <c r="K73" s="49"/>
      <c r="L73" s="47"/>
      <c r="M73" s="50"/>
      <c r="N73" s="49"/>
      <c r="O73" s="89"/>
      <c r="P73" s="51"/>
      <c r="Q73" s="49"/>
      <c r="R73" s="52"/>
      <c r="S73" s="53"/>
      <c r="T73" s="53"/>
      <c r="U73" s="54"/>
      <c r="V73" s="47"/>
      <c r="W73" s="47"/>
      <c r="X73" s="55" t="str">
        <f>IF(Table13[[#This Row],[value Type]]="","",VLOOKUP(Table13[[#This Row],[value Type]],Table2915[],2,FALSE))</f>
        <v/>
      </c>
      <c r="Y73" s="55" t="str">
        <f>IF(Table13[[#This Row],[value Type]]="","",VLOOKUP(Table13[[#This Row],[value Type]],Table2915[],3,FALSE))</f>
        <v/>
      </c>
      <c r="Z73" s="65" t="str">
        <f>IF(Table13[[#This Row],[value Type]]="","",VLOOKUP(Table13[[#This Row],[value Type]],Table2915[],4,FALSE))</f>
        <v/>
      </c>
      <c r="AA73" s="65" t="str">
        <f>IF(Table13[[#This Row],[value Type]]="","",    IF(Table13[[#This Row],[IP MAX]]="","","@"  )     )</f>
        <v/>
      </c>
      <c r="AB73" s="80" t="str">
        <f>IF(Table13[[#This Row],[value Type]]="","",VLOOKUP(Table13[[#This Row],[value Type]],Table2915[],5,FALSE))</f>
        <v/>
      </c>
      <c r="AC7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" s="80" t="str">
        <f>IF(Table13[[#This Row],[value Type]]="","",VLOOKUP(Table13[[#This Row],[IP]],Table51117[],2,FALSE))</f>
        <v/>
      </c>
      <c r="AE73" s="80"/>
      <c r="AF73" s="69" t="str">
        <f>IF(Table13[[#This Row],[value Type]]="","",VLOOKUP(Table13[[#This Row],[Acc Type]],Table2[],2,FALSE))</f>
        <v/>
      </c>
      <c r="AG73" s="76" t="str">
        <f>IF(Table13[[#This Row],[value Type]]="","",4*HEX2DEC(Table13[[#This Row],[Addr'[HEX']]]))</f>
        <v/>
      </c>
      <c r="AH73" s="76" t="str">
        <f>IF(Table13[[#This Row],[value Type]]="","",VLOOKUP(Table13[[#This Row],[AddrTypeI]],Table22[],2,FALSE))</f>
        <v/>
      </c>
      <c r="AI73" s="69" t="str">
        <f>IF(Table13[[#This Row],[value Type]]="","",VLOOKUP(Table13[[#This Row],[DataType]],Table351218[],2,FALSE))</f>
        <v/>
      </c>
      <c r="AJ73" s="69" t="str">
        <f>IF(Table13[[#This Row],[value Type]]="","",Table13[[#This Row],[DataWidth]])</f>
        <v/>
      </c>
      <c r="AK73" s="69" t="str">
        <f>IF(Table13[[#This Row],[value Type]]="","", Table13[[#This Row],[DataOffset]])</f>
        <v/>
      </c>
      <c r="AL73" s="48"/>
      <c r="AM73" s="48" t="str">
        <f>IF(Table13[[#This Row],[value Type]]="","", "0x"&amp;DEC2HEX(Table13[[#This Row],[ADDR_Offset]],8) )</f>
        <v/>
      </c>
    </row>
    <row r="74" spans="2:39" s="6" customFormat="1" x14ac:dyDescent="0.3">
      <c r="B74" s="14">
        <v>0</v>
      </c>
      <c r="C74" s="14"/>
      <c r="D74" s="14"/>
      <c r="E74" s="24"/>
      <c r="F74" s="24"/>
      <c r="G74" s="14"/>
      <c r="H74" s="36"/>
      <c r="I74" s="29"/>
      <c r="J74" s="15" t="s">
        <v>747</v>
      </c>
      <c r="K74" s="15"/>
      <c r="L74" s="14"/>
      <c r="M74" s="35"/>
      <c r="N74" s="15"/>
      <c r="O74" s="88"/>
      <c r="P74" s="25"/>
      <c r="Q74" s="15"/>
      <c r="R74" s="26"/>
      <c r="S74" s="27"/>
      <c r="T74" s="27"/>
      <c r="U74" s="28"/>
      <c r="V74" s="14"/>
      <c r="W74" s="14"/>
      <c r="X74" s="30" t="str">
        <f>IF(Table13[[#This Row],[value Type]]="","",VLOOKUP(Table13[[#This Row],[value Type]],Table2915[],2,FALSE))</f>
        <v/>
      </c>
      <c r="Y74" s="30" t="str">
        <f>IF(Table13[[#This Row],[value Type]]="","",VLOOKUP(Table13[[#This Row],[value Type]],Table2915[],3,FALSE))</f>
        <v/>
      </c>
      <c r="Z74" s="64" t="str">
        <f>IF(Table13[[#This Row],[value Type]]="","",VLOOKUP(Table13[[#This Row],[value Type]],Table2915[],4,FALSE))</f>
        <v/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/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4" s="79" t="str">
        <f>IF(Table13[[#This Row],[value Type]]="","",VLOOKUP(Table13[[#This Row],[IP]],Table51117[],2,FALSE))</f>
        <v/>
      </c>
      <c r="AE74" s="79" t="str">
        <f>IF(Table13[[#This Row],[value Type]]="","",    IF(Table13[[#This Row],[IP MAX]]="","0","@"  )     )</f>
        <v/>
      </c>
      <c r="AF74" s="68" t="str">
        <f>IF(Table13[[#This Row],[value Type]]="","",VLOOKUP(Table13[[#This Row],[Acc Type]],Table2[],2,FALSE))</f>
        <v/>
      </c>
      <c r="AG74" s="75" t="str">
        <f>IF(Table13[[#This Row],[value Type]]="","",4*HEX2DEC(Table13[[#This Row],[Addr'[HEX']]]))</f>
        <v/>
      </c>
      <c r="AH74" s="75" t="str">
        <f>IF(Table13[[#This Row],[value Type]]="","",VLOOKUP(Table13[[#This Row],[AddrTypeI]],Table22[],2,FALSE))</f>
        <v/>
      </c>
      <c r="AI74" s="68" t="str">
        <f>IF(Table13[[#This Row],[value Type]]="","",VLOOKUP(Table13[[#This Row],[DataType]],Table351218[],2,FALSE))</f>
        <v/>
      </c>
      <c r="AJ74" s="68" t="str">
        <f>IF(Table13[[#This Row],[value Type]]="","",Table13[[#This Row],[DataWidth]])</f>
        <v/>
      </c>
      <c r="AK74" s="68" t="str">
        <f>IF(Table13[[#This Row],[value Type]]="","", Table13[[#This Row],[DataOffset]])</f>
        <v/>
      </c>
      <c r="AL74" s="24"/>
      <c r="AM74" s="24" t="str">
        <f>IF(Table13[[#This Row],[value Type]]="","", "0x"&amp;DEC2HEX(Table13[[#This Row],[ADDR_Offset]],8) )</f>
        <v/>
      </c>
    </row>
    <row r="75" spans="2:39" s="6" customFormat="1" x14ac:dyDescent="0.3">
      <c r="B75" s="14">
        <v>0</v>
      </c>
      <c r="C75" s="14" t="s">
        <v>1</v>
      </c>
      <c r="D75" s="14" t="s">
        <v>388</v>
      </c>
      <c r="E75" s="24" t="s">
        <v>17</v>
      </c>
      <c r="F75" s="24"/>
      <c r="G75" s="14" t="s">
        <v>45</v>
      </c>
      <c r="H75" s="15"/>
      <c r="I75" s="29">
        <v>30</v>
      </c>
      <c r="J75" s="15" t="s">
        <v>747</v>
      </c>
      <c r="K75" s="15" t="s">
        <v>51</v>
      </c>
      <c r="L75" s="14">
        <v>1</v>
      </c>
      <c r="M75" s="35">
        <v>29</v>
      </c>
      <c r="N75" s="15" t="s">
        <v>400</v>
      </c>
      <c r="O75" s="25" t="s">
        <v>402</v>
      </c>
      <c r="P75" s="25">
        <v>1</v>
      </c>
      <c r="Q75" s="26" t="s">
        <v>80</v>
      </c>
      <c r="R75" s="27" t="s">
        <v>410</v>
      </c>
      <c r="S75" s="27" t="s">
        <v>405</v>
      </c>
      <c r="T75" s="27">
        <v>0</v>
      </c>
      <c r="U75" s="28"/>
      <c r="V75" s="14"/>
      <c r="W75" s="14"/>
      <c r="X75" s="30" t="str">
        <f>IF(Table13[[#This Row],[value Type]]="","",VLOOKUP(Table13[[#This Row],[value Type]],Table2915[],2,FALSE))</f>
        <v>longout</v>
      </c>
      <c r="Y75" s="30" t="str">
        <f>IF(Table13[[#This Row],[value Type]]="","",VLOOKUP(Table13[[#This Row],[value Type]],Table2915[],3,FALSE))</f>
        <v>asynParamInt32</v>
      </c>
      <c r="Z75" s="64" t="str">
        <f>IF(Table13[[#This Row],[value Type]]="","",VLOOKUP(Table13[[#This Row],[value Type]],Table2915[],4,FALSE))</f>
        <v>"asynInt32"</v>
      </c>
      <c r="AA75" s="64" t="str">
        <f>IF(Table13[[#This Row],[value Type]]="","",    IF(Table13[[#This Row],[IP MAX]]="","","@"  )     )</f>
        <v/>
      </c>
      <c r="AB75" s="79" t="str">
        <f>IF(Table13[[#This Row],[value Type]]="","",VLOOKUP(Table13[[#This Row],[value Type]],Table2915[],5,FALSE))</f>
        <v xml:space="preserve"> </v>
      </c>
      <c r="AC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5" s="79">
        <f>IF(Table13[[#This Row],[value Type]]="","",VLOOKUP(Table13[[#This Row],[IP]],Table51117[],2,FALSE))</f>
        <v>4</v>
      </c>
      <c r="AE75" s="79" t="str">
        <f>IF(Table13[[#This Row],[value Type]]="","",    IF(Table13[[#This Row],[IP MAX]]="","0","@"  )     )</f>
        <v>0</v>
      </c>
      <c r="AF75" s="68">
        <f>IF(Table13[[#This Row],[value Type]]="","",VLOOKUP(Table13[[#This Row],[Acc Type]],Table2[],2,FALSE))</f>
        <v>0</v>
      </c>
      <c r="AG75" s="75">
        <f>IF(Table13[[#This Row],[value Type]]="","",4*HEX2DEC(Table13[[#This Row],[Addr'[HEX']]]))</f>
        <v>192</v>
      </c>
      <c r="AH75" s="75">
        <f>IF(Table13[[#This Row],[value Type]]="","",VLOOKUP(Table13[[#This Row],[AddrTypeI]],Table22[],2,FALSE))</f>
        <v>0</v>
      </c>
      <c r="AI75" s="68">
        <f>IF(Table13[[#This Row],[value Type]]="","",VLOOKUP(Table13[[#This Row],[DataType]],Table351218[],2,FALSE))</f>
        <v>3</v>
      </c>
      <c r="AJ75" s="68">
        <f>IF(Table13[[#This Row],[value Type]]="","",Table13[[#This Row],[DataWidth]])</f>
        <v>1</v>
      </c>
      <c r="AK75" s="68">
        <f>IF(Table13[[#This Row],[value Type]]="","", Table13[[#This Row],[DataOffset]])</f>
        <v>29</v>
      </c>
      <c r="AL75" s="24"/>
      <c r="AM75" s="24" t="str">
        <f>IF(Table13[[#This Row],[value Type]]="","", "0x"&amp;DEC2HEX(Table13[[#This Row],[ADDR_Offset]],8) )</f>
        <v>0x000000C0</v>
      </c>
    </row>
    <row r="76" spans="2:39" s="6" customFormat="1" x14ac:dyDescent="0.3">
      <c r="B76" s="14">
        <v>0</v>
      </c>
      <c r="C76" s="14" t="s">
        <v>1</v>
      </c>
      <c r="D76" s="14" t="s">
        <v>388</v>
      </c>
      <c r="E76" s="24" t="s">
        <v>17</v>
      </c>
      <c r="F76" s="24"/>
      <c r="G76" s="14" t="s">
        <v>49</v>
      </c>
      <c r="H76" s="15"/>
      <c r="I76" s="29">
        <v>30</v>
      </c>
      <c r="J76" s="15" t="s">
        <v>747</v>
      </c>
      <c r="K76" s="15" t="s">
        <v>51</v>
      </c>
      <c r="L76" s="14">
        <v>1</v>
      </c>
      <c r="M76" s="35">
        <v>3</v>
      </c>
      <c r="N76" s="15" t="s">
        <v>400</v>
      </c>
      <c r="O76" s="25" t="s">
        <v>402</v>
      </c>
      <c r="P76" s="25">
        <v>1</v>
      </c>
      <c r="Q76" s="26" t="s">
        <v>80</v>
      </c>
      <c r="R76" s="27" t="s">
        <v>410</v>
      </c>
      <c r="S76" s="27" t="s">
        <v>405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longout</v>
      </c>
      <c r="Y76" s="30" t="str">
        <f>IF(Table13[[#This Row],[value Type]]="","",VLOOKUP(Table13[[#This Row],[value Type]],Table2915[],3,FALSE))</f>
        <v>asynParamInt32</v>
      </c>
      <c r="Z76" s="64" t="str">
        <f>IF(Table13[[#This Row],[value Type]]="","",VLOOKUP(Table13[[#This Row],[value Type]],Table2915[],4,FALSE))</f>
        <v>"asynInt32"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0</v>
      </c>
      <c r="AG76" s="75">
        <f>IF(Table13[[#This Row],[value Type]]="","",4*HEX2DEC(Table13[[#This Row],[Addr'[HEX']]]))</f>
        <v>192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3</v>
      </c>
      <c r="AJ76" s="68">
        <f>IF(Table13[[#This Row],[value Type]]="","",Table13[[#This Row],[DataWidth]])</f>
        <v>1</v>
      </c>
      <c r="AK76" s="68">
        <f>IF(Table13[[#This Row],[value Type]]="","", Table13[[#This Row],[DataOffset]])</f>
        <v>3</v>
      </c>
      <c r="AL76" s="24"/>
      <c r="AM76" s="24" t="str">
        <f>IF(Table13[[#This Row],[value Type]]="","", "0x"&amp;DEC2HEX(Table13[[#This Row],[ADDR_Offset]],8) )</f>
        <v>0x000000C0</v>
      </c>
    </row>
    <row r="77" spans="2:39" s="6" customFormat="1" x14ac:dyDescent="0.3">
      <c r="B77" s="14"/>
      <c r="C77" s="14"/>
      <c r="D77" s="14"/>
      <c r="E77" s="24"/>
      <c r="F77" s="24"/>
      <c r="G77" s="14"/>
      <c r="H77" s="15"/>
      <c r="I77" s="29"/>
      <c r="J77" s="15"/>
      <c r="K77" s="15"/>
      <c r="L77" s="14"/>
      <c r="M77" s="35"/>
      <c r="N77" s="15"/>
      <c r="O77" s="88"/>
      <c r="P77" s="25"/>
      <c r="Q77" s="15"/>
      <c r="R77" s="26"/>
      <c r="S77" s="27"/>
      <c r="T77" s="27"/>
      <c r="U77" s="28"/>
      <c r="V77" s="14"/>
      <c r="W77" s="14"/>
      <c r="X77" s="30"/>
      <c r="Y77" s="30"/>
      <c r="Z77" s="64"/>
      <c r="AA77" s="64"/>
      <c r="AB77" s="79"/>
      <c r="AC77" s="12"/>
      <c r="AD77" s="84"/>
      <c r="AE77" s="79"/>
      <c r="AF77" s="68"/>
      <c r="AG77" s="75"/>
      <c r="AH77" s="75"/>
      <c r="AI77" s="81"/>
      <c r="AJ77" s="81"/>
      <c r="AK77" s="81"/>
      <c r="AL77" s="24"/>
      <c r="AM77" s="24"/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56</v>
      </c>
      <c r="H78" s="15"/>
      <c r="I78" s="29" t="s">
        <v>786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80</v>
      </c>
      <c r="R78" s="27" t="s">
        <v>421</v>
      </c>
      <c r="S78" s="27" t="s">
        <v>422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2048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0x00000800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423</v>
      </c>
      <c r="H79" s="15" t="s">
        <v>241</v>
      </c>
      <c r="I79" s="29" t="s">
        <v>787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421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2112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0x00000840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425</v>
      </c>
      <c r="H80" s="15" t="s">
        <v>413</v>
      </c>
      <c r="I80" s="29" t="s">
        <v>788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410</v>
      </c>
      <c r="S80" s="27" t="s">
        <v>239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2116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0x00000844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426</v>
      </c>
      <c r="H81" s="15" t="s">
        <v>571</v>
      </c>
      <c r="I81" s="29" t="s">
        <v>789</v>
      </c>
      <c r="J81" s="15" t="s">
        <v>747</v>
      </c>
      <c r="K81" s="15" t="s">
        <v>52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410</v>
      </c>
      <c r="S81" s="27" t="s">
        <v>422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2120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0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0x00000848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427</v>
      </c>
      <c r="H82" s="15" t="s">
        <v>241</v>
      </c>
      <c r="I82" s="29" t="s">
        <v>790</v>
      </c>
      <c r="J82" s="15" t="s">
        <v>747</v>
      </c>
      <c r="K82" s="15" t="s">
        <v>52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421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2124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0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0x0000084C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428</v>
      </c>
      <c r="H83" s="15" t="s">
        <v>871</v>
      </c>
      <c r="I83" s="29" t="s">
        <v>791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405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2128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0x00000850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429</v>
      </c>
      <c r="I84" s="29" t="s">
        <v>792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410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2176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0x00000880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415</v>
      </c>
      <c r="H85" s="15" t="s">
        <v>429</v>
      </c>
      <c r="I85" s="29" t="s">
        <v>793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422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2180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0x00000884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428</v>
      </c>
      <c r="H86" s="15" t="s">
        <v>430</v>
      </c>
      <c r="I86" s="29" t="s">
        <v>794</v>
      </c>
      <c r="J86" s="15" t="s">
        <v>747</v>
      </c>
      <c r="K86" s="15" t="s">
        <v>264</v>
      </c>
      <c r="L86" s="14">
        <v>32</v>
      </c>
      <c r="M86" s="35">
        <v>0</v>
      </c>
      <c r="N86" s="15" t="s">
        <v>419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2184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6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0x00000888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431</v>
      </c>
      <c r="H87" s="15" t="s">
        <v>416</v>
      </c>
      <c r="I87" s="29" t="s">
        <v>795</v>
      </c>
      <c r="J87" s="15" t="s">
        <v>747</v>
      </c>
      <c r="K87" s="15" t="s">
        <v>264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405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2188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6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0x0000088C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436</v>
      </c>
      <c r="H88" s="15" t="s">
        <v>437</v>
      </c>
      <c r="I88" s="29" t="s">
        <v>645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400</v>
      </c>
      <c r="O88" s="25" t="s">
        <v>420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2192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0x00000890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436</v>
      </c>
      <c r="H89" s="15" t="s">
        <v>438</v>
      </c>
      <c r="I89" s="29" t="s">
        <v>796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419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2196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0x00000894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433</v>
      </c>
      <c r="H90" s="15" t="s">
        <v>420</v>
      </c>
      <c r="I90" s="29" t="s">
        <v>797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402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2200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0x00000898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433</v>
      </c>
      <c r="H91" s="15" t="s">
        <v>424</v>
      </c>
      <c r="I91" s="29" t="s">
        <v>798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400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2204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0x0000089C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418</v>
      </c>
      <c r="H92" s="15" t="s">
        <v>434</v>
      </c>
      <c r="I92" s="29" t="s">
        <v>646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420</v>
      </c>
      <c r="P92" s="25">
        <v>1</v>
      </c>
      <c r="Q92" s="26" t="s">
        <v>81</v>
      </c>
      <c r="R92" s="27" t="s">
        <v>421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2208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0x000008A0</v>
      </c>
    </row>
    <row r="93" spans="2:39" s="6" customFormat="1" x14ac:dyDescent="0.3">
      <c r="B93" s="14">
        <v>0</v>
      </c>
      <c r="C93" s="14" t="s">
        <v>3</v>
      </c>
      <c r="D93" s="14" t="s">
        <v>380</v>
      </c>
      <c r="E93" s="24" t="s">
        <v>17</v>
      </c>
      <c r="F93" s="24"/>
      <c r="G93" s="14" t="s">
        <v>418</v>
      </c>
      <c r="H93" s="15" t="s">
        <v>435</v>
      </c>
      <c r="I93" s="29" t="s">
        <v>799</v>
      </c>
      <c r="J93" s="15" t="s">
        <v>747</v>
      </c>
      <c r="K93" s="15" t="s">
        <v>52</v>
      </c>
      <c r="L93" s="14">
        <v>32</v>
      </c>
      <c r="M93" s="35">
        <v>0</v>
      </c>
      <c r="N93" s="15" t="s">
        <v>419</v>
      </c>
      <c r="O93" s="25" t="s">
        <v>420</v>
      </c>
      <c r="P93" s="25">
        <v>1</v>
      </c>
      <c r="Q93" s="26" t="s">
        <v>81</v>
      </c>
      <c r="R93" s="27" t="s">
        <v>421</v>
      </c>
      <c r="S93" s="27" t="s">
        <v>422</v>
      </c>
      <c r="T93" s="27">
        <v>0</v>
      </c>
      <c r="U93" s="28"/>
      <c r="V93" s="14"/>
      <c r="W93" s="14"/>
      <c r="X93" s="30" t="str">
        <f>IF(Table13[[#This Row],[value Type]]="","",VLOOKUP(Table13[[#This Row],[value Type]],Table2915[],2,FALSE))</f>
        <v>stringin</v>
      </c>
      <c r="Y93" s="30" t="str">
        <f>IF(Table13[[#This Row],[value Type]]="","",VLOOKUP(Table13[[#This Row],[value Type]],Table2915[],3,FALSE))</f>
        <v>asynParamOctet</v>
      </c>
      <c r="Z93" s="64" t="str">
        <f>IF(Table13[[#This Row],[value Type]]="","",VLOOKUP(Table13[[#This Row],[value Type]],Table2915[],4,FALSE))</f>
        <v xml:space="preserve"> </v>
      </c>
      <c r="AA93" s="64" t="str">
        <f>IF(Table13[[#This Row],[value Type]]="","",    IF(Table13[[#This Row],[IP MAX]]="","","@"  )     )</f>
        <v/>
      </c>
      <c r="AB93" s="79" t="str">
        <f>IF(Table13[[#This Row],[value Type]]="","",VLOOKUP(Table13[[#This Row],[value Type]],Table2915[],5,FALSE))</f>
        <v xml:space="preserve"> </v>
      </c>
      <c r="AC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3" s="79">
        <f>IF(Table13[[#This Row],[value Type]]="","",VLOOKUP(Table13[[#This Row],[IP]],Table51117[],2,FALSE))</f>
        <v>4</v>
      </c>
      <c r="AE93" s="79" t="str">
        <f>IF(Table13[[#This Row],[value Type]]="","",    IF(Table13[[#This Row],[IP MAX]]="","0","@"  )     )</f>
        <v>0</v>
      </c>
      <c r="AF93" s="68">
        <f>IF(Table13[[#This Row],[value Type]]="","",VLOOKUP(Table13[[#This Row],[Acc Type]],Table2[],2,FALSE))</f>
        <v>1</v>
      </c>
      <c r="AG93" s="75">
        <f>IF(Table13[[#This Row],[value Type]]="","",4*HEX2DEC(Table13[[#This Row],[Addr'[HEX']]]))</f>
        <v>2212</v>
      </c>
      <c r="AH93" s="75">
        <f>IF(Table13[[#This Row],[value Type]]="","",VLOOKUP(Table13[[#This Row],[AddrTypeI]],Table22[],2,FALSE))</f>
        <v>0</v>
      </c>
      <c r="AI93" s="68">
        <f>IF(Table13[[#This Row],[value Type]]="","",VLOOKUP(Table13[[#This Row],[DataType]],Table351218[],2,FALSE))</f>
        <v>0</v>
      </c>
      <c r="AJ93" s="68">
        <f>IF(Table13[[#This Row],[value Type]]="","",Table13[[#This Row],[DataWidth]])</f>
        <v>32</v>
      </c>
      <c r="AK93" s="68">
        <f>IF(Table13[[#This Row],[value Type]]="","", Table13[[#This Row],[DataOffset]])</f>
        <v>0</v>
      </c>
      <c r="AL93" s="24"/>
      <c r="AM93" s="24" t="str">
        <f>IF(Table13[[#This Row],[value Type]]="","", "0x"&amp;DEC2HEX(Table13[[#This Row],[ADDR_Offset]],8) )</f>
        <v>0x000008A4</v>
      </c>
    </row>
    <row r="94" spans="2:39" s="6" customFormat="1" x14ac:dyDescent="0.3">
      <c r="B94" s="14">
        <v>0</v>
      </c>
      <c r="C94" s="14" t="s">
        <v>3</v>
      </c>
      <c r="D94" s="14" t="s">
        <v>380</v>
      </c>
      <c r="E94" s="24" t="s">
        <v>17</v>
      </c>
      <c r="F94" s="24"/>
      <c r="G94" s="14" t="s">
        <v>432</v>
      </c>
      <c r="H94" s="15"/>
      <c r="I94" s="29" t="s">
        <v>647</v>
      </c>
      <c r="J94" s="15" t="s">
        <v>747</v>
      </c>
      <c r="K94" s="15" t="s">
        <v>52</v>
      </c>
      <c r="L94" s="14">
        <v>32</v>
      </c>
      <c r="M94" s="35">
        <v>0</v>
      </c>
      <c r="N94" s="15" t="s">
        <v>419</v>
      </c>
      <c r="O94" s="25" t="s">
        <v>402</v>
      </c>
      <c r="P94" s="25">
        <v>1</v>
      </c>
      <c r="Q94" s="26" t="s">
        <v>81</v>
      </c>
      <c r="R94" s="27" t="s">
        <v>410</v>
      </c>
      <c r="S94" s="27" t="s">
        <v>422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stringin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2240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0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0x000008C0</v>
      </c>
    </row>
    <row r="95" spans="2:39" s="6" customFormat="1" x14ac:dyDescent="0.3">
      <c r="B95" s="14"/>
      <c r="C95" s="14"/>
      <c r="D95" s="14"/>
      <c r="E95" s="24"/>
      <c r="F95" s="24"/>
      <c r="G95" s="14"/>
      <c r="H95" s="15"/>
      <c r="I95" s="29"/>
      <c r="J95" s="15"/>
      <c r="K95" s="15"/>
      <c r="L95" s="14"/>
      <c r="M95" s="35"/>
      <c r="N95" s="15"/>
      <c r="O95" s="88"/>
      <c r="P95" s="25"/>
      <c r="Q95" s="15"/>
      <c r="R95" s="26"/>
      <c r="S95" s="27"/>
      <c r="T95" s="27"/>
      <c r="U95" s="28"/>
      <c r="V95" s="14"/>
      <c r="W95" s="14"/>
      <c r="X95" s="30"/>
      <c r="Y95" s="30"/>
      <c r="Z95" s="64"/>
      <c r="AA95" s="64"/>
      <c r="AB95" s="79"/>
      <c r="AC95" s="12"/>
      <c r="AD95" s="84"/>
      <c r="AE95" s="79"/>
      <c r="AF95" s="68"/>
      <c r="AG95" s="75"/>
      <c r="AH95" s="75"/>
      <c r="AI95" s="81"/>
      <c r="AJ95" s="81"/>
      <c r="AK95" s="81"/>
      <c r="AL95" s="24"/>
      <c r="AM95" s="24"/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817</v>
      </c>
      <c r="H96" s="15"/>
      <c r="I96" s="29">
        <v>1000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16384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0x00004000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818</v>
      </c>
      <c r="H97" s="15"/>
      <c r="I97" s="29">
        <v>1001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16388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0x00004004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819</v>
      </c>
      <c r="H98" s="15"/>
      <c r="I98" s="29">
        <v>1002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16392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0x00004008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820</v>
      </c>
      <c r="H99" s="15"/>
      <c r="I99" s="29">
        <v>1003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16396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0x0000400C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821</v>
      </c>
      <c r="H100" s="15"/>
      <c r="I100" s="29">
        <v>1004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16400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0x00004010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822</v>
      </c>
      <c r="H101" s="15"/>
      <c r="I101" s="29">
        <v>1005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16404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0x00004014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823</v>
      </c>
      <c r="H102" s="15"/>
      <c r="I102" s="29">
        <v>1006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16408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0x00004018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824</v>
      </c>
      <c r="H103" s="15"/>
      <c r="I103" s="29">
        <v>1010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16448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0x00004040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825</v>
      </c>
      <c r="H104" s="15"/>
      <c r="I104" s="29">
        <v>1011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16452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0x00004044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826</v>
      </c>
      <c r="H105" s="15"/>
      <c r="I105" s="29">
        <v>1012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16456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0x00004048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827</v>
      </c>
      <c r="H106" s="15"/>
      <c r="I106" s="29">
        <v>1013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16460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0x0000404C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828</v>
      </c>
      <c r="H107" s="15"/>
      <c r="I107" s="29">
        <v>1014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16464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0x00004050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829</v>
      </c>
      <c r="H108" s="15"/>
      <c r="I108" s="29">
        <v>1015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16468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0x00004054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830</v>
      </c>
      <c r="H109" s="15"/>
      <c r="I109" s="29">
        <v>1016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16472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0x00004058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831</v>
      </c>
      <c r="H110" s="15"/>
      <c r="I110" s="29">
        <v>1017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16476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0x0000405C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832</v>
      </c>
      <c r="H111" s="15"/>
      <c r="I111" s="29">
        <v>1018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16480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0x00004060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833</v>
      </c>
      <c r="H112" s="15"/>
      <c r="I112" s="29">
        <v>1019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16484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0x00004064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834</v>
      </c>
      <c r="H113" s="15"/>
      <c r="I113" s="29" t="s">
        <v>856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16488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0x00004068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835</v>
      </c>
      <c r="H114" s="15"/>
      <c r="I114" s="29" t="s">
        <v>857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16492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0x0000406C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836</v>
      </c>
      <c r="H115" s="15"/>
      <c r="I115" s="29" t="s">
        <v>858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16496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0x00004070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837</v>
      </c>
      <c r="H116" s="15"/>
      <c r="I116" s="29" t="s">
        <v>859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16500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0x00004074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838</v>
      </c>
      <c r="H117" s="15"/>
      <c r="I117" s="29" t="s">
        <v>860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16504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0x00004078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839</v>
      </c>
      <c r="H118" s="15"/>
      <c r="I118" s="29" t="s">
        <v>861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16508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0x0000407C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840</v>
      </c>
      <c r="H119" s="15"/>
      <c r="I119" s="29">
        <v>1020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16512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0x00004080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841</v>
      </c>
      <c r="H120" s="15"/>
      <c r="I120" s="29">
        <v>1021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16516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0x00004084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842</v>
      </c>
      <c r="H121" s="15"/>
      <c r="I121" s="29">
        <v>1022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16520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0x00004088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843</v>
      </c>
      <c r="H122" s="15"/>
      <c r="I122" s="29">
        <v>1023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16524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0x0000408C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844</v>
      </c>
      <c r="H123" s="15"/>
      <c r="I123" s="29">
        <v>1024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16528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0x00004090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845</v>
      </c>
      <c r="H124" s="15"/>
      <c r="I124" s="29">
        <v>1025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16532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0x00004094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846</v>
      </c>
      <c r="H125" s="15"/>
      <c r="I125" s="29">
        <v>1026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16536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0x00004098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847</v>
      </c>
      <c r="H126" s="15"/>
      <c r="I126" s="29">
        <v>1027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16540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0x0000409C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848</v>
      </c>
      <c r="H127" s="15"/>
      <c r="I127" s="29">
        <v>1028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16544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0x000040A0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849</v>
      </c>
      <c r="H128" s="15"/>
      <c r="I128" s="29">
        <v>1029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16548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0x000040A4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850</v>
      </c>
      <c r="H129" s="15"/>
      <c r="I129" s="29" t="s">
        <v>862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16552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0x000040A8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851</v>
      </c>
      <c r="H130" s="15"/>
      <c r="I130" s="29" t="s">
        <v>863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16556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0x000040AC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852</v>
      </c>
      <c r="H131" s="15"/>
      <c r="I131" s="29" t="s">
        <v>864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16560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0x000040B0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853</v>
      </c>
      <c r="H132" s="15"/>
      <c r="I132" s="29" t="s">
        <v>865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16564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0x000040B4</v>
      </c>
    </row>
    <row r="133" spans="2:39" s="6" customFormat="1" x14ac:dyDescent="0.3">
      <c r="B133" s="14">
        <v>0</v>
      </c>
      <c r="C133" s="14" t="s">
        <v>2</v>
      </c>
      <c r="D133" s="14" t="s">
        <v>380</v>
      </c>
      <c r="E133" s="24" t="s">
        <v>17</v>
      </c>
      <c r="F133" s="24"/>
      <c r="G133" s="14" t="s">
        <v>854</v>
      </c>
      <c r="H133" s="15"/>
      <c r="I133" s="29" t="s">
        <v>866</v>
      </c>
      <c r="J133" s="15" t="s">
        <v>747</v>
      </c>
      <c r="K133" s="15" t="s">
        <v>869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506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stringout</v>
      </c>
      <c r="Y133" s="30" t="str">
        <f>IF(Table13[[#This Row],[value Type]]="","",VLOOKUP(Table13[[#This Row],[value Type]],Table2915[],3,FALSE))</f>
        <v>asynParamOctet</v>
      </c>
      <c r="Z133" s="64" t="str">
        <f>IF(Table13[[#This Row],[value Type]]="","",VLOOKUP(Table13[[#This Row],[value Type]],Table2915[],4,FALSE))</f>
        <v xml:space="preserve"> 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16568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1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0x000040B8</v>
      </c>
    </row>
    <row r="134" spans="2:39" s="6" customFormat="1" x14ac:dyDescent="0.3">
      <c r="B134" s="14">
        <v>0</v>
      </c>
      <c r="C134" s="14" t="s">
        <v>2</v>
      </c>
      <c r="D134" s="14" t="s">
        <v>380</v>
      </c>
      <c r="E134" s="24" t="s">
        <v>17</v>
      </c>
      <c r="F134" s="24"/>
      <c r="G134" s="14" t="s">
        <v>855</v>
      </c>
      <c r="H134" s="15"/>
      <c r="I134" s="29" t="s">
        <v>867</v>
      </c>
      <c r="J134" s="15" t="s">
        <v>747</v>
      </c>
      <c r="K134" s="15" t="s">
        <v>869</v>
      </c>
      <c r="L134" s="14">
        <v>32</v>
      </c>
      <c r="M134" s="35">
        <v>0</v>
      </c>
      <c r="N134" s="15" t="s">
        <v>275</v>
      </c>
      <c r="O134" s="25" t="s">
        <v>96</v>
      </c>
      <c r="P134" s="25">
        <v>1</v>
      </c>
      <c r="Q134" s="26" t="s">
        <v>80</v>
      </c>
      <c r="R134" s="27" t="s">
        <v>93</v>
      </c>
      <c r="S134" s="27" t="s">
        <v>506</v>
      </c>
      <c r="T134" s="27">
        <v>0</v>
      </c>
      <c r="U134" s="28"/>
      <c r="V134" s="14"/>
      <c r="W134" s="14"/>
      <c r="X134" s="30" t="str">
        <f>IF(Table13[[#This Row],[value Type]]="","",VLOOKUP(Table13[[#This Row],[value Type]],Table2915[],2,FALSE))</f>
        <v>stringout</v>
      </c>
      <c r="Y134" s="30" t="str">
        <f>IF(Table13[[#This Row],[value Type]]="","",VLOOKUP(Table13[[#This Row],[value Type]],Table2915[],3,FALSE))</f>
        <v>asynParamOctet</v>
      </c>
      <c r="Z134" s="64" t="str">
        <f>IF(Table13[[#This Row],[value Type]]="","",VLOOKUP(Table13[[#This Row],[value Type]],Table2915[],4,FALSE))</f>
        <v xml:space="preserve"> </v>
      </c>
      <c r="AA134" s="64" t="str">
        <f>IF(Table13[[#This Row],[value Type]]="","",    IF(Table13[[#This Row],[IP MAX]]="","","@"  )     )</f>
        <v/>
      </c>
      <c r="AB134" s="79" t="str">
        <f>IF(Table13[[#This Row],[value Type]]="","",VLOOKUP(Table13[[#This Row],[value Type]],Table2915[],5,FALSE))</f>
        <v xml:space="preserve"> </v>
      </c>
      <c r="AC1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4" s="79">
        <f>IF(Table13[[#This Row],[value Type]]="","",VLOOKUP(Table13[[#This Row],[IP]],Table51117[],2,FALSE))</f>
        <v>4</v>
      </c>
      <c r="AE134" s="79" t="str">
        <f>IF(Table13[[#This Row],[value Type]]="","",    IF(Table13[[#This Row],[IP MAX]]="","0","@"  )     )</f>
        <v>0</v>
      </c>
      <c r="AF134" s="68">
        <f>IF(Table13[[#This Row],[value Type]]="","",VLOOKUP(Table13[[#This Row],[Acc Type]],Table2[],2,FALSE))</f>
        <v>1</v>
      </c>
      <c r="AG134" s="75">
        <f>IF(Table13[[#This Row],[value Type]]="","",4*HEX2DEC(Table13[[#This Row],[Addr'[HEX']]]))</f>
        <v>16572</v>
      </c>
      <c r="AH134" s="75">
        <f>IF(Table13[[#This Row],[value Type]]="","",VLOOKUP(Table13[[#This Row],[AddrTypeI]],Table22[],2,FALSE))</f>
        <v>0</v>
      </c>
      <c r="AI134" s="68">
        <f>IF(Table13[[#This Row],[value Type]]="","",VLOOKUP(Table13[[#This Row],[DataType]],Table351218[],2,FALSE))</f>
        <v>1</v>
      </c>
      <c r="AJ134" s="68">
        <f>IF(Table13[[#This Row],[value Type]]="","",Table13[[#This Row],[DataWidth]])</f>
        <v>32</v>
      </c>
      <c r="AK134" s="68">
        <f>IF(Table13[[#This Row],[value Type]]="","", Table13[[#This Row],[DataOffset]])</f>
        <v>0</v>
      </c>
      <c r="AL134" s="24"/>
      <c r="AM134" s="24" t="str">
        <f>IF(Table13[[#This Row],[value Type]]="","", "0x"&amp;DEC2HEX(Table13[[#This Row],[ADDR_Offset]],8) )</f>
        <v>0x000040BC</v>
      </c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17</v>
      </c>
      <c r="F135" s="24"/>
      <c r="G135" s="14" t="s">
        <v>868</v>
      </c>
      <c r="H135" s="15"/>
      <c r="I135" s="29">
        <v>1030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5" s="79">
        <f>IF(Table13[[#This Row],[value Type]]="","",VLOOKUP(Table13[[#This Row],[IP]],Table51117[],2,FALSE))</f>
        <v>4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16576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0x000040C0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>
        <v>0</v>
      </c>
      <c r="C137" s="14" t="s">
        <v>1</v>
      </c>
      <c r="D137" s="14" t="s">
        <v>380</v>
      </c>
      <c r="E137" s="24" t="s">
        <v>877</v>
      </c>
      <c r="F137" s="24"/>
      <c r="G137" s="14" t="s">
        <v>876</v>
      </c>
      <c r="H137" s="15"/>
      <c r="I137" s="29">
        <v>1100</v>
      </c>
      <c r="J137" s="15" t="s">
        <v>747</v>
      </c>
      <c r="K137" s="15" t="s">
        <v>52</v>
      </c>
      <c r="L137" s="14">
        <v>32</v>
      </c>
      <c r="M137" s="35">
        <v>0</v>
      </c>
      <c r="N137" s="15" t="s">
        <v>275</v>
      </c>
      <c r="O137" s="25" t="s">
        <v>96</v>
      </c>
      <c r="P137" s="25">
        <v>1</v>
      </c>
      <c r="Q137" s="26" t="s">
        <v>80</v>
      </c>
      <c r="R137" s="27" t="s">
        <v>93</v>
      </c>
      <c r="S137" s="27" t="s">
        <v>239</v>
      </c>
      <c r="T137" s="27">
        <v>0</v>
      </c>
      <c r="U137" s="28"/>
      <c r="V137" s="14"/>
      <c r="W137" s="14"/>
      <c r="X137" s="30" t="str">
        <f>IF(Table13[[#This Row],[value Type]]="","",VLOOKUP(Table13[[#This Row],[value Type]],Table2915[],2,FALSE))</f>
        <v>longout</v>
      </c>
      <c r="Y137" s="30" t="str">
        <f>IF(Table13[[#This Row],[value Type]]="","",VLOOKUP(Table13[[#This Row],[value Type]],Table2915[],3,FALSE))</f>
        <v>asynParamInt32</v>
      </c>
      <c r="Z137" s="64" t="str">
        <f>IF(Table13[[#This Row],[value Type]]="","",VLOOKUP(Table13[[#This Row],[value Type]],Table2915[],4,FALSE))</f>
        <v>"asynInt32"</v>
      </c>
      <c r="AA137" s="64" t="str">
        <f>IF(Table13[[#This Row],[value Type]]="","",    IF(Table13[[#This Row],[IP MAX]]="","","@"  )     )</f>
        <v/>
      </c>
      <c r="AB137" s="79" t="str">
        <f>IF(Table13[[#This Row],[value Type]]="","",VLOOKUP(Table13[[#This Row],[value Type]],Table2915[],5,FALSE))</f>
        <v xml:space="preserve"> </v>
      </c>
      <c r="AC1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7" s="79">
        <f>IF(Table13[[#This Row],[value Type]]="","",VLOOKUP(Table13[[#This Row],[IP]],Table51117[],2,FALSE))</f>
        <v>0</v>
      </c>
      <c r="AE137" s="79" t="str">
        <f>IF(Table13[[#This Row],[value Type]]="","",    IF(Table13[[#This Row],[IP MAX]]="","0","@"  )     )</f>
        <v>0</v>
      </c>
      <c r="AF137" s="68">
        <f>IF(Table13[[#This Row],[value Type]]="","",VLOOKUP(Table13[[#This Row],[Acc Type]],Table2[],2,FALSE))</f>
        <v>1</v>
      </c>
      <c r="AG137" s="75">
        <f>IF(Table13[[#This Row],[value Type]]="","",4*HEX2DEC(Table13[[#This Row],[Addr'[HEX']]]))</f>
        <v>17408</v>
      </c>
      <c r="AH137" s="75">
        <f>IF(Table13[[#This Row],[value Type]]="","",VLOOKUP(Table13[[#This Row],[AddrTypeI]],Table22[],2,FALSE))</f>
        <v>0</v>
      </c>
      <c r="AI137" s="68">
        <f>IF(Table13[[#This Row],[value Type]]="","",VLOOKUP(Table13[[#This Row],[DataType]],Table351218[],2,FALSE))</f>
        <v>0</v>
      </c>
      <c r="AJ137" s="68">
        <f>IF(Table13[[#This Row],[value Type]]="","",Table13[[#This Row],[DataWidth]])</f>
        <v>32</v>
      </c>
      <c r="AK137" s="68">
        <f>IF(Table13[[#This Row],[value Type]]="","", Table13[[#This Row],[DataOffset]])</f>
        <v>0</v>
      </c>
      <c r="AL137" s="24"/>
      <c r="AM137" s="24" t="str">
        <f>IF(Table13[[#This Row],[value Type]]="","", "0x"&amp;DEC2HEX(Table13[[#This Row],[ADDR_Offset]],8) )</f>
        <v>0x00004400</v>
      </c>
    </row>
    <row r="138" spans="2:39" s="6" customFormat="1" x14ac:dyDescent="0.3">
      <c r="B138" s="14"/>
      <c r="C138" s="14"/>
      <c r="D138" s="14"/>
      <c r="E138" s="24"/>
      <c r="F138" s="24"/>
      <c r="G138" s="14"/>
      <c r="H138" s="15"/>
      <c r="I138" s="29"/>
      <c r="J138" s="15"/>
      <c r="K138" s="15"/>
      <c r="L138" s="14"/>
      <c r="M138" s="35"/>
      <c r="N138" s="15"/>
      <c r="O138" s="88"/>
      <c r="P138" s="25"/>
      <c r="Q138" s="15"/>
      <c r="R138" s="26"/>
      <c r="S138" s="27"/>
      <c r="T138" s="27"/>
      <c r="U138" s="28"/>
      <c r="V138" s="14"/>
      <c r="W138" s="14"/>
      <c r="X138" s="30"/>
      <c r="Y138" s="30"/>
      <c r="Z138" s="64"/>
      <c r="AA138" s="64"/>
      <c r="AB138" s="79"/>
      <c r="AC138" s="12"/>
      <c r="AD138" s="84"/>
      <c r="AE138" s="79"/>
      <c r="AF138" s="68"/>
      <c r="AG138" s="75"/>
      <c r="AH138" s="75"/>
      <c r="AI138" s="81"/>
      <c r="AJ138" s="81"/>
      <c r="AK138" s="81"/>
      <c r="AL138" s="24"/>
      <c r="AM138" s="24"/>
    </row>
    <row r="139" spans="2:39" s="6" customFormat="1" x14ac:dyDescent="0.3">
      <c r="B139" s="14"/>
      <c r="C139" s="14"/>
      <c r="D139" s="14"/>
      <c r="E139" s="24"/>
      <c r="F139" s="24"/>
      <c r="G139" s="14"/>
      <c r="H139" s="15"/>
      <c r="I139" s="29"/>
      <c r="J139" s="15"/>
      <c r="K139" s="15"/>
      <c r="L139" s="14"/>
      <c r="M139" s="35"/>
      <c r="N139" s="15"/>
      <c r="O139" s="88"/>
      <c r="P139" s="25"/>
      <c r="Q139" s="15"/>
      <c r="R139" s="26"/>
      <c r="S139" s="27"/>
      <c r="T139" s="27"/>
      <c r="U139" s="28"/>
      <c r="V139" s="14"/>
      <c r="W139" s="14"/>
      <c r="X139" s="30"/>
      <c r="Y139" s="30"/>
      <c r="Z139" s="64"/>
      <c r="AA139" s="64"/>
      <c r="AB139" s="79"/>
      <c r="AC139" s="12"/>
      <c r="AD139" s="84"/>
      <c r="AE139" s="79"/>
      <c r="AF139" s="68"/>
      <c r="AG139" s="75"/>
      <c r="AH139" s="75"/>
      <c r="AI139" s="81"/>
      <c r="AJ139" s="81"/>
      <c r="AK139" s="81"/>
      <c r="AL139" s="24"/>
      <c r="AM139" s="24"/>
    </row>
    <row r="140" spans="2:39" s="6" customFormat="1" x14ac:dyDescent="0.3">
      <c r="B140" s="47">
        <v>0</v>
      </c>
      <c r="C140" s="47"/>
      <c r="D140" s="47"/>
      <c r="E140" s="48"/>
      <c r="F140" s="48"/>
      <c r="G140" s="47"/>
      <c r="H140" s="58"/>
      <c r="I140" s="57"/>
      <c r="J140" s="49"/>
      <c r="K140" s="49"/>
      <c r="L140" s="47"/>
      <c r="M140" s="50"/>
      <c r="N140" s="49"/>
      <c r="O140" s="89"/>
      <c r="P140" s="51"/>
      <c r="Q140" s="49"/>
      <c r="R140" s="52"/>
      <c r="S140" s="53"/>
      <c r="T140" s="53"/>
      <c r="U140" s="54"/>
      <c r="V140" s="47"/>
      <c r="W140" s="47"/>
      <c r="X140" s="55" t="str">
        <f>IF(Table13[[#This Row],[value Type]]="","",VLOOKUP(Table13[[#This Row],[value Type]],Table2915[],2,FALSE))</f>
        <v/>
      </c>
      <c r="Y140" s="55" t="str">
        <f>IF(Table13[[#This Row],[value Type]]="","",VLOOKUP(Table13[[#This Row],[value Type]],Table2915[],3,FALSE))</f>
        <v/>
      </c>
      <c r="Z140" s="65" t="str">
        <f>IF(Table13[[#This Row],[value Type]]="","",VLOOKUP(Table13[[#This Row],[value Type]],Table2915[],4,FALSE))</f>
        <v/>
      </c>
      <c r="AA140" s="65" t="str">
        <f>IF(Table13[[#This Row],[value Type]]="","",    IF(Table13[[#This Row],[IP MAX]]="","","@"  )     )</f>
        <v/>
      </c>
      <c r="AB140" s="80" t="str">
        <f>IF(Table13[[#This Row],[value Type]]="","",VLOOKUP(Table13[[#This Row],[value Type]],Table2915[],5,FALSE))</f>
        <v/>
      </c>
      <c r="AC140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0" s="80" t="str">
        <f>IF(Table13[[#This Row],[value Type]]="","",VLOOKUP(Table13[[#This Row],[IP]],Table51117[],2,FALSE))</f>
        <v/>
      </c>
      <c r="AE140" s="80"/>
      <c r="AF140" s="69" t="str">
        <f>IF(Table13[[#This Row],[value Type]]="","",VLOOKUP(Table13[[#This Row],[Acc Type]],Table2[],2,FALSE))</f>
        <v/>
      </c>
      <c r="AG140" s="76" t="str">
        <f>IF(Table13[[#This Row],[value Type]]="","",4*HEX2DEC(Table13[[#This Row],[Addr'[HEX']]]))</f>
        <v/>
      </c>
      <c r="AH140" s="76" t="str">
        <f>IF(Table13[[#This Row],[value Type]]="","",VLOOKUP(Table13[[#This Row],[AddrTypeI]],Table22[],2,FALSE))</f>
        <v/>
      </c>
      <c r="AI140" s="69" t="str">
        <f>IF(Table13[[#This Row],[value Type]]="","",VLOOKUP(Table13[[#This Row],[DataType]],Table351218[],2,FALSE))</f>
        <v/>
      </c>
      <c r="AJ140" s="69" t="str">
        <f>IF(Table13[[#This Row],[value Type]]="","",Table13[[#This Row],[DataWidth]])</f>
        <v/>
      </c>
      <c r="AK140" s="69" t="str">
        <f>IF(Table13[[#This Row],[value Type]]="","", Table13[[#This Row],[DataOffset]])</f>
        <v/>
      </c>
      <c r="AL140" s="48"/>
      <c r="AM140" s="48" t="str">
        <f>IF(Table13[[#This Row],[value Type]]="","", "0x"&amp;DEC2HEX(Table13[[#This Row],[ADDR_Offset]],8) )</f>
        <v/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452</v>
      </c>
      <c r="H141" s="36">
        <v>0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0</v>
      </c>
      <c r="N141" s="15" t="s">
        <v>453</v>
      </c>
      <c r="O141" s="25" t="s">
        <v>454</v>
      </c>
      <c r="P141" s="25">
        <v>1</v>
      </c>
      <c r="Q141" s="26" t="s">
        <v>455</v>
      </c>
      <c r="R141" s="27" t="s">
        <v>277</v>
      </c>
      <c r="S141" s="27" t="s">
        <v>456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0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1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1</v>
      </c>
      <c r="N142" s="15" t="s">
        <v>400</v>
      </c>
      <c r="O142" s="25" t="s">
        <v>96</v>
      </c>
      <c r="P142" s="25">
        <v>1</v>
      </c>
      <c r="Q142" s="26" t="s">
        <v>439</v>
      </c>
      <c r="R142" s="27" t="s">
        <v>410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1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 t="s">
        <v>82</v>
      </c>
      <c r="D143" s="14" t="s">
        <v>388</v>
      </c>
      <c r="E143" s="24" t="s">
        <v>271</v>
      </c>
      <c r="F143" s="24"/>
      <c r="G143" s="14" t="s">
        <v>440</v>
      </c>
      <c r="H143" s="36">
        <v>2</v>
      </c>
      <c r="I143" s="29">
        <v>13</v>
      </c>
      <c r="J143" s="15" t="s">
        <v>747</v>
      </c>
      <c r="K143" s="15" t="s">
        <v>52</v>
      </c>
      <c r="L143" s="14">
        <v>1</v>
      </c>
      <c r="M143" s="35">
        <v>2</v>
      </c>
      <c r="N143" s="15" t="s">
        <v>457</v>
      </c>
      <c r="O143" s="25" t="s">
        <v>454</v>
      </c>
      <c r="P143" s="25">
        <v>1</v>
      </c>
      <c r="Q143" s="26" t="s">
        <v>439</v>
      </c>
      <c r="R143" s="27" t="s">
        <v>410</v>
      </c>
      <c r="S143" s="27" t="s">
        <v>405</v>
      </c>
      <c r="T143" s="27">
        <v>0</v>
      </c>
      <c r="U143" s="28"/>
      <c r="V143" s="14"/>
      <c r="W143" s="14"/>
      <c r="X143" s="30" t="str">
        <f>IF(Table13[[#This Row],[value Type]]="","",VLOOKUP(Table13[[#This Row],[value Type]],Table2915[],2,FALSE))</f>
        <v>longin</v>
      </c>
      <c r="Y143" s="30" t="str">
        <f>IF(Table13[[#This Row],[value Type]]="","",VLOOKUP(Table13[[#This Row],[value Type]],Table2915[],3,FALSE))</f>
        <v>asynParamInt32</v>
      </c>
      <c r="Z143" s="64" t="str">
        <f>IF(Table13[[#This Row],[value Type]]="","",VLOOKUP(Table13[[#This Row],[value Type]],Table2915[],4,FALSE))</f>
        <v>"asynInt32"</v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 xml:space="preserve"> </v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3" s="79">
        <f>IF(Table13[[#This Row],[value Type]]="","",VLOOKUP(Table13[[#This Row],[IP]],Table51117[],2,FALSE))</f>
        <v>5</v>
      </c>
      <c r="AE143" s="79" t="str">
        <f>IF(Table13[[#This Row],[value Type]]="","",    IF(Table13[[#This Row],[IP MAX]]="","0","@"  )     )</f>
        <v>0</v>
      </c>
      <c r="AF143" s="68">
        <f>IF(Table13[[#This Row],[value Type]]="","",VLOOKUP(Table13[[#This Row],[Acc Type]],Table2[],2,FALSE))</f>
        <v>0</v>
      </c>
      <c r="AG143" s="75">
        <f>IF(Table13[[#This Row],[value Type]]="","",4*HEX2DEC(Table13[[#This Row],[Addr'[HEX']]]))</f>
        <v>76</v>
      </c>
      <c r="AH143" s="75">
        <f>IF(Table13[[#This Row],[value Type]]="","",VLOOKUP(Table13[[#This Row],[AddrTypeI]],Table22[],2,FALSE))</f>
        <v>0</v>
      </c>
      <c r="AI143" s="68">
        <f>IF(Table13[[#This Row],[value Type]]="","",VLOOKUP(Table13[[#This Row],[DataType]],Table351218[],2,FALSE))</f>
        <v>0</v>
      </c>
      <c r="AJ143" s="68">
        <f>IF(Table13[[#This Row],[value Type]]="","",Table13[[#This Row],[DataWidth]])</f>
        <v>1</v>
      </c>
      <c r="AK143" s="68">
        <f>IF(Table13[[#This Row],[value Type]]="","", Table13[[#This Row],[DataOffset]])</f>
        <v>2</v>
      </c>
      <c r="AL143" s="24"/>
      <c r="AM143" s="24" t="str">
        <f>IF(Table13[[#This Row],[value Type]]="","", "0x"&amp;DEC2HEX(Table13[[#This Row],[ADDR_Offset]],8) )</f>
        <v>0x0000004C</v>
      </c>
    </row>
    <row r="144" spans="2:39" s="6" customFormat="1" x14ac:dyDescent="0.3">
      <c r="B144" s="14">
        <v>0</v>
      </c>
      <c r="C144" s="14" t="s">
        <v>82</v>
      </c>
      <c r="D144" s="14" t="s">
        <v>388</v>
      </c>
      <c r="E144" s="24" t="s">
        <v>271</v>
      </c>
      <c r="F144" s="24"/>
      <c r="G144" s="14" t="s">
        <v>452</v>
      </c>
      <c r="H144" s="36">
        <v>3</v>
      </c>
      <c r="I144" s="29">
        <v>13</v>
      </c>
      <c r="J144" s="15" t="s">
        <v>747</v>
      </c>
      <c r="K144" s="15" t="s">
        <v>52</v>
      </c>
      <c r="L144" s="14">
        <v>1</v>
      </c>
      <c r="M144" s="35">
        <v>3</v>
      </c>
      <c r="N144" s="15" t="s">
        <v>400</v>
      </c>
      <c r="O144" s="25" t="s">
        <v>454</v>
      </c>
      <c r="P144" s="25">
        <v>1</v>
      </c>
      <c r="Q144" s="26" t="s">
        <v>439</v>
      </c>
      <c r="R144" s="27" t="s">
        <v>277</v>
      </c>
      <c r="S144" s="27" t="s">
        <v>456</v>
      </c>
      <c r="T144" s="27">
        <v>0</v>
      </c>
      <c r="U144" s="28"/>
      <c r="V144" s="14"/>
      <c r="W144" s="14"/>
      <c r="X144" s="30" t="str">
        <f>IF(Table13[[#This Row],[value Type]]="","",VLOOKUP(Table13[[#This Row],[value Type]],Table2915[],2,FALSE))</f>
        <v>longin</v>
      </c>
      <c r="Y144" s="30" t="str">
        <f>IF(Table13[[#This Row],[value Type]]="","",VLOOKUP(Table13[[#This Row],[value Type]],Table2915[],3,FALSE))</f>
        <v>asynParamInt32</v>
      </c>
      <c r="Z144" s="64" t="str">
        <f>IF(Table13[[#This Row],[value Type]]="","",VLOOKUP(Table13[[#This Row],[value Type]],Table2915[],4,FALSE))</f>
        <v>"asynInt32"</v>
      </c>
      <c r="AA144" s="64" t="str">
        <f>IF(Table13[[#This Row],[value Type]]="","",    IF(Table13[[#This Row],[IP MAX]]="","","@"  )     )</f>
        <v/>
      </c>
      <c r="AB144" s="79" t="str">
        <f>IF(Table13[[#This Row],[value Type]]="","",VLOOKUP(Table13[[#This Row],[value Type]],Table2915[],5,FALSE))</f>
        <v xml:space="preserve"> </v>
      </c>
      <c r="AC1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4" s="79">
        <f>IF(Table13[[#This Row],[value Type]]="","",VLOOKUP(Table13[[#This Row],[IP]],Table51117[],2,FALSE))</f>
        <v>5</v>
      </c>
      <c r="AE144" s="79" t="str">
        <f>IF(Table13[[#This Row],[value Type]]="","",    IF(Table13[[#This Row],[IP MAX]]="","0","@"  )     )</f>
        <v>0</v>
      </c>
      <c r="AF144" s="68">
        <f>IF(Table13[[#This Row],[value Type]]="","",VLOOKUP(Table13[[#This Row],[Acc Type]],Table2[],2,FALSE))</f>
        <v>0</v>
      </c>
      <c r="AG144" s="75">
        <f>IF(Table13[[#This Row],[value Type]]="","",4*HEX2DEC(Table13[[#This Row],[Addr'[HEX']]]))</f>
        <v>76</v>
      </c>
      <c r="AH144" s="75">
        <f>IF(Table13[[#This Row],[value Type]]="","",VLOOKUP(Table13[[#This Row],[AddrTypeI]],Table22[],2,FALSE))</f>
        <v>0</v>
      </c>
      <c r="AI144" s="68">
        <f>IF(Table13[[#This Row],[value Type]]="","",VLOOKUP(Table13[[#This Row],[DataType]],Table351218[],2,FALSE))</f>
        <v>0</v>
      </c>
      <c r="AJ144" s="68">
        <f>IF(Table13[[#This Row],[value Type]]="","",Table13[[#This Row],[DataWidth]])</f>
        <v>1</v>
      </c>
      <c r="AK144" s="68">
        <f>IF(Table13[[#This Row],[value Type]]="","", Table13[[#This Row],[DataOffset]])</f>
        <v>3</v>
      </c>
      <c r="AL144" s="24"/>
      <c r="AM144" s="24" t="str">
        <f>IF(Table13[[#This Row],[value Type]]="","", "0x"&amp;DEC2HEX(Table13[[#This Row],[ADDR_Offset]],8) )</f>
        <v>0x0000004C</v>
      </c>
    </row>
    <row r="145" spans="2:39" s="6" customFormat="1" x14ac:dyDescent="0.3">
      <c r="B145" s="14">
        <v>0</v>
      </c>
      <c r="C145" s="14"/>
      <c r="D145" s="14"/>
      <c r="E145" s="24"/>
      <c r="F145" s="24"/>
      <c r="G145" s="14"/>
      <c r="H145" s="15"/>
      <c r="I145" s="29"/>
      <c r="J145" s="15" t="s">
        <v>747</v>
      </c>
      <c r="K145" s="15"/>
      <c r="L145" s="14"/>
      <c r="M145" s="35"/>
      <c r="N145" s="15"/>
      <c r="O145" s="25"/>
      <c r="P145" s="25"/>
      <c r="Q145" s="26"/>
      <c r="R145" s="27"/>
      <c r="S145" s="27"/>
      <c r="T145" s="27"/>
      <c r="U145" s="28"/>
      <c r="V145" s="14"/>
      <c r="W145" s="14"/>
      <c r="X145" s="30" t="str">
        <f>IF(Table13[[#This Row],[value Type]]="","",VLOOKUP(Table13[[#This Row],[value Type]],Table2915[],2,FALSE))</f>
        <v/>
      </c>
      <c r="Y145" s="30" t="str">
        <f>IF(Table13[[#This Row],[value Type]]="","",VLOOKUP(Table13[[#This Row],[value Type]],Table2915[],3,FALSE))</f>
        <v/>
      </c>
      <c r="Z145" s="64" t="str">
        <f>IF(Table13[[#This Row],[value Type]]="","",VLOOKUP(Table13[[#This Row],[value Type]],Table2915[],4,FALSE))</f>
        <v/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/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5" s="79" t="str">
        <f>IF(Table13[[#This Row],[value Type]]="","",VLOOKUP(Table13[[#This Row],[IP]],Table51117[],2,FALSE))</f>
        <v/>
      </c>
      <c r="AE145" s="79" t="str">
        <f>IF(Table13[[#This Row],[value Type]]="","",    IF(Table13[[#This Row],[IP MAX]]="","0","@"  )     )</f>
        <v/>
      </c>
      <c r="AF145" s="68" t="str">
        <f>IF(Table13[[#This Row],[value Type]]="","",VLOOKUP(Table13[[#This Row],[Acc Type]],Table2[],2,FALSE))</f>
        <v/>
      </c>
      <c r="AG145" s="75" t="str">
        <f>IF(Table13[[#This Row],[value Type]]="","",4*HEX2DEC(Table13[[#This Row],[Addr'[HEX']]]))</f>
        <v/>
      </c>
      <c r="AH145" s="75" t="str">
        <f>IF(Table13[[#This Row],[value Type]]="","",VLOOKUP(Table13[[#This Row],[AddrTypeI]],Table22[],2,FALSE))</f>
        <v/>
      </c>
      <c r="AI145" s="68" t="str">
        <f>IF(Table13[[#This Row],[value Type]]="","",VLOOKUP(Table13[[#This Row],[DataType]],Table351218[],2,FALSE))</f>
        <v/>
      </c>
      <c r="AJ145" s="68" t="str">
        <f>IF(Table13[[#This Row],[value Type]]="","",Table13[[#This Row],[DataWidth]])</f>
        <v/>
      </c>
      <c r="AK145" s="68" t="str">
        <f>IF(Table13[[#This Row],[value Type]]="","", Table13[[#This Row],[DataOffset]])</f>
        <v/>
      </c>
      <c r="AL145" s="24"/>
      <c r="AM145" s="24" t="str">
        <f>IF(Table13[[#This Row],[value Type]]="","", "0x"&amp;DEC2HEX(Table13[[#This Row],[ADDR_Offset]],8) )</f>
        <v/>
      </c>
    </row>
    <row r="146" spans="2:39" s="6" customFormat="1" x14ac:dyDescent="0.3">
      <c r="B146" s="14">
        <v>0</v>
      </c>
      <c r="C146" s="14"/>
      <c r="D146" s="14"/>
      <c r="E146" s="24"/>
      <c r="F146" s="24"/>
      <c r="G146" s="14"/>
      <c r="H146" s="36"/>
      <c r="I146" s="29"/>
      <c r="J146" s="15" t="s">
        <v>747</v>
      </c>
      <c r="K146" s="15"/>
      <c r="L146" s="14"/>
      <c r="M146" s="35"/>
      <c r="N146" s="15"/>
      <c r="O146" s="25"/>
      <c r="P146" s="25"/>
      <c r="Q146" s="26"/>
      <c r="R146" s="27"/>
      <c r="S146" s="27"/>
      <c r="T146" s="27"/>
      <c r="U146" s="28"/>
      <c r="V146" s="14"/>
      <c r="W146" s="14"/>
      <c r="X146" s="30"/>
      <c r="Y146" s="30"/>
      <c r="Z146" s="64"/>
      <c r="AA146" s="64"/>
      <c r="AB146" s="79"/>
      <c r="AC146" s="12"/>
      <c r="AD146" s="79"/>
      <c r="AE146" s="79"/>
      <c r="AF146" s="68"/>
      <c r="AG146" s="75"/>
      <c r="AH146" s="75" t="str">
        <f>IF(Table13[[#This Row],[value Type]]="","",VLOOKUP(Table13[[#This Row],[AddrTypeI]],Table22[],2,FALSE))</f>
        <v/>
      </c>
      <c r="AI146" s="68"/>
      <c r="AJ146" s="68"/>
      <c r="AK146" s="68"/>
      <c r="AL146" s="24"/>
      <c r="AM146" s="24"/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745</v>
      </c>
      <c r="H147" s="36">
        <v>1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1</v>
      </c>
      <c r="N147" s="15" t="s">
        <v>400</v>
      </c>
      <c r="O147" s="25" t="s">
        <v>96</v>
      </c>
      <c r="P147" s="25">
        <v>1</v>
      </c>
      <c r="Q147" s="26" t="s">
        <v>80</v>
      </c>
      <c r="R147" s="27" t="s">
        <v>460</v>
      </c>
      <c r="S147" s="27" t="s">
        <v>239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1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 t="s">
        <v>1</v>
      </c>
      <c r="D148" s="14" t="s">
        <v>388</v>
      </c>
      <c r="E148" s="24" t="s">
        <v>271</v>
      </c>
      <c r="F148" s="24"/>
      <c r="G148" s="14" t="s">
        <v>272</v>
      </c>
      <c r="H148" s="36">
        <v>2</v>
      </c>
      <c r="I148" s="29" t="s">
        <v>273</v>
      </c>
      <c r="J148" s="15" t="s">
        <v>747</v>
      </c>
      <c r="K148" s="15" t="s">
        <v>52</v>
      </c>
      <c r="L148" s="14">
        <v>1</v>
      </c>
      <c r="M148" s="35">
        <v>2</v>
      </c>
      <c r="N148" s="15" t="s">
        <v>400</v>
      </c>
      <c r="O148" s="25" t="s">
        <v>459</v>
      </c>
      <c r="P148" s="25">
        <v>1</v>
      </c>
      <c r="Q148" s="26" t="s">
        <v>80</v>
      </c>
      <c r="R148" s="27" t="s">
        <v>460</v>
      </c>
      <c r="S148" s="27" t="s">
        <v>405</v>
      </c>
      <c r="T148" s="27">
        <v>0</v>
      </c>
      <c r="U148" s="28"/>
      <c r="V148" s="14"/>
      <c r="W148" s="14"/>
      <c r="X148" s="30" t="str">
        <f>IF(Table13[[#This Row],[value Type]]="","",VLOOKUP(Table13[[#This Row],[value Type]],Table2915[],2,FALSE))</f>
        <v>longout</v>
      </c>
      <c r="Y148" s="30" t="str">
        <f>IF(Table13[[#This Row],[value Type]]="","",VLOOKUP(Table13[[#This Row],[value Type]],Table2915[],3,FALSE))</f>
        <v>asynParamInt32</v>
      </c>
      <c r="Z148" s="64" t="str">
        <f>IF(Table13[[#This Row],[value Type]]="","",VLOOKUP(Table13[[#This Row],[value Type]],Table2915[],4,FALSE))</f>
        <v>"asynInt32"</v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 xml:space="preserve"> </v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8" s="79">
        <f>IF(Table13[[#This Row],[value Type]]="","",VLOOKUP(Table13[[#This Row],[IP]],Table51117[],2,FALSE))</f>
        <v>5</v>
      </c>
      <c r="AE148" s="79" t="str">
        <f>IF(Table13[[#This Row],[value Type]]="","",    IF(Table13[[#This Row],[IP MAX]]="","0","@"  )     )</f>
        <v>0</v>
      </c>
      <c r="AF148" s="68">
        <f>IF(Table13[[#This Row],[value Type]]="","",VLOOKUP(Table13[[#This Row],[Acc Type]],Table2[],2,FALSE))</f>
        <v>0</v>
      </c>
      <c r="AG148" s="75">
        <f>IF(Table13[[#This Row],[value Type]]="","",4*HEX2DEC(Table13[[#This Row],[Addr'[HEX']]]))</f>
        <v>236</v>
      </c>
      <c r="AH148" s="75">
        <f>IF(Table13[[#This Row],[value Type]]="","",VLOOKUP(Table13[[#This Row],[AddrTypeI]],Table22[],2,FALSE))</f>
        <v>0</v>
      </c>
      <c r="AI148" s="68">
        <f>IF(Table13[[#This Row],[value Type]]="","",VLOOKUP(Table13[[#This Row],[DataType]],Table351218[],2,FALSE))</f>
        <v>0</v>
      </c>
      <c r="AJ148" s="68">
        <f>IF(Table13[[#This Row],[value Type]]="","",Table13[[#This Row],[DataWidth]])</f>
        <v>1</v>
      </c>
      <c r="AK148" s="68">
        <f>IF(Table13[[#This Row],[value Type]]="","", Table13[[#This Row],[DataOffset]])</f>
        <v>2</v>
      </c>
      <c r="AL148" s="24"/>
      <c r="AM148" s="24" t="str">
        <f>IF(Table13[[#This Row],[value Type]]="","", "0x"&amp;DEC2HEX(Table13[[#This Row],[ADDR_Offset]],8) )</f>
        <v>0x000000EC</v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272</v>
      </c>
      <c r="H149" s="36">
        <v>3</v>
      </c>
      <c r="I149" s="29" t="s">
        <v>273</v>
      </c>
      <c r="J149" s="15" t="s">
        <v>747</v>
      </c>
      <c r="K149" s="15" t="s">
        <v>52</v>
      </c>
      <c r="L149" s="14">
        <v>1</v>
      </c>
      <c r="M149" s="35">
        <v>3</v>
      </c>
      <c r="N149" s="15" t="s">
        <v>400</v>
      </c>
      <c r="O149" s="25" t="s">
        <v>454</v>
      </c>
      <c r="P149" s="25">
        <v>1</v>
      </c>
      <c r="Q149" s="26" t="s">
        <v>80</v>
      </c>
      <c r="R149" s="27" t="s">
        <v>461</v>
      </c>
      <c r="S149" s="27" t="s">
        <v>405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236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3</v>
      </c>
      <c r="AL149" s="24"/>
      <c r="AM149" s="24" t="str">
        <f>IF(Table13[[#This Row],[value Type]]="","", "0x"&amp;DEC2HEX(Table13[[#This Row],[ADDR_Offset]],8) )</f>
        <v>0x000000EC</v>
      </c>
    </row>
    <row r="150" spans="2:39" s="6" customFormat="1" x14ac:dyDescent="0.3">
      <c r="B150" s="14">
        <v>0</v>
      </c>
      <c r="C150" s="14"/>
      <c r="D150" s="14"/>
      <c r="E150" s="24"/>
      <c r="F150" s="24"/>
      <c r="G150" s="14"/>
      <c r="H150" s="15"/>
      <c r="I150" s="29"/>
      <c r="J150" s="15" t="s">
        <v>747</v>
      </c>
      <c r="K150" s="15"/>
      <c r="L150" s="14"/>
      <c r="M150" s="35"/>
      <c r="N150" s="15"/>
      <c r="O150" s="25"/>
      <c r="P150" s="25"/>
      <c r="Q150" s="15"/>
      <c r="R150" s="26"/>
      <c r="S150" s="27"/>
      <c r="T150" s="27"/>
      <c r="U150" s="28"/>
      <c r="V150" s="14"/>
      <c r="W150" s="14"/>
      <c r="X150" s="30" t="str">
        <f>IF(Table13[[#This Row],[value Type]]="","",VLOOKUP(Table13[[#This Row],[value Type]],Table2915[],2,FALSE))</f>
        <v/>
      </c>
      <c r="Y150" s="30" t="str">
        <f>IF(Table13[[#This Row],[value Type]]="","",VLOOKUP(Table13[[#This Row],[value Type]],Table2915[],3,FALSE))</f>
        <v/>
      </c>
      <c r="Z150" s="64" t="str">
        <f>IF(Table13[[#This Row],[value Type]]="","",VLOOKUP(Table13[[#This Row],[value Type]],Table2915[],4,FALSE))</f>
        <v/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/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0" s="79" t="str">
        <f>IF(Table13[[#This Row],[value Type]]="","",VLOOKUP(Table13[[#This Row],[IP]],Table51117[],2,FALSE))</f>
        <v/>
      </c>
      <c r="AE150" s="79" t="str">
        <f>IF(Table13[[#This Row],[value Type]]="","",    IF(Table13[[#This Row],[IP MAX]]="","0","@"  )     )</f>
        <v/>
      </c>
      <c r="AF150" s="68" t="str">
        <f>IF(Table13[[#This Row],[value Type]]="","",VLOOKUP(Table13[[#This Row],[Acc Type]],Table2[],2,FALSE))</f>
        <v/>
      </c>
      <c r="AG150" s="75" t="str">
        <f>IF(Table13[[#This Row],[value Type]]="","",4*HEX2DEC(Table13[[#This Row],[Addr'[HEX']]]))</f>
        <v/>
      </c>
      <c r="AH150" s="75" t="str">
        <f>IF(Table13[[#This Row],[value Type]]="","",VLOOKUP(Table13[[#This Row],[AddrTypeI]],Table22[],2,FALSE))</f>
        <v/>
      </c>
      <c r="AI150" s="68" t="str">
        <f>IF(Table13[[#This Row],[value Type]]="","",VLOOKUP(Table13[[#This Row],[DataType]],Table351218[],2,FALSE))</f>
        <v/>
      </c>
      <c r="AJ150" s="68" t="str">
        <f>IF(Table13[[#This Row],[value Type]]="","",Table13[[#This Row],[DataWidth]])</f>
        <v/>
      </c>
      <c r="AK150" s="68" t="str">
        <f>IF(Table13[[#This Row],[value Type]]="","", Table13[[#This Row],[DataOffset]])</f>
        <v/>
      </c>
      <c r="AL150" s="24"/>
      <c r="AM150" s="24" t="str">
        <f>IF(Table13[[#This Row],[value Type]]="","", "0x"&amp;DEC2HEX(Table13[[#This Row],[ADDR_Offset]],8) )</f>
        <v/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441</v>
      </c>
      <c r="H151" s="36">
        <v>0</v>
      </c>
      <c r="I151" s="29" t="s">
        <v>462</v>
      </c>
      <c r="J151" s="15" t="s">
        <v>747</v>
      </c>
      <c r="K151" s="15" t="s">
        <v>52</v>
      </c>
      <c r="L151" s="14">
        <v>1</v>
      </c>
      <c r="M151" s="35">
        <v>0</v>
      </c>
      <c r="N151" s="15" t="s">
        <v>275</v>
      </c>
      <c r="O151" s="25" t="s">
        <v>454</v>
      </c>
      <c r="P151" s="25">
        <v>1</v>
      </c>
      <c r="Q151" s="26" t="s">
        <v>80</v>
      </c>
      <c r="R151" s="27" t="s">
        <v>277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0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1</v>
      </c>
      <c r="I152" s="29" t="s">
        <v>462</v>
      </c>
      <c r="J152" s="15" t="s">
        <v>747</v>
      </c>
      <c r="K152" s="15" t="s">
        <v>52</v>
      </c>
      <c r="L152" s="14">
        <v>1</v>
      </c>
      <c r="M152" s="35">
        <v>1</v>
      </c>
      <c r="N152" s="15" t="s">
        <v>463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1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 t="s">
        <v>1</v>
      </c>
      <c r="D153" s="14" t="s">
        <v>388</v>
      </c>
      <c r="E153" s="24" t="s">
        <v>271</v>
      </c>
      <c r="F153" s="24"/>
      <c r="G153" s="14" t="s">
        <v>464</v>
      </c>
      <c r="H153" s="36">
        <v>2</v>
      </c>
      <c r="I153" s="29" t="s">
        <v>442</v>
      </c>
      <c r="J153" s="15" t="s">
        <v>747</v>
      </c>
      <c r="K153" s="15" t="s">
        <v>52</v>
      </c>
      <c r="L153" s="14">
        <v>1</v>
      </c>
      <c r="M153" s="35">
        <v>2</v>
      </c>
      <c r="N153" s="15" t="s">
        <v>457</v>
      </c>
      <c r="O153" s="25" t="s">
        <v>454</v>
      </c>
      <c r="P153" s="25">
        <v>1</v>
      </c>
      <c r="Q153" s="26" t="s">
        <v>80</v>
      </c>
      <c r="R153" s="27" t="s">
        <v>461</v>
      </c>
      <c r="S153" s="27" t="s">
        <v>239</v>
      </c>
      <c r="T153" s="27">
        <v>0</v>
      </c>
      <c r="U153" s="28"/>
      <c r="V153" s="14"/>
      <c r="W153" s="14"/>
      <c r="X153" s="30" t="str">
        <f>IF(Table13[[#This Row],[value Type]]="","",VLOOKUP(Table13[[#This Row],[value Type]],Table2915[],2,FALSE))</f>
        <v>longout</v>
      </c>
      <c r="Y153" s="30" t="str">
        <f>IF(Table13[[#This Row],[value Type]]="","",VLOOKUP(Table13[[#This Row],[value Type]],Table2915[],3,FALSE))</f>
        <v>asynParamInt32</v>
      </c>
      <c r="Z153" s="64" t="str">
        <f>IF(Table13[[#This Row],[value Type]]="","",VLOOKUP(Table13[[#This Row],[value Type]],Table2915[],4,FALSE))</f>
        <v>"asynInt32"</v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 xml:space="preserve"> </v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3" s="79">
        <f>IF(Table13[[#This Row],[value Type]]="","",VLOOKUP(Table13[[#This Row],[IP]],Table51117[],2,FALSE))</f>
        <v>5</v>
      </c>
      <c r="AE153" s="79" t="str">
        <f>IF(Table13[[#This Row],[value Type]]="","",    IF(Table13[[#This Row],[IP MAX]]="","0","@"  )     )</f>
        <v>0</v>
      </c>
      <c r="AF153" s="68">
        <f>IF(Table13[[#This Row],[value Type]]="","",VLOOKUP(Table13[[#This Row],[Acc Type]],Table2[],2,FALSE))</f>
        <v>0</v>
      </c>
      <c r="AG153" s="75">
        <f>IF(Table13[[#This Row],[value Type]]="","",4*HEX2DEC(Table13[[#This Row],[Addr'[HEX']]]))</f>
        <v>232</v>
      </c>
      <c r="AH153" s="75">
        <f>IF(Table13[[#This Row],[value Type]]="","",VLOOKUP(Table13[[#This Row],[AddrTypeI]],Table22[],2,FALSE))</f>
        <v>0</v>
      </c>
      <c r="AI153" s="68">
        <f>IF(Table13[[#This Row],[value Type]]="","",VLOOKUP(Table13[[#This Row],[DataType]],Table351218[],2,FALSE))</f>
        <v>0</v>
      </c>
      <c r="AJ153" s="68">
        <f>IF(Table13[[#This Row],[value Type]]="","",Table13[[#This Row],[DataWidth]])</f>
        <v>1</v>
      </c>
      <c r="AK153" s="68">
        <f>IF(Table13[[#This Row],[value Type]]="","", Table13[[#This Row],[DataOffset]])</f>
        <v>2</v>
      </c>
      <c r="AL153" s="24"/>
      <c r="AM153" s="24" t="str">
        <f>IF(Table13[[#This Row],[value Type]]="","", "0x"&amp;DEC2HEX(Table13[[#This Row],[ADDR_Offset]],8) )</f>
        <v>0x000000E8</v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441</v>
      </c>
      <c r="H154" s="36">
        <v>3</v>
      </c>
      <c r="I154" s="29" t="s">
        <v>442</v>
      </c>
      <c r="J154" s="15" t="s">
        <v>747</v>
      </c>
      <c r="K154" s="15" t="s">
        <v>52</v>
      </c>
      <c r="L154" s="14">
        <v>1</v>
      </c>
      <c r="M154" s="35">
        <v>3</v>
      </c>
      <c r="N154" s="15" t="s">
        <v>457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239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232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3</v>
      </c>
      <c r="AL154" s="24"/>
      <c r="AM154" s="24" t="str">
        <f>IF(Table13[[#This Row],[value Type]]="","", "0x"&amp;DEC2HEX(Table13[[#This Row],[ADDR_Offset]],8) )</f>
        <v>0x000000E8</v>
      </c>
    </row>
    <row r="155" spans="2:39" s="6" customFormat="1" x14ac:dyDescent="0.3">
      <c r="B155" s="14">
        <v>0</v>
      </c>
      <c r="C155" s="14"/>
      <c r="D155" s="14"/>
      <c r="E155" s="24"/>
      <c r="F155" s="24"/>
      <c r="G155" s="14"/>
      <c r="H155" s="15"/>
      <c r="I155" s="29"/>
      <c r="J155" s="15" t="s">
        <v>747</v>
      </c>
      <c r="K155" s="15"/>
      <c r="L155" s="14"/>
      <c r="M155" s="35"/>
      <c r="N155" s="15"/>
      <c r="O155" s="25"/>
      <c r="P155" s="25"/>
      <c r="Q155" s="15"/>
      <c r="R155" s="26"/>
      <c r="S155" s="27"/>
      <c r="T155" s="27"/>
      <c r="U155" s="28"/>
      <c r="V155" s="14"/>
      <c r="W155" s="14"/>
      <c r="X155" s="30" t="str">
        <f>IF(Table13[[#This Row],[value Type]]="","",VLOOKUP(Table13[[#This Row],[value Type]],Table2915[],2,FALSE))</f>
        <v/>
      </c>
      <c r="Y155" s="30" t="str">
        <f>IF(Table13[[#This Row],[value Type]]="","",VLOOKUP(Table13[[#This Row],[value Type]],Table2915[],3,FALSE))</f>
        <v/>
      </c>
      <c r="Z155" s="64" t="str">
        <f>IF(Table13[[#This Row],[value Type]]="","",VLOOKUP(Table13[[#This Row],[value Type]],Table2915[],4,FALSE))</f>
        <v/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/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5" s="79" t="str">
        <f>IF(Table13[[#This Row],[value Type]]="","",VLOOKUP(Table13[[#This Row],[IP]],Table51117[],2,FALSE))</f>
        <v/>
      </c>
      <c r="AE155" s="79" t="str">
        <f>IF(Table13[[#This Row],[value Type]]="","",    IF(Table13[[#This Row],[IP MAX]]="","0","@"  )     )</f>
        <v/>
      </c>
      <c r="AF155" s="68" t="str">
        <f>IF(Table13[[#This Row],[value Type]]="","",VLOOKUP(Table13[[#This Row],[Acc Type]],Table2[],2,FALSE))</f>
        <v/>
      </c>
      <c r="AG155" s="75" t="str">
        <f>IF(Table13[[#This Row],[value Type]]="","",4*HEX2DEC(Table13[[#This Row],[Addr'[HEX']]]))</f>
        <v/>
      </c>
      <c r="AH155" s="75" t="str">
        <f>IF(Table13[[#This Row],[value Type]]="","",VLOOKUP(Table13[[#This Row],[AddrTypeI]],Table22[],2,FALSE))</f>
        <v/>
      </c>
      <c r="AI155" s="68" t="str">
        <f>IF(Table13[[#This Row],[value Type]]="","",VLOOKUP(Table13[[#This Row],[DataType]],Table351218[],2,FALSE))</f>
        <v/>
      </c>
      <c r="AJ155" s="68" t="str">
        <f>IF(Table13[[#This Row],[value Type]]="","",Table13[[#This Row],[DataWidth]])</f>
        <v/>
      </c>
      <c r="AK155" s="68" t="str">
        <f>IF(Table13[[#This Row],[value Type]]="","", Table13[[#This Row],[DataOffset]])</f>
        <v/>
      </c>
      <c r="AL155" s="24"/>
      <c r="AM155" s="24" t="str">
        <f>IF(Table13[[#This Row],[value Type]]="","", "0x"&amp;DEC2HEX(Table13[[#This Row],[ADDR_Offset]],8) )</f>
        <v/>
      </c>
    </row>
    <row r="156" spans="2:39" s="6" customFormat="1" x14ac:dyDescent="0.3">
      <c r="B156" s="14">
        <v>0</v>
      </c>
      <c r="C156" s="14" t="s">
        <v>1</v>
      </c>
      <c r="D156" s="14" t="s">
        <v>388</v>
      </c>
      <c r="E156" s="24" t="s">
        <v>271</v>
      </c>
      <c r="F156" s="24"/>
      <c r="G156" s="14" t="s">
        <v>443</v>
      </c>
      <c r="H156" s="36">
        <v>0</v>
      </c>
      <c r="I156" s="29">
        <v>32</v>
      </c>
      <c r="J156" s="15" t="s">
        <v>747</v>
      </c>
      <c r="K156" s="15" t="s">
        <v>52</v>
      </c>
      <c r="L156" s="14">
        <v>1</v>
      </c>
      <c r="M156" s="35">
        <v>0</v>
      </c>
      <c r="N156" s="15" t="s">
        <v>400</v>
      </c>
      <c r="O156" s="25" t="s">
        <v>402</v>
      </c>
      <c r="P156" s="25">
        <v>1</v>
      </c>
      <c r="Q156" s="26" t="s">
        <v>80</v>
      </c>
      <c r="R156" s="27" t="s">
        <v>410</v>
      </c>
      <c r="S156" s="27" t="s">
        <v>405</v>
      </c>
      <c r="T156" s="27">
        <v>0</v>
      </c>
      <c r="U156" s="28"/>
      <c r="V156" s="14"/>
      <c r="W156" s="14"/>
      <c r="X156" s="30" t="str">
        <f>IF(Table13[[#This Row],[value Type]]="","",VLOOKUP(Table13[[#This Row],[value Type]],Table2915[],2,FALSE))</f>
        <v>longout</v>
      </c>
      <c r="Y156" s="30" t="str">
        <f>IF(Table13[[#This Row],[value Type]]="","",VLOOKUP(Table13[[#This Row],[value Type]],Table2915[],3,FALSE))</f>
        <v>asynParamInt32</v>
      </c>
      <c r="Z156" s="64" t="str">
        <f>IF(Table13[[#This Row],[value Type]]="","",VLOOKUP(Table13[[#This Row],[value Type]],Table2915[],4,FALSE))</f>
        <v>"asynInt32"</v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 xml:space="preserve"> </v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6" s="79">
        <f>IF(Table13[[#This Row],[value Type]]="","",VLOOKUP(Table13[[#This Row],[IP]],Table51117[],2,FALSE))</f>
        <v>5</v>
      </c>
      <c r="AE156" s="79" t="str">
        <f>IF(Table13[[#This Row],[value Type]]="","",    IF(Table13[[#This Row],[IP MAX]]="","0","@"  )     )</f>
        <v>0</v>
      </c>
      <c r="AF156" s="68">
        <f>IF(Table13[[#This Row],[value Type]]="","",VLOOKUP(Table13[[#This Row],[Acc Type]],Table2[],2,FALSE))</f>
        <v>0</v>
      </c>
      <c r="AG156" s="75">
        <f>IF(Table13[[#This Row],[value Type]]="","",4*HEX2DEC(Table13[[#This Row],[Addr'[HEX']]]))</f>
        <v>200</v>
      </c>
      <c r="AH156" s="75">
        <f>IF(Table13[[#This Row],[value Type]]="","",VLOOKUP(Table13[[#This Row],[AddrTypeI]],Table22[],2,FALSE))</f>
        <v>0</v>
      </c>
      <c r="AI156" s="68">
        <f>IF(Table13[[#This Row],[value Type]]="","",VLOOKUP(Table13[[#This Row],[DataType]],Table351218[],2,FALSE))</f>
        <v>0</v>
      </c>
      <c r="AJ156" s="68">
        <f>IF(Table13[[#This Row],[value Type]]="","",Table13[[#This Row],[DataWidth]])</f>
        <v>1</v>
      </c>
      <c r="AK156" s="68">
        <f>IF(Table13[[#This Row],[value Type]]="","", Table13[[#This Row],[DataOffset]])</f>
        <v>0</v>
      </c>
      <c r="AL156" s="24"/>
      <c r="AM156" s="24" t="str">
        <f>IF(Table13[[#This Row],[value Type]]="","", "0x"&amp;DEC2HEX(Table13[[#This Row],[ADDR_Offset]],8) )</f>
        <v>0x000000C8</v>
      </c>
    </row>
    <row r="157" spans="2:39" s="6" customFormat="1" x14ac:dyDescent="0.3">
      <c r="B157" s="14">
        <v>0</v>
      </c>
      <c r="C157" s="14" t="s">
        <v>1</v>
      </c>
      <c r="D157" s="14" t="s">
        <v>388</v>
      </c>
      <c r="E157" s="24" t="s">
        <v>271</v>
      </c>
      <c r="F157" s="24"/>
      <c r="G157" s="14" t="s">
        <v>443</v>
      </c>
      <c r="H157" s="36">
        <v>1</v>
      </c>
      <c r="I157" s="29">
        <v>32</v>
      </c>
      <c r="J157" s="15" t="s">
        <v>747</v>
      </c>
      <c r="K157" s="15" t="s">
        <v>52</v>
      </c>
      <c r="L157" s="14">
        <v>1</v>
      </c>
      <c r="M157" s="35">
        <v>1</v>
      </c>
      <c r="N157" s="15" t="s">
        <v>400</v>
      </c>
      <c r="O157" s="25" t="s">
        <v>402</v>
      </c>
      <c r="P157" s="25">
        <v>1</v>
      </c>
      <c r="Q157" s="26" t="s">
        <v>80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longout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200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1</v>
      </c>
      <c r="AL157" s="24"/>
      <c r="AM157" s="24" t="str">
        <f>IF(Table13[[#This Row],[value Type]]="","", "0x"&amp;DEC2HEX(Table13[[#This Row],[ADDR_Offset]],8) )</f>
        <v>0x000000C8</v>
      </c>
    </row>
    <row r="158" spans="2:39" s="6" customFormat="1" x14ac:dyDescent="0.3">
      <c r="B158" s="14">
        <v>0</v>
      </c>
      <c r="C158" s="14"/>
      <c r="D158" s="14"/>
      <c r="E158" s="24"/>
      <c r="F158" s="24"/>
      <c r="G158" s="14"/>
      <c r="H158" s="15"/>
      <c r="I158" s="29"/>
      <c r="J158" s="15" t="s">
        <v>747</v>
      </c>
      <c r="K158" s="15"/>
      <c r="L158" s="14"/>
      <c r="M158" s="35"/>
      <c r="N158" s="15"/>
      <c r="O158" s="25"/>
      <c r="P158" s="25"/>
      <c r="Q158" s="15"/>
      <c r="R158" s="26"/>
      <c r="S158" s="27"/>
      <c r="T158" s="27"/>
      <c r="U158" s="28"/>
      <c r="V158" s="14"/>
      <c r="W158" s="14"/>
      <c r="X158" s="30" t="str">
        <f>IF(Table13[[#This Row],[value Type]]="","",VLOOKUP(Table13[[#This Row],[value Type]],Table2915[],2,FALSE))</f>
        <v/>
      </c>
      <c r="Y158" s="30" t="str">
        <f>IF(Table13[[#This Row],[value Type]]="","",VLOOKUP(Table13[[#This Row],[value Type]],Table2915[],3,FALSE))</f>
        <v/>
      </c>
      <c r="Z158" s="64" t="str">
        <f>IF(Table13[[#This Row],[value Type]]="","",VLOOKUP(Table13[[#This Row],[value Type]],Table2915[],4,FALSE))</f>
        <v/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/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8" s="79" t="str">
        <f>IF(Table13[[#This Row],[value Type]]="","",VLOOKUP(Table13[[#This Row],[IP]],Table51117[],2,FALSE))</f>
        <v/>
      </c>
      <c r="AE158" s="79" t="str">
        <f>IF(Table13[[#This Row],[value Type]]="","",    IF(Table13[[#This Row],[IP MAX]]="","0","@"  )     )</f>
        <v/>
      </c>
      <c r="AF158" s="68" t="str">
        <f>IF(Table13[[#This Row],[value Type]]="","",VLOOKUP(Table13[[#This Row],[Acc Type]],Table2[],2,FALSE))</f>
        <v/>
      </c>
      <c r="AG158" s="75" t="str">
        <f>IF(Table13[[#This Row],[value Type]]="","",4*HEX2DEC(Table13[[#This Row],[Addr'[HEX']]]))</f>
        <v/>
      </c>
      <c r="AH158" s="75" t="str">
        <f>IF(Table13[[#This Row],[value Type]]="","",VLOOKUP(Table13[[#This Row],[AddrTypeI]],Table22[],2,FALSE))</f>
        <v/>
      </c>
      <c r="AI158" s="68" t="str">
        <f>IF(Table13[[#This Row],[value Type]]="","",VLOOKUP(Table13[[#This Row],[DataType]],Table351218[],2,FALSE))</f>
        <v/>
      </c>
      <c r="AJ158" s="68" t="str">
        <f>IF(Table13[[#This Row],[value Type]]="","",Table13[[#This Row],[DataWidth]])</f>
        <v/>
      </c>
      <c r="AK158" s="68" t="str">
        <f>IF(Table13[[#This Row],[value Type]]="","", Table13[[#This Row],[DataOffset]])</f>
        <v/>
      </c>
      <c r="AL158" s="24"/>
      <c r="AM158" s="24" t="str">
        <f>IF(Table13[[#This Row],[value Type]]="","", "0x"&amp;DEC2HEX(Table13[[#This Row],[ADDR_Offset]],8) )</f>
        <v/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444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8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8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 t="s">
        <v>82</v>
      </c>
      <c r="D160" s="14" t="s">
        <v>388</v>
      </c>
      <c r="E160" s="24" t="s">
        <v>271</v>
      </c>
      <c r="F160" s="24"/>
      <c r="G160" s="14" t="s">
        <v>446</v>
      </c>
      <c r="H160" s="36"/>
      <c r="I160" s="29">
        <v>12</v>
      </c>
      <c r="J160" s="15" t="s">
        <v>747</v>
      </c>
      <c r="K160" s="15" t="s">
        <v>52</v>
      </c>
      <c r="L160" s="14">
        <v>1</v>
      </c>
      <c r="M160" s="35">
        <v>4</v>
      </c>
      <c r="N160" s="15" t="s">
        <v>400</v>
      </c>
      <c r="O160" s="25" t="s">
        <v>402</v>
      </c>
      <c r="P160" s="25">
        <v>1</v>
      </c>
      <c r="Q160" s="26" t="s">
        <v>445</v>
      </c>
      <c r="R160" s="27" t="s">
        <v>410</v>
      </c>
      <c r="S160" s="27" t="s">
        <v>405</v>
      </c>
      <c r="T160" s="27">
        <v>0</v>
      </c>
      <c r="U160" s="28"/>
      <c r="V160" s="14"/>
      <c r="W160" s="14"/>
      <c r="X160" s="30" t="str">
        <f>IF(Table13[[#This Row],[value Type]]="","",VLOOKUP(Table13[[#This Row],[value Type]],Table2915[],2,FALSE))</f>
        <v>longin</v>
      </c>
      <c r="Y160" s="30" t="str">
        <f>IF(Table13[[#This Row],[value Type]]="","",VLOOKUP(Table13[[#This Row],[value Type]],Table2915[],3,FALSE))</f>
        <v>asynParamInt32</v>
      </c>
      <c r="Z160" s="64" t="str">
        <f>IF(Table13[[#This Row],[value Type]]="","",VLOOKUP(Table13[[#This Row],[value Type]],Table2915[],4,FALSE))</f>
        <v>"asynInt32"</v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 xml:space="preserve"> </v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60" s="79">
        <f>IF(Table13[[#This Row],[value Type]]="","",VLOOKUP(Table13[[#This Row],[IP]],Table51117[],2,FALSE))</f>
        <v>5</v>
      </c>
      <c r="AE160" s="79" t="str">
        <f>IF(Table13[[#This Row],[value Type]]="","",    IF(Table13[[#This Row],[IP MAX]]="","0","@"  )     )</f>
        <v>0</v>
      </c>
      <c r="AF160" s="68">
        <f>IF(Table13[[#This Row],[value Type]]="","",VLOOKUP(Table13[[#This Row],[Acc Type]],Table2[],2,FALSE))</f>
        <v>0</v>
      </c>
      <c r="AG160" s="75">
        <f>IF(Table13[[#This Row],[value Type]]="","",4*HEX2DEC(Table13[[#This Row],[Addr'[HEX']]]))</f>
        <v>72</v>
      </c>
      <c r="AH160" s="75">
        <f>IF(Table13[[#This Row],[value Type]]="","",VLOOKUP(Table13[[#This Row],[AddrTypeI]],Table22[],2,FALSE))</f>
        <v>0</v>
      </c>
      <c r="AI160" s="68">
        <f>IF(Table13[[#This Row],[value Type]]="","",VLOOKUP(Table13[[#This Row],[DataType]],Table351218[],2,FALSE))</f>
        <v>0</v>
      </c>
      <c r="AJ160" s="68">
        <f>IF(Table13[[#This Row],[value Type]]="","",Table13[[#This Row],[DataWidth]])</f>
        <v>1</v>
      </c>
      <c r="AK160" s="68">
        <f>IF(Table13[[#This Row],[value Type]]="","", Table13[[#This Row],[DataOffset]])</f>
        <v>4</v>
      </c>
      <c r="AL160" s="24"/>
      <c r="AM160" s="24" t="str">
        <f>IF(Table13[[#This Row],[value Type]]="","", "0x"&amp;DEC2HEX(Table13[[#This Row],[ADDR_Offset]],8) )</f>
        <v>0x00000048</v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465</v>
      </c>
      <c r="H161" s="36"/>
      <c r="I161" s="29">
        <v>12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402</v>
      </c>
      <c r="P161" s="25">
        <v>1</v>
      </c>
      <c r="Q161" s="26" t="s">
        <v>445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72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0x00000048</v>
      </c>
    </row>
    <row r="162" spans="2:39" s="6" customFormat="1" x14ac:dyDescent="0.3">
      <c r="B162" s="14">
        <v>0</v>
      </c>
      <c r="C162" s="14"/>
      <c r="D162" s="14"/>
      <c r="E162" s="24"/>
      <c r="F162" s="24"/>
      <c r="G162" s="14"/>
      <c r="H162" s="15"/>
      <c r="I162" s="29"/>
      <c r="J162" s="15" t="s">
        <v>747</v>
      </c>
      <c r="K162" s="15"/>
      <c r="L162" s="14"/>
      <c r="M162" s="35"/>
      <c r="N162" s="15"/>
      <c r="O162" s="25"/>
      <c r="P162" s="25"/>
      <c r="Q162" s="15"/>
      <c r="R162" s="26"/>
      <c r="S162" s="27"/>
      <c r="T162" s="27"/>
      <c r="U162" s="28"/>
      <c r="V162" s="14"/>
      <c r="W162" s="14"/>
      <c r="X162" s="30" t="str">
        <f>IF(Table13[[#This Row],[value Type]]="","",VLOOKUP(Table13[[#This Row],[value Type]],Table2915[],2,FALSE))</f>
        <v/>
      </c>
      <c r="Y162" s="30" t="str">
        <f>IF(Table13[[#This Row],[value Type]]="","",VLOOKUP(Table13[[#This Row],[value Type]],Table2915[],3,FALSE))</f>
        <v/>
      </c>
      <c r="Z162" s="64" t="str">
        <f>IF(Table13[[#This Row],[value Type]]="","",VLOOKUP(Table13[[#This Row],[value Type]],Table2915[],4,FALSE))</f>
        <v/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/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2" s="79" t="str">
        <f>IF(Table13[[#This Row],[value Type]]="","",VLOOKUP(Table13[[#This Row],[IP]],Table51117[],2,FALSE))</f>
        <v/>
      </c>
      <c r="AE162" s="79" t="str">
        <f>IF(Table13[[#This Row],[value Type]]="","",    IF(Table13[[#This Row],[IP MAX]]="","0","@"  )     )</f>
        <v/>
      </c>
      <c r="AF162" s="68" t="str">
        <f>IF(Table13[[#This Row],[value Type]]="","",VLOOKUP(Table13[[#This Row],[Acc Type]],Table2[],2,FALSE))</f>
        <v/>
      </c>
      <c r="AG162" s="75" t="str">
        <f>IF(Table13[[#This Row],[value Type]]="","",4*HEX2DEC(Table13[[#This Row],[Addr'[HEX']]]))</f>
        <v/>
      </c>
      <c r="AH162" s="75" t="str">
        <f>IF(Table13[[#This Row],[value Type]]="","",VLOOKUP(Table13[[#This Row],[AddrTypeI]],Table22[],2,FALSE))</f>
        <v/>
      </c>
      <c r="AI162" s="68" t="str">
        <f>IF(Table13[[#This Row],[value Type]]="","",VLOOKUP(Table13[[#This Row],[DataType]],Table351218[],2,FALSE))</f>
        <v/>
      </c>
      <c r="AJ162" s="68" t="str">
        <f>IF(Table13[[#This Row],[value Type]]="","",Table13[[#This Row],[DataWidth]])</f>
        <v/>
      </c>
      <c r="AK162" s="68" t="str">
        <f>IF(Table13[[#This Row],[value Type]]="","", Table13[[#This Row],[DataOffset]])</f>
        <v/>
      </c>
      <c r="AL162" s="24"/>
      <c r="AM162" s="24" t="str">
        <f>IF(Table13[[#This Row],[value Type]]="","", "0x"&amp;DEC2HEX(Table13[[#This Row],[ADDR_Offset]],8) )</f>
        <v/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414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0</v>
      </c>
      <c r="N163" s="15" t="s">
        <v>400</v>
      </c>
      <c r="O163" s="25" t="s">
        <v>454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0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417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1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1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466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2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2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448</v>
      </c>
      <c r="H166" s="15" t="s">
        <v>467</v>
      </c>
      <c r="I166" s="29">
        <v>14</v>
      </c>
      <c r="J166" s="15" t="s">
        <v>747</v>
      </c>
      <c r="K166" s="15" t="s">
        <v>52</v>
      </c>
      <c r="L166" s="14">
        <v>1</v>
      </c>
      <c r="M166" s="35">
        <v>3</v>
      </c>
      <c r="N166" s="15" t="s">
        <v>400</v>
      </c>
      <c r="O166" s="25" t="s">
        <v>402</v>
      </c>
      <c r="P166" s="25">
        <v>1</v>
      </c>
      <c r="Q166" s="26" t="s">
        <v>447</v>
      </c>
      <c r="R166" s="27" t="s">
        <v>410</v>
      </c>
      <c r="S166" s="27" t="s">
        <v>405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3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448</v>
      </c>
      <c r="H167" s="15" t="s">
        <v>468</v>
      </c>
      <c r="I167" s="29">
        <v>14</v>
      </c>
      <c r="J167" s="15" t="s">
        <v>747</v>
      </c>
      <c r="K167" s="15" t="s">
        <v>52</v>
      </c>
      <c r="L167" s="14">
        <v>1</v>
      </c>
      <c r="M167" s="35">
        <v>4</v>
      </c>
      <c r="N167" s="15" t="s">
        <v>400</v>
      </c>
      <c r="O167" s="25" t="s">
        <v>402</v>
      </c>
      <c r="P167" s="25">
        <v>1</v>
      </c>
      <c r="Q167" s="26" t="s">
        <v>447</v>
      </c>
      <c r="R167" s="27" t="s">
        <v>410</v>
      </c>
      <c r="S167" s="27" t="s">
        <v>405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4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741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5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5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 t="s">
        <v>82</v>
      </c>
      <c r="D169" s="14" t="s">
        <v>388</v>
      </c>
      <c r="E169" s="24" t="s">
        <v>271</v>
      </c>
      <c r="F169" s="24"/>
      <c r="G169" s="14" t="s">
        <v>742</v>
      </c>
      <c r="H169" s="15"/>
      <c r="I169" s="29">
        <v>14</v>
      </c>
      <c r="J169" s="15" t="s">
        <v>747</v>
      </c>
      <c r="K169" s="15" t="s">
        <v>52</v>
      </c>
      <c r="L169" s="14">
        <v>1</v>
      </c>
      <c r="M169" s="35">
        <v>6</v>
      </c>
      <c r="N169" s="15" t="s">
        <v>275</v>
      </c>
      <c r="O169" s="25" t="s">
        <v>96</v>
      </c>
      <c r="P169" s="25">
        <v>1</v>
      </c>
      <c r="Q169" s="26" t="s">
        <v>447</v>
      </c>
      <c r="R169" s="27" t="s">
        <v>93</v>
      </c>
      <c r="S169" s="27" t="s">
        <v>399</v>
      </c>
      <c r="T169" s="27">
        <v>0</v>
      </c>
      <c r="U169" s="28"/>
      <c r="V169" s="14"/>
      <c r="W169" s="14"/>
      <c r="X169" s="30" t="str">
        <f>IF(Table13[[#This Row],[value Type]]="","",VLOOKUP(Table13[[#This Row],[value Type]],Table2915[],2,FALSE))</f>
        <v>longin</v>
      </c>
      <c r="Y169" s="30" t="str">
        <f>IF(Table13[[#This Row],[value Type]]="","",VLOOKUP(Table13[[#This Row],[value Type]],Table2915[],3,FALSE))</f>
        <v>asynParamInt32</v>
      </c>
      <c r="Z169" s="64" t="str">
        <f>IF(Table13[[#This Row],[value Type]]="","",VLOOKUP(Table13[[#This Row],[value Type]],Table2915[],4,FALSE))</f>
        <v>"asynInt32"</v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 xml:space="preserve"> </v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9" s="79">
        <f>IF(Table13[[#This Row],[value Type]]="","",VLOOKUP(Table13[[#This Row],[IP]],Table51117[],2,FALSE))</f>
        <v>5</v>
      </c>
      <c r="AE169" s="79" t="str">
        <f>IF(Table13[[#This Row],[value Type]]="","",    IF(Table13[[#This Row],[IP MAX]]="","0","@"  )     )</f>
        <v>0</v>
      </c>
      <c r="AF169" s="68">
        <f>IF(Table13[[#This Row],[value Type]]="","",VLOOKUP(Table13[[#This Row],[Acc Type]],Table2[],2,FALSE))</f>
        <v>0</v>
      </c>
      <c r="AG169" s="75">
        <f>IF(Table13[[#This Row],[value Type]]="","",4*HEX2DEC(Table13[[#This Row],[Addr'[HEX']]]))</f>
        <v>80</v>
      </c>
      <c r="AH169" s="75">
        <f>IF(Table13[[#This Row],[value Type]]="","",VLOOKUP(Table13[[#This Row],[AddrTypeI]],Table22[],2,FALSE))</f>
        <v>0</v>
      </c>
      <c r="AI169" s="68">
        <f>IF(Table13[[#This Row],[value Type]]="","",VLOOKUP(Table13[[#This Row],[DataType]],Table351218[],2,FALSE))</f>
        <v>0</v>
      </c>
      <c r="AJ169" s="68">
        <f>IF(Table13[[#This Row],[value Type]]="","",Table13[[#This Row],[DataWidth]])</f>
        <v>1</v>
      </c>
      <c r="AK169" s="68">
        <f>IF(Table13[[#This Row],[value Type]]="","", Table13[[#This Row],[DataOffset]])</f>
        <v>6</v>
      </c>
      <c r="AL169" s="24"/>
      <c r="AM169" s="24" t="str">
        <f>IF(Table13[[#This Row],[value Type]]="","", "0x"&amp;DEC2HEX(Table13[[#This Row],[ADDR_Offset]],8) )</f>
        <v>0x00000050</v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815</v>
      </c>
      <c r="H170" s="15"/>
      <c r="I170" s="29">
        <v>14</v>
      </c>
      <c r="J170" s="15" t="s">
        <v>747</v>
      </c>
      <c r="K170" s="15" t="s">
        <v>52</v>
      </c>
      <c r="L170" s="14">
        <v>1</v>
      </c>
      <c r="M170" s="35">
        <v>7</v>
      </c>
      <c r="N170" s="15" t="s">
        <v>275</v>
      </c>
      <c r="O170" s="25" t="s">
        <v>96</v>
      </c>
      <c r="P170" s="25">
        <v>1</v>
      </c>
      <c r="Q170" s="26" t="s">
        <v>447</v>
      </c>
      <c r="R170" s="27" t="s">
        <v>93</v>
      </c>
      <c r="S170" s="27" t="s">
        <v>399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1</v>
      </c>
      <c r="AK170" s="68">
        <f>IF(Table13[[#This Row],[value Type]]="","", Table13[[#This Row],[DataOffset]])</f>
        <v>7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82</v>
      </c>
      <c r="D172" s="14" t="s">
        <v>388</v>
      </c>
      <c r="E172" s="24" t="s">
        <v>271</v>
      </c>
      <c r="F172" s="24"/>
      <c r="G172" s="14" t="s">
        <v>449</v>
      </c>
      <c r="H172" s="15"/>
      <c r="I172" s="29">
        <v>14</v>
      </c>
      <c r="J172" s="15" t="s">
        <v>747</v>
      </c>
      <c r="K172" s="15" t="s">
        <v>52</v>
      </c>
      <c r="L172" s="14">
        <v>32</v>
      </c>
      <c r="M172" s="35">
        <v>0</v>
      </c>
      <c r="N172" s="15" t="s">
        <v>400</v>
      </c>
      <c r="O172" s="25" t="s">
        <v>402</v>
      </c>
      <c r="P172" s="25">
        <v>1</v>
      </c>
      <c r="Q172" s="26" t="s">
        <v>447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longin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80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32</v>
      </c>
      <c r="AK172" s="68">
        <f>IF(Table13[[#This Row],[value Type]]="","", Table13[[#This Row],[DataOffset]])</f>
        <v>0</v>
      </c>
      <c r="AL172" s="24"/>
      <c r="AM172" s="24" t="str">
        <f>IF(Table13[[#This Row],[value Type]]="","", "0x"&amp;DEC2HEX(Table13[[#This Row],[ADDR_Offset]],8) )</f>
        <v>0x00000050</v>
      </c>
    </row>
    <row r="173" spans="2:39" s="6" customFormat="1" x14ac:dyDescent="0.3">
      <c r="B173" s="14">
        <v>0</v>
      </c>
      <c r="C173" s="14"/>
      <c r="D173" s="14"/>
      <c r="E173" s="24"/>
      <c r="F173" s="24"/>
      <c r="G173" s="14"/>
      <c r="H173" s="15"/>
      <c r="I173" s="29"/>
      <c r="J173" s="15" t="s">
        <v>747</v>
      </c>
      <c r="K173" s="15"/>
      <c r="L173" s="14"/>
      <c r="M173" s="35"/>
      <c r="N173" s="15"/>
      <c r="O173" s="25"/>
      <c r="P173" s="25"/>
      <c r="Q173" s="15"/>
      <c r="R173" s="26"/>
      <c r="S173" s="27"/>
      <c r="T173" s="27"/>
      <c r="U173" s="28"/>
      <c r="V173" s="14"/>
      <c r="W173" s="14"/>
      <c r="X173" s="30" t="str">
        <f>IF(Table13[[#This Row],[value Type]]="","",VLOOKUP(Table13[[#This Row],[value Type]],Table2915[],2,FALSE))</f>
        <v/>
      </c>
      <c r="Y173" s="30" t="str">
        <f>IF(Table13[[#This Row],[value Type]]="","",VLOOKUP(Table13[[#This Row],[value Type]],Table2915[],3,FALSE))</f>
        <v/>
      </c>
      <c r="Z173" s="64" t="str">
        <f>IF(Table13[[#This Row],[value Type]]="","",VLOOKUP(Table13[[#This Row],[value Type]],Table2915[],4,FALSE))</f>
        <v/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/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3" s="79" t="str">
        <f>IF(Table13[[#This Row],[value Type]]="","",VLOOKUP(Table13[[#This Row],[IP]],Table51117[],2,FALSE))</f>
        <v/>
      </c>
      <c r="AE173" s="79" t="str">
        <f>IF(Table13[[#This Row],[value Type]]="","",    IF(Table13[[#This Row],[IP MAX]]="","0","@"  )     )</f>
        <v/>
      </c>
      <c r="AF173" s="68" t="str">
        <f>IF(Table13[[#This Row],[value Type]]="","",VLOOKUP(Table13[[#This Row],[Acc Type]],Table2[],2,FALSE))</f>
        <v/>
      </c>
      <c r="AG173" s="75" t="str">
        <f>IF(Table13[[#This Row],[value Type]]="","",4*HEX2DEC(Table13[[#This Row],[Addr'[HEX']]]))</f>
        <v/>
      </c>
      <c r="AH173" s="75" t="str">
        <f>IF(Table13[[#This Row],[value Type]]="","",VLOOKUP(Table13[[#This Row],[AddrTypeI]],Table22[],2,FALSE))</f>
        <v/>
      </c>
      <c r="AI173" s="68" t="str">
        <f>IF(Table13[[#This Row],[value Type]]="","",VLOOKUP(Table13[[#This Row],[DataType]],Table351218[],2,FALSE))</f>
        <v/>
      </c>
      <c r="AJ173" s="68" t="str">
        <f>IF(Table13[[#This Row],[value Type]]="","",Table13[[#This Row],[DataWidth]])</f>
        <v/>
      </c>
      <c r="AK173" s="68" t="str">
        <f>IF(Table13[[#This Row],[value Type]]="","", Table13[[#This Row],[DataOffset]])</f>
        <v/>
      </c>
      <c r="AL173" s="24"/>
      <c r="AM173" s="24" t="str">
        <f>IF(Table13[[#This Row],[value Type]]="","", "0x"&amp;DEC2HEX(Table13[[#This Row],[ADDR_Offset]],8) )</f>
        <v/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458</v>
      </c>
      <c r="H174" s="36" t="s">
        <v>739</v>
      </c>
      <c r="I174" s="29" t="s">
        <v>451</v>
      </c>
      <c r="J174" s="15" t="s">
        <v>747</v>
      </c>
      <c r="K174" s="15" t="s">
        <v>52</v>
      </c>
      <c r="L174" s="14">
        <v>1</v>
      </c>
      <c r="M174" s="35">
        <v>1</v>
      </c>
      <c r="N174" s="15" t="s">
        <v>400</v>
      </c>
      <c r="O174" s="25" t="s">
        <v>402</v>
      </c>
      <c r="P174" s="25">
        <v>1</v>
      </c>
      <c r="Q174" s="26" t="s">
        <v>80</v>
      </c>
      <c r="R174" s="27" t="s">
        <v>410</v>
      </c>
      <c r="S174" s="27" t="s">
        <v>405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1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450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2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2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743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3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3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 t="s">
        <v>1</v>
      </c>
      <c r="D177" s="14" t="s">
        <v>388</v>
      </c>
      <c r="E177" s="24" t="s">
        <v>271</v>
      </c>
      <c r="F177" s="24"/>
      <c r="G177" s="14" t="s">
        <v>740</v>
      </c>
      <c r="H177" s="36"/>
      <c r="I177" s="29" t="s">
        <v>451</v>
      </c>
      <c r="J177" s="15" t="s">
        <v>747</v>
      </c>
      <c r="K177" s="15" t="s">
        <v>52</v>
      </c>
      <c r="L177" s="14">
        <v>1</v>
      </c>
      <c r="M177" s="35">
        <v>4</v>
      </c>
      <c r="N177" s="15" t="s">
        <v>275</v>
      </c>
      <c r="O177" s="25" t="s">
        <v>96</v>
      </c>
      <c r="P177" s="25">
        <v>1</v>
      </c>
      <c r="Q177" s="26" t="s">
        <v>80</v>
      </c>
      <c r="R177" s="27" t="s">
        <v>93</v>
      </c>
      <c r="S177" s="27" t="s">
        <v>399</v>
      </c>
      <c r="T177" s="27">
        <v>0</v>
      </c>
      <c r="U177" s="28"/>
      <c r="V177" s="14"/>
      <c r="W177" s="14"/>
      <c r="X177" s="30" t="str">
        <f>IF(Table13[[#This Row],[value Type]]="","",VLOOKUP(Table13[[#This Row],[value Type]],Table2915[],2,FALSE))</f>
        <v>longout</v>
      </c>
      <c r="Y177" s="30" t="str">
        <f>IF(Table13[[#This Row],[value Type]]="","",VLOOKUP(Table13[[#This Row],[value Type]],Table2915[],3,FALSE))</f>
        <v>asynParamInt32</v>
      </c>
      <c r="Z177" s="64" t="str">
        <f>IF(Table13[[#This Row],[value Type]]="","",VLOOKUP(Table13[[#This Row],[value Type]],Table2915[],4,FALSE))</f>
        <v>"asynInt32"</v>
      </c>
      <c r="AA177" s="64" t="str">
        <f>IF(Table13[[#This Row],[value Type]]="","",    IF(Table13[[#This Row],[IP MAX]]="","","@"  )     )</f>
        <v/>
      </c>
      <c r="AB177" s="79" t="str">
        <f>IF(Table13[[#This Row],[value Type]]="","",VLOOKUP(Table13[[#This Row],[value Type]],Table2915[],5,FALSE))</f>
        <v xml:space="preserve"> </v>
      </c>
      <c r="AC1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7" s="79">
        <f>IF(Table13[[#This Row],[value Type]]="","",VLOOKUP(Table13[[#This Row],[IP]],Table51117[],2,FALSE))</f>
        <v>5</v>
      </c>
      <c r="AE177" s="79" t="str">
        <f>IF(Table13[[#This Row],[value Type]]="","",    IF(Table13[[#This Row],[IP MAX]]="","0","@"  )     )</f>
        <v>0</v>
      </c>
      <c r="AF177" s="68">
        <f>IF(Table13[[#This Row],[value Type]]="","",VLOOKUP(Table13[[#This Row],[Acc Type]],Table2[],2,FALSE))</f>
        <v>0</v>
      </c>
      <c r="AG177" s="75">
        <f>IF(Table13[[#This Row],[value Type]]="","",4*HEX2DEC(Table13[[#This Row],[Addr'[HEX']]]))</f>
        <v>240</v>
      </c>
      <c r="AH177" s="75">
        <f>IF(Table13[[#This Row],[value Type]]="","",VLOOKUP(Table13[[#This Row],[AddrTypeI]],Table22[],2,FALSE))</f>
        <v>0</v>
      </c>
      <c r="AI177" s="68">
        <f>IF(Table13[[#This Row],[value Type]]="","",VLOOKUP(Table13[[#This Row],[DataType]],Table351218[],2,FALSE))</f>
        <v>0</v>
      </c>
      <c r="AJ177" s="68">
        <f>IF(Table13[[#This Row],[value Type]]="","",Table13[[#This Row],[DataWidth]])</f>
        <v>1</v>
      </c>
      <c r="AK177" s="68">
        <f>IF(Table13[[#This Row],[value Type]]="","", Table13[[#This Row],[DataOffset]])</f>
        <v>4</v>
      </c>
      <c r="AL177" s="24"/>
      <c r="AM177" s="24" t="str">
        <f>IF(Table13[[#This Row],[value Type]]="","", "0x"&amp;DEC2HEX(Table13[[#This Row],[ADDR_Offset]],8) )</f>
        <v>0x000000F0</v>
      </c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744</v>
      </c>
      <c r="H178" s="36"/>
      <c r="I178" s="29" t="s">
        <v>451</v>
      </c>
      <c r="J178" s="15" t="s">
        <v>747</v>
      </c>
      <c r="K178" s="15" t="s">
        <v>52</v>
      </c>
      <c r="L178" s="14">
        <v>1</v>
      </c>
      <c r="M178" s="35">
        <v>5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399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240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5</v>
      </c>
      <c r="AL178" s="24"/>
      <c r="AM178" s="24" t="str">
        <f>IF(Table13[[#This Row],[value Type]]="","", "0x"&amp;DEC2HEX(Table13[[#This Row],[ADDR_Offset]],8) )</f>
        <v>0x000000F0</v>
      </c>
    </row>
    <row r="179" spans="2:39" s="6" customFormat="1" x14ac:dyDescent="0.3">
      <c r="B179" s="14">
        <v>0</v>
      </c>
      <c r="C179" s="14"/>
      <c r="D179" s="14"/>
      <c r="E179" s="24"/>
      <c r="F179" s="24"/>
      <c r="G179" s="14"/>
      <c r="H179" s="36"/>
      <c r="I179" s="29"/>
      <c r="J179" s="15" t="s">
        <v>747</v>
      </c>
      <c r="K179" s="15"/>
      <c r="L179" s="14"/>
      <c r="M179" s="35"/>
      <c r="N179" s="15"/>
      <c r="O179" s="88"/>
      <c r="P179" s="25"/>
      <c r="Q179" s="15"/>
      <c r="R179" s="26"/>
      <c r="S179" s="27"/>
      <c r="T179" s="27"/>
      <c r="U179" s="28"/>
      <c r="V179" s="14"/>
      <c r="W179" s="14"/>
      <c r="X179" s="30"/>
      <c r="Y179" s="30"/>
      <c r="Z179" s="64"/>
      <c r="AA179" s="64"/>
      <c r="AB179" s="79"/>
      <c r="AC179" s="12"/>
      <c r="AD179" s="84"/>
      <c r="AE179" s="79"/>
      <c r="AF179" s="68"/>
      <c r="AG179" s="75"/>
      <c r="AH179" s="75" t="str">
        <f>IF(Table13[[#This Row],[value Type]]="","",VLOOKUP(Table13[[#This Row],[AddrTypeI]],Table22[],2,FALSE))</f>
        <v/>
      </c>
      <c r="AI179" s="81"/>
      <c r="AJ179" s="81"/>
      <c r="AK179" s="81"/>
      <c r="AL179" s="24"/>
      <c r="AM179" s="24"/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241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0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0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141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1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1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142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2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2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 t="s">
        <v>1</v>
      </c>
      <c r="D183" s="14" t="s">
        <v>388</v>
      </c>
      <c r="E183" s="24" t="s">
        <v>271</v>
      </c>
      <c r="F183" s="24"/>
      <c r="G183" s="14" t="s">
        <v>785</v>
      </c>
      <c r="H183" s="15" t="s">
        <v>467</v>
      </c>
      <c r="I183" s="29" t="s">
        <v>784</v>
      </c>
      <c r="J183" s="15" t="s">
        <v>747</v>
      </c>
      <c r="K183" s="15" t="s">
        <v>52</v>
      </c>
      <c r="L183" s="14">
        <v>1</v>
      </c>
      <c r="M183" s="35">
        <v>3</v>
      </c>
      <c r="N183" s="15" t="s">
        <v>275</v>
      </c>
      <c r="O183" s="25" t="s">
        <v>96</v>
      </c>
      <c r="P183" s="25">
        <v>1</v>
      </c>
      <c r="Q183" s="26" t="s">
        <v>80</v>
      </c>
      <c r="R183" s="27" t="s">
        <v>93</v>
      </c>
      <c r="S183" s="27" t="s">
        <v>239</v>
      </c>
      <c r="T183" s="27">
        <v>0</v>
      </c>
      <c r="U183" s="28"/>
      <c r="V183" s="14"/>
      <c r="W183" s="14"/>
      <c r="X183" s="30" t="str">
        <f>IF(Table13[[#This Row],[value Type]]="","",VLOOKUP(Table13[[#This Row],[value Type]],Table2915[],2,FALSE))</f>
        <v>longout</v>
      </c>
      <c r="Y183" s="30" t="str">
        <f>IF(Table13[[#This Row],[value Type]]="","",VLOOKUP(Table13[[#This Row],[value Type]],Table2915[],3,FALSE))</f>
        <v>asynParamInt32</v>
      </c>
      <c r="Z183" s="64" t="str">
        <f>IF(Table13[[#This Row],[value Type]]="","",VLOOKUP(Table13[[#This Row],[value Type]],Table2915[],4,FALSE))</f>
        <v>"asynInt32"</v>
      </c>
      <c r="AA183" s="64" t="str">
        <f>IF(Table13[[#This Row],[value Type]]="","",    IF(Table13[[#This Row],[IP MAX]]="","","@"  )     )</f>
        <v/>
      </c>
      <c r="AB183" s="79" t="str">
        <f>IF(Table13[[#This Row],[value Type]]="","",VLOOKUP(Table13[[#This Row],[value Type]],Table2915[],5,FALSE))</f>
        <v xml:space="preserve"> </v>
      </c>
      <c r="AC1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3" s="79">
        <f>IF(Table13[[#This Row],[value Type]]="","",VLOOKUP(Table13[[#This Row],[IP]],Table51117[],2,FALSE))</f>
        <v>5</v>
      </c>
      <c r="AE183" s="79" t="str">
        <f>IF(Table13[[#This Row],[value Type]]="","",    IF(Table13[[#This Row],[IP MAX]]="","0","@"  )     )</f>
        <v>0</v>
      </c>
      <c r="AF183" s="68">
        <f>IF(Table13[[#This Row],[value Type]]="","",VLOOKUP(Table13[[#This Row],[Acc Type]],Table2[],2,FALSE))</f>
        <v>0</v>
      </c>
      <c r="AG183" s="75">
        <f>IF(Table13[[#This Row],[value Type]]="","",4*HEX2DEC(Table13[[#This Row],[Addr'[HEX']]]))</f>
        <v>244</v>
      </c>
      <c r="AH183" s="75">
        <f>IF(Table13[[#This Row],[value Type]]="","",VLOOKUP(Table13[[#This Row],[AddrTypeI]],Table22[],2,FALSE))</f>
        <v>0</v>
      </c>
      <c r="AI183" s="68">
        <f>IF(Table13[[#This Row],[value Type]]="","",VLOOKUP(Table13[[#This Row],[DataType]],Table351218[],2,FALSE))</f>
        <v>0</v>
      </c>
      <c r="AJ183" s="68">
        <f>IF(Table13[[#This Row],[value Type]]="","",Table13[[#This Row],[DataWidth]])</f>
        <v>1</v>
      </c>
      <c r="AK183" s="68">
        <f>IF(Table13[[#This Row],[value Type]]="","", Table13[[#This Row],[DataOffset]])</f>
        <v>3</v>
      </c>
      <c r="AL183" s="24"/>
      <c r="AM183" s="24" t="str">
        <f>IF(Table13[[#This Row],[value Type]]="","", "0x"&amp;DEC2HEX(Table13[[#This Row],[ADDR_Offset]],8) )</f>
        <v>0x000000F4</v>
      </c>
    </row>
    <row r="184" spans="2:39" s="6" customFormat="1" x14ac:dyDescent="0.3">
      <c r="B184" s="14">
        <v>0</v>
      </c>
      <c r="C184" s="14" t="s">
        <v>1</v>
      </c>
      <c r="D184" s="14" t="s">
        <v>388</v>
      </c>
      <c r="E184" s="24" t="s">
        <v>271</v>
      </c>
      <c r="F184" s="24"/>
      <c r="G184" s="14" t="s">
        <v>785</v>
      </c>
      <c r="H184" s="15" t="s">
        <v>144</v>
      </c>
      <c r="I184" s="29" t="s">
        <v>784</v>
      </c>
      <c r="J184" s="15" t="s">
        <v>747</v>
      </c>
      <c r="K184" s="15" t="s">
        <v>52</v>
      </c>
      <c r="L184" s="14">
        <v>1</v>
      </c>
      <c r="M184" s="35">
        <v>4</v>
      </c>
      <c r="N184" s="15" t="s">
        <v>275</v>
      </c>
      <c r="O184" s="25" t="s">
        <v>96</v>
      </c>
      <c r="P184" s="25">
        <v>1</v>
      </c>
      <c r="Q184" s="26" t="s">
        <v>80</v>
      </c>
      <c r="R184" s="27" t="s">
        <v>93</v>
      </c>
      <c r="S184" s="27" t="s">
        <v>239</v>
      </c>
      <c r="T184" s="27">
        <v>0</v>
      </c>
      <c r="U184" s="28"/>
      <c r="V184" s="14"/>
      <c r="W184" s="14"/>
      <c r="X184" s="30" t="str">
        <f>IF(Table13[[#This Row],[value Type]]="","",VLOOKUP(Table13[[#This Row],[value Type]],Table2915[],2,FALSE))</f>
        <v>longout</v>
      </c>
      <c r="Y184" s="30" t="str">
        <f>IF(Table13[[#This Row],[value Type]]="","",VLOOKUP(Table13[[#This Row],[value Type]],Table2915[],3,FALSE))</f>
        <v>asynParamInt32</v>
      </c>
      <c r="Z184" s="64" t="str">
        <f>IF(Table13[[#This Row],[value Type]]="","",VLOOKUP(Table13[[#This Row],[value Type]],Table2915[],4,FALSE))</f>
        <v>"asynInt32"</v>
      </c>
      <c r="AA184" s="64" t="str">
        <f>IF(Table13[[#This Row],[value Type]]="","",    IF(Table13[[#This Row],[IP MAX]]="","","@"  )     )</f>
        <v/>
      </c>
      <c r="AB184" s="79" t="str">
        <f>IF(Table13[[#This Row],[value Type]]="","",VLOOKUP(Table13[[#This Row],[value Type]],Table2915[],5,FALSE))</f>
        <v xml:space="preserve"> </v>
      </c>
      <c r="AC1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4" s="79">
        <f>IF(Table13[[#This Row],[value Type]]="","",VLOOKUP(Table13[[#This Row],[IP]],Table51117[],2,FALSE))</f>
        <v>5</v>
      </c>
      <c r="AE184" s="79" t="str">
        <f>IF(Table13[[#This Row],[value Type]]="","",    IF(Table13[[#This Row],[IP MAX]]="","0","@"  )     )</f>
        <v>0</v>
      </c>
      <c r="AF184" s="68">
        <f>IF(Table13[[#This Row],[value Type]]="","",VLOOKUP(Table13[[#This Row],[Acc Type]],Table2[],2,FALSE))</f>
        <v>0</v>
      </c>
      <c r="AG184" s="75">
        <f>IF(Table13[[#This Row],[value Type]]="","",4*HEX2DEC(Table13[[#This Row],[Addr'[HEX']]]))</f>
        <v>244</v>
      </c>
      <c r="AH184" s="75">
        <f>IF(Table13[[#This Row],[value Type]]="","",VLOOKUP(Table13[[#This Row],[AddrTypeI]],Table22[],2,FALSE))</f>
        <v>0</v>
      </c>
      <c r="AI184" s="68">
        <f>IF(Table13[[#This Row],[value Type]]="","",VLOOKUP(Table13[[#This Row],[DataType]],Table351218[],2,FALSE))</f>
        <v>0</v>
      </c>
      <c r="AJ184" s="68">
        <f>IF(Table13[[#This Row],[value Type]]="","",Table13[[#This Row],[DataWidth]])</f>
        <v>1</v>
      </c>
      <c r="AK184" s="68">
        <f>IF(Table13[[#This Row],[value Type]]="","", Table13[[#This Row],[DataOffset]])</f>
        <v>4</v>
      </c>
      <c r="AL184" s="24"/>
      <c r="AM184" s="24" t="str">
        <f>IF(Table13[[#This Row],[value Type]]="","", "0x"&amp;DEC2HEX(Table13[[#This Row],[ADDR_Offset]],8) )</f>
        <v>0x000000F4</v>
      </c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/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/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/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/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88"/>
      <c r="P190" s="25"/>
      <c r="Q190" s="15"/>
      <c r="R190" s="26"/>
      <c r="S190" s="27"/>
      <c r="T190" s="27"/>
      <c r="U190" s="28"/>
      <c r="V190" s="14"/>
      <c r="W190" s="14"/>
      <c r="X190" s="30"/>
      <c r="Y190" s="30"/>
      <c r="Z190" s="64"/>
      <c r="AA190" s="64"/>
      <c r="AB190" s="79"/>
      <c r="AC190" s="12"/>
      <c r="AD190" s="84"/>
      <c r="AE190" s="79"/>
      <c r="AF190" s="68"/>
      <c r="AG190" s="75"/>
      <c r="AH190" s="75" t="str">
        <f>IF(Table13[[#This Row],[value Type]]="","",VLOOKUP(Table13[[#This Row],[AddrTypeI]],Table22[],2,FALSE))</f>
        <v/>
      </c>
      <c r="AI190" s="81"/>
      <c r="AJ190" s="81"/>
      <c r="AK190" s="81"/>
      <c r="AL190" s="24"/>
      <c r="AM190" s="24"/>
    </row>
    <row r="191" spans="2:39" s="6" customFormat="1" x14ac:dyDescent="0.3">
      <c r="B191" s="14">
        <v>0</v>
      </c>
      <c r="C191" s="14"/>
      <c r="D191" s="14"/>
      <c r="E191" s="24"/>
      <c r="F191" s="24"/>
      <c r="G191" s="14"/>
      <c r="H191" s="36"/>
      <c r="I191" s="29"/>
      <c r="J191" s="15" t="s">
        <v>747</v>
      </c>
      <c r="K191" s="15"/>
      <c r="L191" s="14"/>
      <c r="M191" s="35"/>
      <c r="N191" s="15"/>
      <c r="O191" s="88"/>
      <c r="P191" s="25"/>
      <c r="Q191" s="15"/>
      <c r="R191" s="26"/>
      <c r="S191" s="27"/>
      <c r="T191" s="27"/>
      <c r="U191" s="28"/>
      <c r="V191" s="14"/>
      <c r="W191" s="14"/>
      <c r="X191" s="30"/>
      <c r="Y191" s="30"/>
      <c r="Z191" s="64"/>
      <c r="AA191" s="64"/>
      <c r="AB191" s="79"/>
      <c r="AC191" s="12"/>
      <c r="AD191" s="84"/>
      <c r="AE191" s="79"/>
      <c r="AF191" s="68"/>
      <c r="AG191" s="75"/>
      <c r="AH191" s="75" t="str">
        <f>IF(Table13[[#This Row],[value Type]]="","",VLOOKUP(Table13[[#This Row],[AddrTypeI]],Table22[],2,FALSE))</f>
        <v/>
      </c>
      <c r="AI191" s="81"/>
      <c r="AJ191" s="81"/>
      <c r="AK191" s="81"/>
      <c r="AL191" s="24"/>
      <c r="AM191" s="24"/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36"/>
      <c r="I192" s="29"/>
      <c r="J192" s="15" t="s">
        <v>747</v>
      </c>
      <c r="K192" s="15"/>
      <c r="L192" s="14"/>
      <c r="M192" s="35"/>
      <c r="N192" s="15"/>
      <c r="O192" s="25"/>
      <c r="P192" s="25"/>
      <c r="Q192" s="15"/>
      <c r="R192" s="26"/>
      <c r="S192" s="27"/>
      <c r="T192" s="27"/>
      <c r="U192" s="28"/>
      <c r="V192" s="14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47">
        <v>0</v>
      </c>
      <c r="C193" s="47"/>
      <c r="D193" s="47"/>
      <c r="E193" s="48"/>
      <c r="F193" s="48"/>
      <c r="G193" s="47"/>
      <c r="H193" s="58"/>
      <c r="I193" s="57"/>
      <c r="J193" s="49"/>
      <c r="K193" s="49"/>
      <c r="L193" s="47"/>
      <c r="M193" s="50"/>
      <c r="N193" s="49"/>
      <c r="O193" s="51"/>
      <c r="P193" s="51"/>
      <c r="Q193" s="49"/>
      <c r="R193" s="52"/>
      <c r="S193" s="53"/>
      <c r="T193" s="53"/>
      <c r="U193" s="54"/>
      <c r="V193" s="47"/>
      <c r="W193" s="47"/>
      <c r="X193" s="55" t="str">
        <f>IF(Table13[[#This Row],[value Type]]="","",VLOOKUP(Table13[[#This Row],[value Type]],Table2915[],2,FALSE))</f>
        <v/>
      </c>
      <c r="Y193" s="55" t="str">
        <f>IF(Table13[[#This Row],[value Type]]="","",VLOOKUP(Table13[[#This Row],[value Type]],Table2915[],3,FALSE))</f>
        <v/>
      </c>
      <c r="Z193" s="65" t="str">
        <f>IF(Table13[[#This Row],[value Type]]="","",VLOOKUP(Table13[[#This Row],[value Type]],Table2915[],4,FALSE))</f>
        <v/>
      </c>
      <c r="AA193" s="65" t="str">
        <f>IF(Table13[[#This Row],[value Type]]="","",    IF(Table13[[#This Row],[IP MAX]]="","","@"  )     )</f>
        <v/>
      </c>
      <c r="AB193" s="80" t="str">
        <f>IF(Table13[[#This Row],[value Type]]="","",VLOOKUP(Table13[[#This Row],[value Type]],Table2915[],5,FALSE))</f>
        <v/>
      </c>
      <c r="AC193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3" s="80" t="str">
        <f>IF(Table13[[#This Row],[value Type]]="","",VLOOKUP(Table13[[#This Row],[IP]],Table51117[],2,FALSE))</f>
        <v/>
      </c>
      <c r="AE193" s="80"/>
      <c r="AF193" s="69" t="str">
        <f>IF(Table13[[#This Row],[value Type]]="","",VLOOKUP(Table13[[#This Row],[Acc Type]],Table2[],2,FALSE))</f>
        <v/>
      </c>
      <c r="AG193" s="76" t="str">
        <f>IF(Table13[[#This Row],[value Type]]="","",4*HEX2DEC(Table13[[#This Row],[Addr'[HEX']]]))</f>
        <v/>
      </c>
      <c r="AH193" s="76" t="str">
        <f>IF(Table13[[#This Row],[value Type]]="","",VLOOKUP(Table13[[#This Row],[AddrTypeI]],Table22[],2,FALSE))</f>
        <v/>
      </c>
      <c r="AI193" s="69" t="str">
        <f>IF(Table13[[#This Row],[value Type]]="","",VLOOKUP(Table13[[#This Row],[DataType]],Table351218[],2,FALSE))</f>
        <v/>
      </c>
      <c r="AJ193" s="69" t="str">
        <f>IF(Table13[[#This Row],[value Type]]="","",Table13[[#This Row],[DataWidth]])</f>
        <v/>
      </c>
      <c r="AK193" s="69" t="str">
        <f>IF(Table13[[#This Row],[value Type]]="","", Table13[[#This Row],[DataOffset]])</f>
        <v/>
      </c>
      <c r="AL193" s="48"/>
      <c r="AM193" s="48" t="str">
        <f>IF(Table13[[#This Row],[value Type]]="","", "0x"&amp;DEC2HEX(Table13[[#This Row],[ADDR_Offset]],8) )</f>
        <v/>
      </c>
    </row>
    <row r="194" spans="2:39" s="6" customFormat="1" x14ac:dyDescent="0.3">
      <c r="B194" s="14">
        <v>0</v>
      </c>
      <c r="C194" s="14"/>
      <c r="D194" s="14"/>
      <c r="E194" s="24"/>
      <c r="F194" s="24"/>
      <c r="G194" s="14"/>
      <c r="H194" s="15"/>
      <c r="I194" s="29"/>
      <c r="J194" s="15" t="s">
        <v>747</v>
      </c>
      <c r="K194" s="15"/>
      <c r="L194" s="14"/>
      <c r="M194" s="14"/>
      <c r="N194" s="15"/>
      <c r="O194" s="25"/>
      <c r="P194" s="25"/>
      <c r="Q194" s="15"/>
      <c r="R194" s="27" t="s">
        <v>410</v>
      </c>
      <c r="S194" s="27"/>
      <c r="T194" s="27"/>
      <c r="U194" s="28"/>
      <c r="V194" s="29"/>
      <c r="W194" s="14"/>
      <c r="X194" s="30" t="str">
        <f>IF(Table13[[#This Row],[value Type]]="","",VLOOKUP(Table13[[#This Row],[value Type]],Table2915[],2,FALSE))</f>
        <v/>
      </c>
      <c r="Y194" s="30" t="str">
        <f>IF(Table13[[#This Row],[value Type]]="","",VLOOKUP(Table13[[#This Row],[value Type]],Table2915[],3,FALSE))</f>
        <v/>
      </c>
      <c r="Z194" s="64" t="str">
        <f>IF(Table13[[#This Row],[value Type]]="","",VLOOKUP(Table13[[#This Row],[value Type]],Table2915[],4,FALSE))</f>
        <v/>
      </c>
      <c r="AA194" s="64" t="str">
        <f>IF(Table13[[#This Row],[value Type]]="","",    IF(Table13[[#This Row],[IP MAX]]="","","@"  )     )</f>
        <v/>
      </c>
      <c r="AB194" s="79" t="str">
        <f>IF(Table13[[#This Row],[value Type]]="","",VLOOKUP(Table13[[#This Row],[value Type]],Table2915[],5,FALSE))</f>
        <v/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4" s="79" t="str">
        <f>IF(Table13[[#This Row],[value Type]]="","",VLOOKUP(Table13[[#This Row],[IP]],Table51117[],2,FALSE))</f>
        <v/>
      </c>
      <c r="AE194" s="79" t="str">
        <f>IF(Table13[[#This Row],[value Type]]="","",    IF(Table13[[#This Row],[IP MAX]]="","0","@"  )     )</f>
        <v/>
      </c>
      <c r="AF194" s="68" t="str">
        <f>IF(Table13[[#This Row],[value Type]]="","",VLOOKUP(Table13[[#This Row],[Acc Type]],Table2[],2,FALSE))</f>
        <v/>
      </c>
      <c r="AG194" s="75" t="str">
        <f>IF(Table13[[#This Row],[value Type]]="","",4*HEX2DEC(Table13[[#This Row],[Addr'[HEX']]]))</f>
        <v/>
      </c>
      <c r="AH194" s="75" t="str">
        <f>IF(Table13[[#This Row],[value Type]]="","",VLOOKUP(Table13[[#This Row],[AddrTypeI]],Table22[],2,FALSE))</f>
        <v/>
      </c>
      <c r="AI194" s="68" t="str">
        <f>IF(Table13[[#This Row],[value Type]]="","",VLOOKUP(Table13[[#This Row],[DataType]],Table351218[],2,FALSE))</f>
        <v/>
      </c>
      <c r="AJ194" s="68" t="str">
        <f>IF(Table13[[#This Row],[value Type]]="","",Table13[[#This Row],[DataWidth]])</f>
        <v/>
      </c>
      <c r="AK194" s="68" t="str">
        <f>IF(Table13[[#This Row],[value Type]]="","", Table13[[#This Row],[DataOffset]])</f>
        <v/>
      </c>
      <c r="AL194" s="24"/>
      <c r="AM194" s="24" t="str">
        <f>IF(Table13[[#This Row],[value Type]]="","", "0x"&amp;DEC2HEX(Table13[[#This Row],[ADDR_Offset]],8) )</f>
        <v/>
      </c>
    </row>
    <row r="195" spans="2:39" s="6" customFormat="1" x14ac:dyDescent="0.3">
      <c r="B195" s="14">
        <v>0</v>
      </c>
      <c r="C195" s="14" t="s">
        <v>82</v>
      </c>
      <c r="D195" s="14" t="s">
        <v>388</v>
      </c>
      <c r="E195" s="24" t="s">
        <v>351</v>
      </c>
      <c r="F195" s="24">
        <v>1</v>
      </c>
      <c r="G195" s="14" t="s">
        <v>505</v>
      </c>
      <c r="H195" s="15"/>
      <c r="I195" s="29">
        <v>16</v>
      </c>
      <c r="J195" s="15" t="s">
        <v>747</v>
      </c>
      <c r="K195" s="15" t="s">
        <v>52</v>
      </c>
      <c r="L195" s="14">
        <v>32</v>
      </c>
      <c r="M195" s="35">
        <v>0</v>
      </c>
      <c r="N195" s="15" t="s">
        <v>400</v>
      </c>
      <c r="O195" s="25" t="s">
        <v>402</v>
      </c>
      <c r="P195" s="25">
        <v>1</v>
      </c>
      <c r="Q195" s="26" t="s">
        <v>81</v>
      </c>
      <c r="R195" s="27" t="s">
        <v>410</v>
      </c>
      <c r="S195" s="27" t="s">
        <v>506</v>
      </c>
      <c r="T195" s="27">
        <v>0</v>
      </c>
      <c r="U195" s="28"/>
      <c r="V195" s="14"/>
      <c r="W195" s="14"/>
      <c r="X195" s="30" t="str">
        <f>IF(Table13[[#This Row],[value Type]]="","",VLOOKUP(Table13[[#This Row],[value Type]],Table2915[],2,FALSE))</f>
        <v>longin</v>
      </c>
      <c r="Y195" s="30" t="str">
        <f>IF(Table13[[#This Row],[value Type]]="","",VLOOKUP(Table13[[#This Row],[value Type]],Table2915[],3,FALSE))</f>
        <v>asynParamInt32</v>
      </c>
      <c r="Z195" s="64" t="str">
        <f>IF(Table13[[#This Row],[value Type]]="","",VLOOKUP(Table13[[#This Row],[value Type]],Table2915[],4,FALSE))</f>
        <v>"asynInt32"</v>
      </c>
      <c r="AA195" s="64" t="str">
        <f>IF(Table13[[#This Row],[value Type]]="","",    IF(Table13[[#This Row],[IP MAX]]="","","@"  )     )</f>
        <v>@</v>
      </c>
      <c r="AB195" s="79" t="str">
        <f>IF(Table13[[#This Row],[value Type]]="","",VLOOKUP(Table13[[#This Row],[value Type]],Table2915[],5,FALSE))</f>
        <v xml:space="preserve"> </v>
      </c>
      <c r="AC1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5" s="79">
        <f>IF(Table13[[#This Row],[value Type]]="","",VLOOKUP(Table13[[#This Row],[IP]],Table51117[],2,FALSE))</f>
        <v>3</v>
      </c>
      <c r="AE195" s="79" t="str">
        <f>IF(Table13[[#This Row],[value Type]]="","",    IF(Table13[[#This Row],[IP MAX]]="","0","@"  )     )</f>
        <v>@</v>
      </c>
      <c r="AF195" s="68">
        <f>IF(Table13[[#This Row],[value Type]]="","",VLOOKUP(Table13[[#This Row],[Acc Type]],Table2[],2,FALSE))</f>
        <v>0</v>
      </c>
      <c r="AG195" s="75">
        <f>IF(Table13[[#This Row],[value Type]]="","",4*HEX2DEC(Table13[[#This Row],[Addr'[HEX']]]))</f>
        <v>88</v>
      </c>
      <c r="AH195" s="75">
        <f>IF(Table13[[#This Row],[value Type]]="","",VLOOKUP(Table13[[#This Row],[AddrTypeI]],Table22[],2,FALSE))</f>
        <v>0</v>
      </c>
      <c r="AI195" s="68">
        <f>IF(Table13[[#This Row],[value Type]]="","",VLOOKUP(Table13[[#This Row],[DataType]],Table351218[],2,FALSE))</f>
        <v>0</v>
      </c>
      <c r="AJ195" s="68">
        <f>IF(Table13[[#This Row],[value Type]]="","",Table13[[#This Row],[DataWidth]])</f>
        <v>32</v>
      </c>
      <c r="AK195" s="68">
        <f>IF(Table13[[#This Row],[value Type]]="","", Table13[[#This Row],[DataOffset]])</f>
        <v>0</v>
      </c>
      <c r="AL195" s="24"/>
      <c r="AM195" s="24" t="str">
        <f>IF(Table13[[#This Row],[value Type]]="","", "0x"&amp;DEC2HEX(Table13[[#This Row],[ADDR_Offset]],8) )</f>
        <v>0x00000058</v>
      </c>
    </row>
    <row r="196" spans="2:39" s="6" customFormat="1" x14ac:dyDescent="0.3">
      <c r="B196" s="14">
        <v>0</v>
      </c>
      <c r="C196" s="14" t="s">
        <v>82</v>
      </c>
      <c r="D196" s="14" t="s">
        <v>388</v>
      </c>
      <c r="E196" s="24" t="s">
        <v>351</v>
      </c>
      <c r="F196" s="24">
        <v>1</v>
      </c>
      <c r="G196" s="14" t="s">
        <v>507</v>
      </c>
      <c r="H196" s="15"/>
      <c r="I196" s="29">
        <v>17</v>
      </c>
      <c r="J196" s="15" t="s">
        <v>747</v>
      </c>
      <c r="K196" s="15" t="s">
        <v>52</v>
      </c>
      <c r="L196" s="14">
        <v>32</v>
      </c>
      <c r="M196" s="35">
        <v>0</v>
      </c>
      <c r="N196" s="15" t="s">
        <v>400</v>
      </c>
      <c r="O196" s="25" t="s">
        <v>402</v>
      </c>
      <c r="P196" s="25">
        <v>1</v>
      </c>
      <c r="Q196" s="26" t="s">
        <v>81</v>
      </c>
      <c r="R196" s="27" t="s">
        <v>410</v>
      </c>
      <c r="S196" s="27" t="s">
        <v>506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longin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0</v>
      </c>
      <c r="AJ196" s="68">
        <f>IF(Table13[[#This Row],[value Type]]="","",Table13[[#This Row],[DataWidth]])</f>
        <v>32</v>
      </c>
      <c r="AK196" s="68">
        <f>IF(Table13[[#This Row],[value Type]]="","", Table13[[#This Row],[DataOffset]])</f>
        <v>0</v>
      </c>
      <c r="AL196" s="24"/>
      <c r="AM196" s="24" t="str">
        <f>IF(Table13[[#This Row],[value Type]]="","", "0x"&amp;DEC2HEX(Table13[[#This Row],[ADDR_Offset]],8) )</f>
        <v>0x0000005C</v>
      </c>
    </row>
    <row r="197" spans="2:39" s="6" customFormat="1" x14ac:dyDescent="0.3">
      <c r="B197" s="14">
        <v>0</v>
      </c>
      <c r="C197" s="14"/>
      <c r="D197" s="14"/>
      <c r="E197" s="24"/>
      <c r="F197" s="24"/>
      <c r="G197" s="14"/>
      <c r="H197" s="15"/>
      <c r="I197" s="29"/>
      <c r="J197" s="15" t="s">
        <v>747</v>
      </c>
      <c r="K197" s="15"/>
      <c r="L197" s="14"/>
      <c r="M197" s="14"/>
      <c r="N197" s="15"/>
      <c r="O197" s="25"/>
      <c r="P197" s="25"/>
      <c r="Q197" s="15"/>
      <c r="R197" s="27"/>
      <c r="S197" s="27"/>
      <c r="T197" s="27"/>
      <c r="U197" s="28"/>
      <c r="V197" s="29"/>
      <c r="W197" s="14"/>
      <c r="X197" s="30"/>
      <c r="Y197" s="30"/>
      <c r="Z197" s="64"/>
      <c r="AA197" s="64"/>
      <c r="AB197" s="79"/>
      <c r="AC197" s="12"/>
      <c r="AD197" s="79"/>
      <c r="AE197" s="79"/>
      <c r="AF197" s="68"/>
      <c r="AG197" s="75"/>
      <c r="AH197" s="75" t="str">
        <f>IF(Table13[[#This Row],[value Type]]="","",VLOOKUP(Table13[[#This Row],[AddrTypeI]],Table22[],2,FALSE))</f>
        <v/>
      </c>
      <c r="AI197" s="68"/>
      <c r="AJ197" s="68"/>
      <c r="AK197" s="68"/>
      <c r="AL197" s="24"/>
      <c r="AM197" s="24"/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44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31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31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46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28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28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48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9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9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47</v>
      </c>
      <c r="H201" s="15"/>
      <c r="I201" s="29">
        <v>30</v>
      </c>
      <c r="J201" s="15" t="s">
        <v>747</v>
      </c>
      <c r="K201" s="15" t="s">
        <v>51</v>
      </c>
      <c r="L201" s="14">
        <v>1</v>
      </c>
      <c r="M201" s="35">
        <v>5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5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50</v>
      </c>
      <c r="H202" s="15"/>
      <c r="I202" s="29">
        <v>30</v>
      </c>
      <c r="J202" s="15" t="s">
        <v>747</v>
      </c>
      <c r="K202" s="15" t="s">
        <v>51</v>
      </c>
      <c r="L202" s="14">
        <v>1</v>
      </c>
      <c r="M202" s="35">
        <v>2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2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 t="s">
        <v>1</v>
      </c>
      <c r="D203" s="14" t="s">
        <v>388</v>
      </c>
      <c r="E203" s="24" t="s">
        <v>351</v>
      </c>
      <c r="F203" s="24">
        <v>1</v>
      </c>
      <c r="G203" s="14" t="s">
        <v>59</v>
      </c>
      <c r="H203" s="15" t="s">
        <v>54</v>
      </c>
      <c r="I203" s="29">
        <v>30</v>
      </c>
      <c r="J203" s="15" t="s">
        <v>747</v>
      </c>
      <c r="K203" s="15" t="s">
        <v>51</v>
      </c>
      <c r="L203" s="14">
        <v>1</v>
      </c>
      <c r="M203" s="35">
        <v>1</v>
      </c>
      <c r="N203" s="15" t="s">
        <v>400</v>
      </c>
      <c r="O203" s="25" t="s">
        <v>402</v>
      </c>
      <c r="P203" s="25">
        <v>1</v>
      </c>
      <c r="Q203" s="26" t="s">
        <v>80</v>
      </c>
      <c r="R203" s="27" t="s">
        <v>410</v>
      </c>
      <c r="S203" s="27" t="s">
        <v>405</v>
      </c>
      <c r="T203" s="27">
        <v>0</v>
      </c>
      <c r="U203" s="28"/>
      <c r="V203" s="14"/>
      <c r="W203" s="14"/>
      <c r="X203" s="30" t="str">
        <f>IF(Table13[[#This Row],[value Type]]="","",VLOOKUP(Table13[[#This Row],[value Type]],Table2915[],2,FALSE))</f>
        <v>longout</v>
      </c>
      <c r="Y203" s="30" t="str">
        <f>IF(Table13[[#This Row],[value Type]]="","",VLOOKUP(Table13[[#This Row],[value Type]],Table2915[],3,FALSE))</f>
        <v>asynParamInt32</v>
      </c>
      <c r="Z203" s="64" t="str">
        <f>IF(Table13[[#This Row],[value Type]]="","",VLOOKUP(Table13[[#This Row],[value Type]],Table2915[],4,FALSE))</f>
        <v>"asynInt32"</v>
      </c>
      <c r="AA203" s="64" t="str">
        <f>IF(Table13[[#This Row],[value Type]]="","",    IF(Table13[[#This Row],[IP MAX]]="","","@"  )     )</f>
        <v>@</v>
      </c>
      <c r="AB203" s="79" t="str">
        <f>IF(Table13[[#This Row],[value Type]]="","",VLOOKUP(Table13[[#This Row],[value Type]],Table2915[],5,FALSE))</f>
        <v xml:space="preserve"> </v>
      </c>
      <c r="AC2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3" s="79">
        <f>IF(Table13[[#This Row],[value Type]]="","",VLOOKUP(Table13[[#This Row],[IP]],Table51117[],2,FALSE))</f>
        <v>3</v>
      </c>
      <c r="AE203" s="79" t="str">
        <f>IF(Table13[[#This Row],[value Type]]="","",    IF(Table13[[#This Row],[IP MAX]]="","0","@"  )     )</f>
        <v>@</v>
      </c>
      <c r="AF203" s="68">
        <f>IF(Table13[[#This Row],[value Type]]="","",VLOOKUP(Table13[[#This Row],[Acc Type]],Table2[],2,FALSE))</f>
        <v>0</v>
      </c>
      <c r="AG203" s="75">
        <f>IF(Table13[[#This Row],[value Type]]="","",4*HEX2DEC(Table13[[#This Row],[Addr'[HEX']]]))</f>
        <v>192</v>
      </c>
      <c r="AH203" s="75">
        <f>IF(Table13[[#This Row],[value Type]]="","",VLOOKUP(Table13[[#This Row],[AddrTypeI]],Table22[],2,FALSE))</f>
        <v>0</v>
      </c>
      <c r="AI203" s="68">
        <f>IF(Table13[[#This Row],[value Type]]="","",VLOOKUP(Table13[[#This Row],[DataType]],Table351218[],2,FALSE))</f>
        <v>3</v>
      </c>
      <c r="AJ203" s="68">
        <f>IF(Table13[[#This Row],[value Type]]="","",Table13[[#This Row],[DataWidth]])</f>
        <v>1</v>
      </c>
      <c r="AK203" s="68">
        <f>IF(Table13[[#This Row],[value Type]]="","", Table13[[#This Row],[DataOffset]])</f>
        <v>1</v>
      </c>
      <c r="AL203" s="24"/>
      <c r="AM203" s="24" t="str">
        <f>IF(Table13[[#This Row],[value Type]]="","", "0x"&amp;DEC2HEX(Table13[[#This Row],[ADDR_Offset]],8) )</f>
        <v>0x000000C0</v>
      </c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59</v>
      </c>
      <c r="H204" s="15" t="s">
        <v>19</v>
      </c>
      <c r="I204" s="29">
        <v>30</v>
      </c>
      <c r="J204" s="15" t="s">
        <v>747</v>
      </c>
      <c r="K204" s="15" t="s">
        <v>51</v>
      </c>
      <c r="L204" s="14">
        <v>1</v>
      </c>
      <c r="M204" s="35">
        <v>0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192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3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0</v>
      </c>
      <c r="AL204" s="24"/>
      <c r="AM204" s="24" t="str">
        <f>IF(Table13[[#This Row],[value Type]]="","", "0x"&amp;DEC2HEX(Table13[[#This Row],[ADDR_Offset]],8) )</f>
        <v>0x000000C0</v>
      </c>
    </row>
    <row r="205" spans="2:39" s="6" customFormat="1" x14ac:dyDescent="0.3">
      <c r="B205" s="14">
        <v>0</v>
      </c>
      <c r="C205" s="14"/>
      <c r="D205" s="14"/>
      <c r="E205" s="24"/>
      <c r="F205" s="24"/>
      <c r="G205" s="14"/>
      <c r="H205" s="15"/>
      <c r="I205" s="29"/>
      <c r="J205" s="15" t="s">
        <v>747</v>
      </c>
      <c r="K205" s="15"/>
      <c r="L205" s="14"/>
      <c r="M205" s="35"/>
      <c r="N205" s="15"/>
      <c r="O205" s="25"/>
      <c r="P205" s="25"/>
      <c r="Q205" s="26"/>
      <c r="R205" s="27"/>
      <c r="S205" s="27"/>
      <c r="T205" s="27"/>
      <c r="U205" s="28"/>
      <c r="V205" s="14"/>
      <c r="W205" s="14"/>
      <c r="X205" s="30"/>
      <c r="Y205" s="30"/>
      <c r="Z205" s="64"/>
      <c r="AA205" s="64"/>
      <c r="AB205" s="79"/>
      <c r="AC205" s="12"/>
      <c r="AD205" s="79"/>
      <c r="AE205" s="79"/>
      <c r="AF205" s="68"/>
      <c r="AG205" s="75"/>
      <c r="AH205" s="75" t="str">
        <f>IF(Table13[[#This Row],[value Type]]="","",VLOOKUP(Table13[[#This Row],[AddrTypeI]],Table22[],2,FALSE))</f>
        <v/>
      </c>
      <c r="AI205" s="68"/>
      <c r="AJ205" s="68"/>
      <c r="AK205" s="68"/>
      <c r="AL205" s="24"/>
      <c r="AM205" s="24"/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60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31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31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61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30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30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62</v>
      </c>
      <c r="H208" s="15"/>
      <c r="I208" s="29">
        <v>38</v>
      </c>
      <c r="J208" s="15" t="s">
        <v>747</v>
      </c>
      <c r="K208" s="15" t="s">
        <v>52</v>
      </c>
      <c r="L208" s="14">
        <v>1</v>
      </c>
      <c r="M208" s="35">
        <v>29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29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63</v>
      </c>
      <c r="H209" s="15"/>
      <c r="I209" s="29">
        <v>38</v>
      </c>
      <c r="J209" s="15" t="s">
        <v>747</v>
      </c>
      <c r="K209" s="15" t="s">
        <v>52</v>
      </c>
      <c r="L209" s="14">
        <v>1</v>
      </c>
      <c r="M209" s="35">
        <v>28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28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64</v>
      </c>
      <c r="H210" s="15" t="s">
        <v>54</v>
      </c>
      <c r="I210" s="29">
        <v>38</v>
      </c>
      <c r="J210" s="15" t="s">
        <v>747</v>
      </c>
      <c r="K210" s="15" t="s">
        <v>52</v>
      </c>
      <c r="L210" s="14">
        <v>1</v>
      </c>
      <c r="M210" s="35">
        <v>27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27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64</v>
      </c>
      <c r="H211" s="15" t="s">
        <v>19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26</v>
      </c>
      <c r="N211" s="15" t="s">
        <v>400</v>
      </c>
      <c r="O211" s="25" t="s">
        <v>402</v>
      </c>
      <c r="P211" s="25">
        <v>1</v>
      </c>
      <c r="Q211" s="26" t="s">
        <v>80</v>
      </c>
      <c r="R211" s="27" t="s">
        <v>410</v>
      </c>
      <c r="S211" s="27" t="s">
        <v>405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26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65</v>
      </c>
      <c r="H212" s="15"/>
      <c r="I212" s="29">
        <v>38</v>
      </c>
      <c r="J212" s="15" t="s">
        <v>747</v>
      </c>
      <c r="K212" s="15" t="s">
        <v>52</v>
      </c>
      <c r="L212" s="14">
        <v>1</v>
      </c>
      <c r="M212" s="35">
        <v>25</v>
      </c>
      <c r="N212" s="15" t="s">
        <v>400</v>
      </c>
      <c r="O212" s="25" t="s">
        <v>402</v>
      </c>
      <c r="P212" s="25">
        <v>1</v>
      </c>
      <c r="Q212" s="26" t="s">
        <v>80</v>
      </c>
      <c r="R212" s="27" t="s">
        <v>410</v>
      </c>
      <c r="S212" s="27" t="s">
        <v>405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25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 t="s">
        <v>1</v>
      </c>
      <c r="D213" s="14" t="s">
        <v>388</v>
      </c>
      <c r="E213" s="24" t="s">
        <v>351</v>
      </c>
      <c r="F213" s="24">
        <v>1</v>
      </c>
      <c r="G213" s="14" t="s">
        <v>889</v>
      </c>
      <c r="H213" s="15" t="s">
        <v>54</v>
      </c>
      <c r="I213" s="29">
        <v>38</v>
      </c>
      <c r="J213" s="15" t="s">
        <v>747</v>
      </c>
      <c r="K213" s="15" t="s">
        <v>52</v>
      </c>
      <c r="L213" s="14">
        <v>1</v>
      </c>
      <c r="M213" s="35">
        <v>24</v>
      </c>
      <c r="N213" s="15" t="s">
        <v>105</v>
      </c>
      <c r="O213" s="25" t="s">
        <v>96</v>
      </c>
      <c r="P213" s="25">
        <v>1</v>
      </c>
      <c r="Q213" s="26" t="s">
        <v>80</v>
      </c>
      <c r="R213" s="27" t="s">
        <v>277</v>
      </c>
      <c r="S213" s="27" t="s">
        <v>399</v>
      </c>
      <c r="T213" s="27">
        <v>0</v>
      </c>
      <c r="U213" s="28"/>
      <c r="V213" s="14"/>
      <c r="W213" s="14"/>
      <c r="X213" s="30" t="str">
        <f>IF(Table13[[#This Row],[value Type]]="","",VLOOKUP(Table13[[#This Row],[value Type]],Table2915[],2,FALSE))</f>
        <v>longout</v>
      </c>
      <c r="Y213" s="30" t="str">
        <f>IF(Table13[[#This Row],[value Type]]="","",VLOOKUP(Table13[[#This Row],[value Type]],Table2915[],3,FALSE))</f>
        <v>asynParamInt32</v>
      </c>
      <c r="Z213" s="64" t="str">
        <f>IF(Table13[[#This Row],[value Type]]="","",VLOOKUP(Table13[[#This Row],[value Type]],Table2915[],4,FALSE))</f>
        <v>"asynInt32"</v>
      </c>
      <c r="AA213" s="64" t="str">
        <f>IF(Table13[[#This Row],[value Type]]="","",    IF(Table13[[#This Row],[IP MAX]]="","","@"  )     )</f>
        <v>@</v>
      </c>
      <c r="AB213" s="79" t="str">
        <f>IF(Table13[[#This Row],[value Type]]="","",VLOOKUP(Table13[[#This Row],[value Type]],Table2915[],5,FALSE))</f>
        <v xml:space="preserve"> </v>
      </c>
      <c r="AC2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3" s="79">
        <f>IF(Table13[[#This Row],[value Type]]="","",VLOOKUP(Table13[[#This Row],[IP]],Table51117[],2,FALSE))</f>
        <v>3</v>
      </c>
      <c r="AE213" s="79" t="str">
        <f>IF(Table13[[#This Row],[value Type]]="","",    IF(Table13[[#This Row],[IP MAX]]="","0","@"  )     )</f>
        <v>@</v>
      </c>
      <c r="AF213" s="68">
        <f>IF(Table13[[#This Row],[value Type]]="","",VLOOKUP(Table13[[#This Row],[Acc Type]],Table2[],2,FALSE))</f>
        <v>0</v>
      </c>
      <c r="AG213" s="75">
        <f>IF(Table13[[#This Row],[value Type]]="","",4*HEX2DEC(Table13[[#This Row],[Addr'[HEX']]]))</f>
        <v>224</v>
      </c>
      <c r="AH213" s="75">
        <f>IF(Table13[[#This Row],[value Type]]="","",VLOOKUP(Table13[[#This Row],[AddrTypeI]],Table22[],2,FALSE))</f>
        <v>0</v>
      </c>
      <c r="AI213" s="68">
        <f>IF(Table13[[#This Row],[value Type]]="","",VLOOKUP(Table13[[#This Row],[DataType]],Table351218[],2,FALSE))</f>
        <v>0</v>
      </c>
      <c r="AJ213" s="68">
        <f>IF(Table13[[#This Row],[value Type]]="","",Table13[[#This Row],[DataWidth]])</f>
        <v>1</v>
      </c>
      <c r="AK213" s="68">
        <f>IF(Table13[[#This Row],[value Type]]="","", Table13[[#This Row],[DataOffset]])</f>
        <v>24</v>
      </c>
      <c r="AL213" s="24"/>
      <c r="AM213" s="24" t="str">
        <f>IF(Table13[[#This Row],[value Type]]="","", "0x"&amp;DEC2HEX(Table13[[#This Row],[ADDR_Offset]],8) )</f>
        <v>0x000000E0</v>
      </c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889</v>
      </c>
      <c r="H214" s="15" t="s">
        <v>19</v>
      </c>
      <c r="I214" s="29">
        <v>38</v>
      </c>
      <c r="J214" s="15" t="s">
        <v>747</v>
      </c>
      <c r="K214" s="15" t="s">
        <v>52</v>
      </c>
      <c r="L214" s="14">
        <v>1</v>
      </c>
      <c r="M214" s="35">
        <v>23</v>
      </c>
      <c r="N214" s="15" t="s">
        <v>105</v>
      </c>
      <c r="O214" s="25" t="s">
        <v>96</v>
      </c>
      <c r="P214" s="25">
        <v>1</v>
      </c>
      <c r="Q214" s="26" t="s">
        <v>80</v>
      </c>
      <c r="R214" s="27" t="s">
        <v>277</v>
      </c>
      <c r="S214" s="27" t="s">
        <v>399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224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</v>
      </c>
      <c r="AK214" s="68">
        <f>IF(Table13[[#This Row],[value Type]]="","", Table13[[#This Row],[DataOffset]])</f>
        <v>23</v>
      </c>
      <c r="AL214" s="24"/>
      <c r="AM214" s="24" t="str">
        <f>IF(Table13[[#This Row],[value Type]]="","", "0x"&amp;DEC2HEX(Table13[[#This Row],[ADDR_Offset]],8) )</f>
        <v>0x000000E0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35"/>
      <c r="N215" s="15"/>
      <c r="O215" s="25"/>
      <c r="P215" s="25"/>
      <c r="Q215" s="26"/>
      <c r="R215" s="27"/>
      <c r="S215" s="27"/>
      <c r="T215" s="27"/>
      <c r="U215" s="28"/>
      <c r="V215" s="14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1</v>
      </c>
      <c r="D216" s="14" t="s">
        <v>388</v>
      </c>
      <c r="E216" s="24" t="s">
        <v>351</v>
      </c>
      <c r="F216" s="24">
        <v>1</v>
      </c>
      <c r="G216" s="14" t="s">
        <v>508</v>
      </c>
      <c r="H216" s="15"/>
      <c r="I216" s="29" t="s">
        <v>509</v>
      </c>
      <c r="J216" s="15" t="s">
        <v>747</v>
      </c>
      <c r="K216" s="15" t="s">
        <v>52</v>
      </c>
      <c r="L216" s="14">
        <v>16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longout</v>
      </c>
      <c r="Y216" s="30" t="str">
        <f>IF(Table13[[#This Row],[value Type]]="","",VLOOKUP(Table13[[#This Row],[value Type]],Table2915[],3,FALSE))</f>
        <v>asynParamInt32</v>
      </c>
      <c r="Z216" s="64" t="str">
        <f>IF(Table13[[#This Row],[value Type]]="","",VLOOKUP(Table13[[#This Row],[value Type]],Table2915[],4,FALSE))</f>
        <v>"asynInt32"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248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0</v>
      </c>
      <c r="AJ216" s="68">
        <f>IF(Table13[[#This Row],[value Type]]="","",Table13[[#This Row],[DataWidth]])</f>
        <v>16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0x000000F8</v>
      </c>
    </row>
    <row r="217" spans="2:39" s="6" customFormat="1" x14ac:dyDescent="0.3">
      <c r="B217" s="14">
        <v>0</v>
      </c>
      <c r="C217" s="14"/>
      <c r="D217" s="14"/>
      <c r="E217" s="24"/>
      <c r="F217" s="24"/>
      <c r="G217" s="14"/>
      <c r="H217" s="15"/>
      <c r="I217" s="29"/>
      <c r="J217" s="15" t="s">
        <v>747</v>
      </c>
      <c r="K217" s="15"/>
      <c r="L217" s="14"/>
      <c r="M217" s="14"/>
      <c r="N217" s="15"/>
      <c r="O217" s="25"/>
      <c r="P217" s="25"/>
      <c r="Q217" s="26"/>
      <c r="R217" s="27"/>
      <c r="S217" s="27"/>
      <c r="T217" s="27"/>
      <c r="U217" s="28"/>
      <c r="V217" s="29"/>
      <c r="W217" s="14"/>
      <c r="X217" s="30"/>
      <c r="Y217" s="30"/>
      <c r="Z217" s="64"/>
      <c r="AA217" s="64"/>
      <c r="AB217" s="79"/>
      <c r="AC217" s="12"/>
      <c r="AD217" s="79"/>
      <c r="AE217" s="79"/>
      <c r="AF217" s="68"/>
      <c r="AG217" s="75"/>
      <c r="AH217" s="75" t="str">
        <f>IF(Table13[[#This Row],[value Type]]="","",VLOOKUP(Table13[[#This Row],[AddrTypeI]],Table22[],2,FALSE))</f>
        <v/>
      </c>
      <c r="AI217" s="68"/>
      <c r="AJ217" s="68"/>
      <c r="AK217" s="68"/>
      <c r="AL217" s="24"/>
      <c r="AM217" s="24"/>
    </row>
    <row r="218" spans="2:39" s="6" customFormat="1" x14ac:dyDescent="0.3">
      <c r="B218" s="14">
        <v>0</v>
      </c>
      <c r="C218" s="14" t="s">
        <v>2</v>
      </c>
      <c r="D218" s="14" t="s">
        <v>388</v>
      </c>
      <c r="E218" s="24" t="s">
        <v>351</v>
      </c>
      <c r="F218" s="24">
        <v>1</v>
      </c>
      <c r="G218" s="14" t="s">
        <v>67</v>
      </c>
      <c r="H218" s="15" t="s">
        <v>54</v>
      </c>
      <c r="I218" s="29">
        <v>43</v>
      </c>
      <c r="J218" s="15" t="s">
        <v>747</v>
      </c>
      <c r="K218" s="15" t="s">
        <v>251</v>
      </c>
      <c r="L218" s="14">
        <v>4</v>
      </c>
      <c r="M218" s="35">
        <v>0</v>
      </c>
      <c r="N218" s="15" t="s">
        <v>400</v>
      </c>
      <c r="O218" s="25" t="s">
        <v>402</v>
      </c>
      <c r="P218" s="25">
        <v>1</v>
      </c>
      <c r="Q218" s="26" t="s">
        <v>80</v>
      </c>
      <c r="R218" s="27" t="s">
        <v>410</v>
      </c>
      <c r="S218" s="27" t="s">
        <v>405</v>
      </c>
      <c r="T218" s="27">
        <v>0</v>
      </c>
      <c r="U218" s="28"/>
      <c r="V218" s="14"/>
      <c r="W218" s="14"/>
      <c r="X218" s="30" t="str">
        <f>IF(Table13[[#This Row],[value Type]]="","",VLOOKUP(Table13[[#This Row],[value Type]],Table2915[],2,FALSE))</f>
        <v>stringout</v>
      </c>
      <c r="Y218" s="30" t="str">
        <f>IF(Table13[[#This Row],[value Type]]="","",VLOOKUP(Table13[[#This Row],[value Type]],Table2915[],3,FALSE))</f>
        <v>asynParamOctet</v>
      </c>
      <c r="Z218" s="64" t="str">
        <f>IF(Table13[[#This Row],[value Type]]="","",VLOOKUP(Table13[[#This Row],[value Type]],Table2915[],4,FALSE))</f>
        <v xml:space="preserve"> </v>
      </c>
      <c r="AA218" s="64" t="str">
        <f>IF(Table13[[#This Row],[value Type]]="","",    IF(Table13[[#This Row],[IP MAX]]="","","@"  )     )</f>
        <v>@</v>
      </c>
      <c r="AB218" s="79" t="str">
        <f>IF(Table13[[#This Row],[value Type]]="","",VLOOKUP(Table13[[#This Row],[value Type]],Table2915[],5,FALSE))</f>
        <v xml:space="preserve"> </v>
      </c>
      <c r="AC2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8" s="79">
        <f>IF(Table13[[#This Row],[value Type]]="","",VLOOKUP(Table13[[#This Row],[IP]],Table51117[],2,FALSE))</f>
        <v>3</v>
      </c>
      <c r="AE218" s="79" t="str">
        <f>IF(Table13[[#This Row],[value Type]]="","",    IF(Table13[[#This Row],[IP MAX]]="","0","@"  )     )</f>
        <v>@</v>
      </c>
      <c r="AF218" s="68">
        <f>IF(Table13[[#This Row],[value Type]]="","",VLOOKUP(Table13[[#This Row],[Acc Type]],Table2[],2,FALSE))</f>
        <v>0</v>
      </c>
      <c r="AG218" s="75">
        <f>IF(Table13[[#This Row],[value Type]]="","",4*HEX2DEC(Table13[[#This Row],[Addr'[HEX']]]))</f>
        <v>268</v>
      </c>
      <c r="AH218" s="75">
        <f>IF(Table13[[#This Row],[value Type]]="","",VLOOKUP(Table13[[#This Row],[AddrTypeI]],Table22[],2,FALSE))</f>
        <v>0</v>
      </c>
      <c r="AI218" s="68">
        <f>IF(Table13[[#This Row],[value Type]]="","",VLOOKUP(Table13[[#This Row],[DataType]],Table351218[],2,FALSE))</f>
        <v>2</v>
      </c>
      <c r="AJ218" s="68">
        <f>IF(Table13[[#This Row],[value Type]]="","",Table13[[#This Row],[DataWidth]])</f>
        <v>4</v>
      </c>
      <c r="AK218" s="68">
        <f>IF(Table13[[#This Row],[value Type]]="","", Table13[[#This Row],[DataOffset]])</f>
        <v>0</v>
      </c>
      <c r="AL218" s="24"/>
      <c r="AM218" s="24" t="str">
        <f>IF(Table13[[#This Row],[value Type]]="","", "0x"&amp;DEC2HEX(Table13[[#This Row],[ADDR_Offset]],8) )</f>
        <v>0x0000010C</v>
      </c>
    </row>
    <row r="219" spans="2:39" s="6" customFormat="1" x14ac:dyDescent="0.3">
      <c r="B219" s="14">
        <v>0</v>
      </c>
      <c r="C219" s="14" t="s">
        <v>2</v>
      </c>
      <c r="D219" s="14" t="s">
        <v>388</v>
      </c>
      <c r="E219" s="24" t="s">
        <v>351</v>
      </c>
      <c r="F219" s="24">
        <v>1</v>
      </c>
      <c r="G219" s="14" t="s">
        <v>67</v>
      </c>
      <c r="H219" s="15" t="s">
        <v>19</v>
      </c>
      <c r="I219" s="29">
        <v>43</v>
      </c>
      <c r="J219" s="15" t="s">
        <v>747</v>
      </c>
      <c r="K219" s="15" t="s">
        <v>251</v>
      </c>
      <c r="L219" s="14">
        <v>4</v>
      </c>
      <c r="M219" s="35">
        <v>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stringout</v>
      </c>
      <c r="Y219" s="30" t="str">
        <f>IF(Table13[[#This Row],[value Type]]="","",VLOOKUP(Table13[[#This Row],[value Type]],Table2915[],3,FALSE))</f>
        <v>asynParamOctet</v>
      </c>
      <c r="Z219" s="64" t="str">
        <f>IF(Table13[[#This Row],[value Type]]="","",VLOOKUP(Table13[[#This Row],[value Type]],Table2915[],4,FALSE))</f>
        <v xml:space="preserve"> 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268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2</v>
      </c>
      <c r="AJ219" s="68">
        <f>IF(Table13[[#This Row],[value Type]]="","",Table13[[#This Row],[DataWidth]])</f>
        <v>4</v>
      </c>
      <c r="AK219" s="68">
        <f>IF(Table13[[#This Row],[value Type]]="","", Table13[[#This Row],[DataOffset]])</f>
        <v>4</v>
      </c>
      <c r="AL219" s="24"/>
      <c r="AM219" s="24" t="str">
        <f>IF(Table13[[#This Row],[value Type]]="","", "0x"&amp;DEC2HEX(Table13[[#This Row],[ADDR_Offset]],8) )</f>
        <v>0x0000010C</v>
      </c>
    </row>
    <row r="220" spans="2:39" s="6" customFormat="1" x14ac:dyDescent="0.3">
      <c r="B220" s="14">
        <v>0</v>
      </c>
      <c r="C220" s="14"/>
      <c r="D220" s="14"/>
      <c r="E220" s="24"/>
      <c r="F220" s="24"/>
      <c r="G220" s="14"/>
      <c r="H220" s="15"/>
      <c r="I220" s="29"/>
      <c r="J220" s="15" t="s">
        <v>747</v>
      </c>
      <c r="K220" s="15"/>
      <c r="L220" s="14"/>
      <c r="M220" s="35"/>
      <c r="N220" s="15"/>
      <c r="O220" s="25"/>
      <c r="P220" s="25"/>
      <c r="Q220" s="26"/>
      <c r="R220" s="27"/>
      <c r="S220" s="27"/>
      <c r="T220" s="27"/>
      <c r="U220" s="28"/>
      <c r="V220" s="14"/>
      <c r="W220" s="14"/>
      <c r="X220" s="30"/>
      <c r="Y220" s="30"/>
      <c r="Z220" s="64"/>
      <c r="AA220" s="64"/>
      <c r="AB220" s="79"/>
      <c r="AC220" s="12"/>
      <c r="AD220" s="79"/>
      <c r="AE220" s="79"/>
      <c r="AF220" s="68"/>
      <c r="AG220" s="75"/>
      <c r="AH220" s="75" t="str">
        <f>IF(Table13[[#This Row],[value Type]]="","",VLOOKUP(Table13[[#This Row],[AddrTypeI]],Table22[],2,FALSE))</f>
        <v/>
      </c>
      <c r="AI220" s="68"/>
      <c r="AJ220" s="68"/>
      <c r="AK220" s="68"/>
      <c r="AL220" s="24"/>
      <c r="AM220" s="24"/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54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54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0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19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19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1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6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6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2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7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7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3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8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8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4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9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9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5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10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10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405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6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11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11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7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12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12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476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8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13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13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9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20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20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10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21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21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11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22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22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12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23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23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13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24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24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14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25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25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15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26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26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16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27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27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17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28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28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18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29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29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19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30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30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20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31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31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21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32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32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22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33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33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23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34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34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24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35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35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25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36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36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26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37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37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27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38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38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405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28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39</v>
      </c>
      <c r="I250" s="29">
        <v>44</v>
      </c>
      <c r="J250" s="15" t="s">
        <v>747</v>
      </c>
      <c r="K250" s="15" t="s">
        <v>52</v>
      </c>
      <c r="L250" s="14">
        <v>1</v>
      </c>
      <c r="M250" s="35" t="s">
        <v>39</v>
      </c>
      <c r="N250" s="15" t="s">
        <v>400</v>
      </c>
      <c r="O250" s="25" t="s">
        <v>402</v>
      </c>
      <c r="P250" s="25">
        <v>1</v>
      </c>
      <c r="Q250" s="26" t="s">
        <v>80</v>
      </c>
      <c r="R250" s="27" t="s">
        <v>410</v>
      </c>
      <c r="S250" s="27" t="s">
        <v>405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 t="str">
        <f>IF(Table13[[#This Row],[value Type]]="","", Table13[[#This Row],[DataOffset]])</f>
        <v>29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 t="s">
        <v>1</v>
      </c>
      <c r="D251" s="14" t="s">
        <v>388</v>
      </c>
      <c r="E251" s="24" t="s">
        <v>351</v>
      </c>
      <c r="F251" s="24">
        <v>1</v>
      </c>
      <c r="G251" s="14" t="s">
        <v>510</v>
      </c>
      <c r="H251" s="15" t="s">
        <v>40</v>
      </c>
      <c r="I251" s="29">
        <v>44</v>
      </c>
      <c r="J251" s="15" t="s">
        <v>747</v>
      </c>
      <c r="K251" s="15" t="s">
        <v>52</v>
      </c>
      <c r="L251" s="14">
        <v>1</v>
      </c>
      <c r="M251" s="35" t="s">
        <v>40</v>
      </c>
      <c r="N251" s="15" t="s">
        <v>400</v>
      </c>
      <c r="O251" s="25" t="s">
        <v>402</v>
      </c>
      <c r="P251" s="25">
        <v>1</v>
      </c>
      <c r="Q251" s="26" t="s">
        <v>80</v>
      </c>
      <c r="R251" s="27" t="s">
        <v>410</v>
      </c>
      <c r="S251" s="27" t="s">
        <v>476</v>
      </c>
      <c r="T251" s="27">
        <v>0</v>
      </c>
      <c r="U251" s="28"/>
      <c r="V251" s="14"/>
      <c r="W251" s="14"/>
      <c r="X251" s="30" t="str">
        <f>IF(Table13[[#This Row],[value Type]]="","",VLOOKUP(Table13[[#This Row],[value Type]],Table2915[],2,FALSE))</f>
        <v>longout</v>
      </c>
      <c r="Y251" s="30" t="str">
        <f>IF(Table13[[#This Row],[value Type]]="","",VLOOKUP(Table13[[#This Row],[value Type]],Table2915[],3,FALSE))</f>
        <v>asynParamInt32</v>
      </c>
      <c r="Z251" s="64" t="str">
        <f>IF(Table13[[#This Row],[value Type]]="","",VLOOKUP(Table13[[#This Row],[value Type]],Table2915[],4,FALSE))</f>
        <v>"asynInt32"</v>
      </c>
      <c r="AA251" s="64" t="str">
        <f>IF(Table13[[#This Row],[value Type]]="","",    IF(Table13[[#This Row],[IP MAX]]="","","@"  )     )</f>
        <v>@</v>
      </c>
      <c r="AB251" s="79" t="str">
        <f>IF(Table13[[#This Row],[value Type]]="","",VLOOKUP(Table13[[#This Row],[value Type]],Table2915[],5,FALSE))</f>
        <v xml:space="preserve"> </v>
      </c>
      <c r="AC2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51" s="79">
        <f>IF(Table13[[#This Row],[value Type]]="","",VLOOKUP(Table13[[#This Row],[IP]],Table51117[],2,FALSE))</f>
        <v>3</v>
      </c>
      <c r="AE251" s="79" t="str">
        <f>IF(Table13[[#This Row],[value Type]]="","",    IF(Table13[[#This Row],[IP MAX]]="","0","@"  )     )</f>
        <v>@</v>
      </c>
      <c r="AF251" s="68">
        <f>IF(Table13[[#This Row],[value Type]]="","",VLOOKUP(Table13[[#This Row],[Acc Type]],Table2[],2,FALSE))</f>
        <v>0</v>
      </c>
      <c r="AG251" s="75">
        <f>IF(Table13[[#This Row],[value Type]]="","",4*HEX2DEC(Table13[[#This Row],[Addr'[HEX']]]))</f>
        <v>272</v>
      </c>
      <c r="AH251" s="75">
        <f>IF(Table13[[#This Row],[value Type]]="","",VLOOKUP(Table13[[#This Row],[AddrTypeI]],Table22[],2,FALSE))</f>
        <v>0</v>
      </c>
      <c r="AI251" s="68">
        <f>IF(Table13[[#This Row],[value Type]]="","",VLOOKUP(Table13[[#This Row],[DataType]],Table351218[],2,FALSE))</f>
        <v>0</v>
      </c>
      <c r="AJ251" s="68">
        <f>IF(Table13[[#This Row],[value Type]]="","",Table13[[#This Row],[DataWidth]])</f>
        <v>1</v>
      </c>
      <c r="AK251" s="68" t="str">
        <f>IF(Table13[[#This Row],[value Type]]="","", Table13[[#This Row],[DataOffset]])</f>
        <v>30</v>
      </c>
      <c r="AL251" s="24"/>
      <c r="AM251" s="24" t="str">
        <f>IF(Table13[[#This Row],[value Type]]="","", "0x"&amp;DEC2HEX(Table13[[#This Row],[ADDR_Offset]],8) )</f>
        <v>0x00000110</v>
      </c>
    </row>
    <row r="252" spans="2:39" s="6" customFormat="1" x14ac:dyDescent="0.3">
      <c r="B252" s="14">
        <v>0</v>
      </c>
      <c r="C252" s="14" t="s">
        <v>1</v>
      </c>
      <c r="D252" s="14" t="s">
        <v>388</v>
      </c>
      <c r="E252" s="24" t="s">
        <v>351</v>
      </c>
      <c r="F252" s="24">
        <v>1</v>
      </c>
      <c r="G252" s="14" t="s">
        <v>510</v>
      </c>
      <c r="H252" s="15" t="s">
        <v>885</v>
      </c>
      <c r="I252" s="29">
        <v>44</v>
      </c>
      <c r="J252" s="15" t="s">
        <v>747</v>
      </c>
      <c r="K252" s="15" t="s">
        <v>52</v>
      </c>
      <c r="L252" s="14">
        <v>1</v>
      </c>
      <c r="M252" s="35">
        <v>31</v>
      </c>
      <c r="N252" s="15" t="s">
        <v>105</v>
      </c>
      <c r="O252" s="25" t="s">
        <v>96</v>
      </c>
      <c r="P252" s="25">
        <v>1</v>
      </c>
      <c r="Q252" s="26" t="s">
        <v>80</v>
      </c>
      <c r="R252" s="27" t="s">
        <v>277</v>
      </c>
      <c r="S252" s="27" t="s">
        <v>476</v>
      </c>
      <c r="T252" s="27">
        <v>0</v>
      </c>
      <c r="U252" s="28"/>
      <c r="V252" s="14"/>
      <c r="W252" s="14"/>
      <c r="X252" s="30" t="str">
        <f>IF(Table13[[#This Row],[value Type]]="","",VLOOKUP(Table13[[#This Row],[value Type]],Table2915[],2,FALSE))</f>
        <v>longout</v>
      </c>
      <c r="Y252" s="30" t="str">
        <f>IF(Table13[[#This Row],[value Type]]="","",VLOOKUP(Table13[[#This Row],[value Type]],Table2915[],3,FALSE))</f>
        <v>asynParamInt32</v>
      </c>
      <c r="Z252" s="64" t="str">
        <f>IF(Table13[[#This Row],[value Type]]="","",VLOOKUP(Table13[[#This Row],[value Type]],Table2915[],4,FALSE))</f>
        <v>"asynInt32"</v>
      </c>
      <c r="AA252" s="64" t="str">
        <f>IF(Table13[[#This Row],[value Type]]="","",    IF(Table13[[#This Row],[IP MAX]]="","","@"  )     )</f>
        <v>@</v>
      </c>
      <c r="AB252" s="79" t="str">
        <f>IF(Table13[[#This Row],[value Type]]="","",VLOOKUP(Table13[[#This Row],[value Type]],Table2915[],5,FALSE))</f>
        <v xml:space="preserve"> </v>
      </c>
      <c r="AC2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2" s="79">
        <f>IF(Table13[[#This Row],[value Type]]="","",VLOOKUP(Table13[[#This Row],[IP]],Table51117[],2,FALSE))</f>
        <v>3</v>
      </c>
      <c r="AE252" s="79" t="str">
        <f>IF(Table13[[#This Row],[value Type]]="","",    IF(Table13[[#This Row],[IP MAX]]="","0","@"  )     )</f>
        <v>@</v>
      </c>
      <c r="AF252" s="68">
        <f>IF(Table13[[#This Row],[value Type]]="","",VLOOKUP(Table13[[#This Row],[Acc Type]],Table2[],2,FALSE))</f>
        <v>0</v>
      </c>
      <c r="AG252" s="75">
        <f>IF(Table13[[#This Row],[value Type]]="","",4*HEX2DEC(Table13[[#This Row],[Addr'[HEX']]]))</f>
        <v>272</v>
      </c>
      <c r="AH252" s="75">
        <f>IF(Table13[[#This Row],[value Type]]="","",VLOOKUP(Table13[[#This Row],[AddrTypeI]],Table22[],2,FALSE))</f>
        <v>0</v>
      </c>
      <c r="AI252" s="68">
        <f>IF(Table13[[#This Row],[value Type]]="","",VLOOKUP(Table13[[#This Row],[DataType]],Table351218[],2,FALSE))</f>
        <v>0</v>
      </c>
      <c r="AJ252" s="68">
        <f>IF(Table13[[#This Row],[value Type]]="","",Table13[[#This Row],[DataWidth]])</f>
        <v>1</v>
      </c>
      <c r="AK252" s="68">
        <f>IF(Table13[[#This Row],[value Type]]="","", Table13[[#This Row],[DataOffset]])</f>
        <v>31</v>
      </c>
      <c r="AL252" s="24"/>
      <c r="AM252" s="24" t="str">
        <f>IF(Table13[[#This Row],[value Type]]="","", "0x"&amp;DEC2HEX(Table13[[#This Row],[ADDR_Offset]],8) )</f>
        <v>0x00000110</v>
      </c>
    </row>
    <row r="253" spans="2:39" s="6" customFormat="1" x14ac:dyDescent="0.3">
      <c r="B253" s="14">
        <v>0</v>
      </c>
      <c r="C253" s="14"/>
      <c r="D253" s="14"/>
      <c r="E253" s="24"/>
      <c r="F253" s="24"/>
      <c r="G253" s="14"/>
      <c r="H253" s="15"/>
      <c r="I253" s="29"/>
      <c r="J253" s="15" t="s">
        <v>747</v>
      </c>
      <c r="K253" s="15"/>
      <c r="L253" s="14"/>
      <c r="M253" s="35"/>
      <c r="N253" s="15"/>
      <c r="O253" s="25"/>
      <c r="P253" s="25"/>
      <c r="Q253" s="26"/>
      <c r="R253" s="27"/>
      <c r="S253" s="27"/>
      <c r="T253" s="27"/>
      <c r="U253" s="28"/>
      <c r="V253" s="14"/>
      <c r="W253" s="14"/>
      <c r="X253" s="30"/>
      <c r="Y253" s="30"/>
      <c r="Z253" s="64"/>
      <c r="AA253" s="64"/>
      <c r="AB253" s="79"/>
      <c r="AC253" s="12"/>
      <c r="AD253" s="79"/>
      <c r="AE253" s="79"/>
      <c r="AF253" s="68"/>
      <c r="AG253" s="75"/>
      <c r="AH253" s="75" t="str">
        <f>IF(Table13[[#This Row],[value Type]]="","",VLOOKUP(Table13[[#This Row],[AddrTypeI]],Table22[],2,FALSE))</f>
        <v/>
      </c>
      <c r="AI253" s="68"/>
      <c r="AJ253" s="68"/>
      <c r="AK253" s="68"/>
      <c r="AL253" s="24"/>
      <c r="AM253" s="24"/>
    </row>
    <row r="254" spans="2:39" s="6" customFormat="1" x14ac:dyDescent="0.3">
      <c r="B254" s="14">
        <v>0</v>
      </c>
      <c r="C254" s="14"/>
      <c r="D254" s="14"/>
      <c r="E254" s="24"/>
      <c r="F254" s="24"/>
      <c r="G254" s="14"/>
      <c r="H254" s="15"/>
      <c r="I254" s="29"/>
      <c r="J254" s="15" t="s">
        <v>747</v>
      </c>
      <c r="K254" s="15"/>
      <c r="L254" s="14"/>
      <c r="M254" s="35"/>
      <c r="N254" s="15"/>
      <c r="O254" s="25"/>
      <c r="P254" s="25"/>
      <c r="Q254" s="26"/>
      <c r="R254" s="27"/>
      <c r="S254" s="27"/>
      <c r="T254" s="27"/>
      <c r="U254" s="28"/>
      <c r="V254" s="14"/>
      <c r="W254" s="14"/>
      <c r="X254" s="30"/>
      <c r="Y254" s="30"/>
      <c r="Z254" s="64"/>
      <c r="AA254" s="64"/>
      <c r="AB254" s="79"/>
      <c r="AC254" s="12"/>
      <c r="AD254" s="79"/>
      <c r="AE254" s="79"/>
      <c r="AF254" s="68"/>
      <c r="AG254" s="75"/>
      <c r="AH254" s="75" t="str">
        <f>IF(Table13[[#This Row],[value Type]]="","",VLOOKUP(Table13[[#This Row],[AddrTypeI]],Table22[],2,FALSE))</f>
        <v/>
      </c>
      <c r="AI254" s="68"/>
      <c r="AJ254" s="68"/>
      <c r="AK254" s="68"/>
      <c r="AL254" s="24"/>
      <c r="AM254" s="24"/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54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54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0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19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19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1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6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6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2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7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7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3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8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8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4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9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9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5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10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10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6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11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11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7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12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12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8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13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13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9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20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20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10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21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21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11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22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22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12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23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23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13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24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24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410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14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25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25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15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26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26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461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16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27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27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17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28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28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18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29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29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19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30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30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20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31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31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21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32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32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22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33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33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23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34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34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24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35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35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25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36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36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26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37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37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27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38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38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28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511</v>
      </c>
      <c r="H284" s="15" t="s">
        <v>39</v>
      </c>
      <c r="I284" s="29">
        <v>45</v>
      </c>
      <c r="J284" s="15" t="s">
        <v>747</v>
      </c>
      <c r="K284" s="15" t="s">
        <v>52</v>
      </c>
      <c r="L284" s="14">
        <v>1</v>
      </c>
      <c r="M284" s="35" t="s">
        <v>39</v>
      </c>
      <c r="N284" s="15" t="s">
        <v>400</v>
      </c>
      <c r="O284" s="25" t="s">
        <v>402</v>
      </c>
      <c r="P284" s="25">
        <v>1</v>
      </c>
      <c r="Q284" s="26" t="s">
        <v>80</v>
      </c>
      <c r="R284" s="27" t="s">
        <v>410</v>
      </c>
      <c r="S284" s="27" t="s">
        <v>405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 t="str">
        <f>IF(Table13[[#This Row],[value Type]]="","", Table13[[#This Row],[DataOffset]])</f>
        <v>29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 t="s">
        <v>1</v>
      </c>
      <c r="D285" s="14" t="s">
        <v>388</v>
      </c>
      <c r="E285" s="24" t="s">
        <v>351</v>
      </c>
      <c r="F285" s="24">
        <v>1</v>
      </c>
      <c r="G285" s="14" t="s">
        <v>511</v>
      </c>
      <c r="H285" s="15" t="s">
        <v>40</v>
      </c>
      <c r="I285" s="29">
        <v>45</v>
      </c>
      <c r="J285" s="15" t="s">
        <v>747</v>
      </c>
      <c r="K285" s="15" t="s">
        <v>52</v>
      </c>
      <c r="L285" s="14">
        <v>1</v>
      </c>
      <c r="M285" s="35" t="s">
        <v>40</v>
      </c>
      <c r="N285" s="15" t="s">
        <v>400</v>
      </c>
      <c r="O285" s="25" t="s">
        <v>402</v>
      </c>
      <c r="P285" s="25">
        <v>1</v>
      </c>
      <c r="Q285" s="26" t="s">
        <v>80</v>
      </c>
      <c r="R285" s="27" t="s">
        <v>410</v>
      </c>
      <c r="S285" s="27" t="s">
        <v>405</v>
      </c>
      <c r="T285" s="27">
        <v>0</v>
      </c>
      <c r="U285" s="28"/>
      <c r="V285" s="14"/>
      <c r="W285" s="14"/>
      <c r="X285" s="30" t="str">
        <f>IF(Table13[[#This Row],[value Type]]="","",VLOOKUP(Table13[[#This Row],[value Type]],Table2915[],2,FALSE))</f>
        <v>longout</v>
      </c>
      <c r="Y285" s="30" t="str">
        <f>IF(Table13[[#This Row],[value Type]]="","",VLOOKUP(Table13[[#This Row],[value Type]],Table2915[],3,FALSE))</f>
        <v>asynParamInt32</v>
      </c>
      <c r="Z285" s="64" t="str">
        <f>IF(Table13[[#This Row],[value Type]]="","",VLOOKUP(Table13[[#This Row],[value Type]],Table2915[],4,FALSE))</f>
        <v>"asynInt32"</v>
      </c>
      <c r="AA285" s="64" t="str">
        <f>IF(Table13[[#This Row],[value Type]]="","",    IF(Table13[[#This Row],[IP MAX]]="","","@"  )     )</f>
        <v>@</v>
      </c>
      <c r="AB285" s="79" t="str">
        <f>IF(Table13[[#This Row],[value Type]]="","",VLOOKUP(Table13[[#This Row],[value Type]],Table2915[],5,FALSE))</f>
        <v xml:space="preserve"> </v>
      </c>
      <c r="AC2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5" s="79">
        <f>IF(Table13[[#This Row],[value Type]]="","",VLOOKUP(Table13[[#This Row],[IP]],Table51117[],2,FALSE))</f>
        <v>3</v>
      </c>
      <c r="AE285" s="79" t="str">
        <f>IF(Table13[[#This Row],[value Type]]="","",    IF(Table13[[#This Row],[IP MAX]]="","0","@"  )     )</f>
        <v>@</v>
      </c>
      <c r="AF285" s="68">
        <f>IF(Table13[[#This Row],[value Type]]="","",VLOOKUP(Table13[[#This Row],[Acc Type]],Table2[],2,FALSE))</f>
        <v>0</v>
      </c>
      <c r="AG285" s="75">
        <f>IF(Table13[[#This Row],[value Type]]="","",4*HEX2DEC(Table13[[#This Row],[Addr'[HEX']]]))</f>
        <v>276</v>
      </c>
      <c r="AH285" s="75">
        <f>IF(Table13[[#This Row],[value Type]]="","",VLOOKUP(Table13[[#This Row],[AddrTypeI]],Table22[],2,FALSE))</f>
        <v>0</v>
      </c>
      <c r="AI285" s="68">
        <f>IF(Table13[[#This Row],[value Type]]="","",VLOOKUP(Table13[[#This Row],[DataType]],Table351218[],2,FALSE))</f>
        <v>0</v>
      </c>
      <c r="AJ285" s="68">
        <f>IF(Table13[[#This Row],[value Type]]="","",Table13[[#This Row],[DataWidth]])</f>
        <v>1</v>
      </c>
      <c r="AK285" s="68" t="str">
        <f>IF(Table13[[#This Row],[value Type]]="","", Table13[[#This Row],[DataOffset]])</f>
        <v>30</v>
      </c>
      <c r="AL285" s="24"/>
      <c r="AM285" s="24" t="str">
        <f>IF(Table13[[#This Row],[value Type]]="","", "0x"&amp;DEC2HEX(Table13[[#This Row],[ADDR_Offset]],8) )</f>
        <v>0x00000114</v>
      </c>
    </row>
    <row r="286" spans="2:39" s="6" customFormat="1" x14ac:dyDescent="0.3">
      <c r="B286" s="14">
        <v>0</v>
      </c>
      <c r="C286" s="14" t="s">
        <v>1</v>
      </c>
      <c r="D286" s="14" t="s">
        <v>388</v>
      </c>
      <c r="E286" s="24" t="s">
        <v>351</v>
      </c>
      <c r="F286" s="24">
        <v>1</v>
      </c>
      <c r="G286" s="14" t="s">
        <v>886</v>
      </c>
      <c r="H286" s="15" t="s">
        <v>885</v>
      </c>
      <c r="I286" s="29">
        <v>45</v>
      </c>
      <c r="J286" s="15" t="s">
        <v>747</v>
      </c>
      <c r="K286" s="15" t="s">
        <v>52</v>
      </c>
      <c r="L286" s="14">
        <v>1</v>
      </c>
      <c r="M286" s="35">
        <v>31</v>
      </c>
      <c r="N286" s="15" t="s">
        <v>105</v>
      </c>
      <c r="O286" s="25" t="s">
        <v>96</v>
      </c>
      <c r="P286" s="25">
        <v>1</v>
      </c>
      <c r="Q286" s="26" t="s">
        <v>80</v>
      </c>
      <c r="R286" s="27" t="s">
        <v>277</v>
      </c>
      <c r="S286" s="27" t="s">
        <v>476</v>
      </c>
      <c r="T286" s="27">
        <v>0</v>
      </c>
      <c r="U286" s="28"/>
      <c r="V286" s="14"/>
      <c r="W286" s="14"/>
      <c r="X286" s="30" t="str">
        <f>IF(Table13[[#This Row],[value Type]]="","",VLOOKUP(Table13[[#This Row],[value Type]],Table2915[],2,FALSE))</f>
        <v>longout</v>
      </c>
      <c r="Y286" s="30" t="str">
        <f>IF(Table13[[#This Row],[value Type]]="","",VLOOKUP(Table13[[#This Row],[value Type]],Table2915[],3,FALSE))</f>
        <v>asynParamInt32</v>
      </c>
      <c r="Z286" s="64" t="str">
        <f>IF(Table13[[#This Row],[value Type]]="","",VLOOKUP(Table13[[#This Row],[value Type]],Table2915[],4,FALSE))</f>
        <v>"asynInt32"</v>
      </c>
      <c r="AA286" s="64" t="str">
        <f>IF(Table13[[#This Row],[value Type]]="","",    IF(Table13[[#This Row],[IP MAX]]="","","@"  )     )</f>
        <v>@</v>
      </c>
      <c r="AB286" s="79" t="str">
        <f>IF(Table13[[#This Row],[value Type]]="","",VLOOKUP(Table13[[#This Row],[value Type]],Table2915[],5,FALSE))</f>
        <v xml:space="preserve"> </v>
      </c>
      <c r="AC2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6" s="79">
        <f>IF(Table13[[#This Row],[value Type]]="","",VLOOKUP(Table13[[#This Row],[IP]],Table51117[],2,FALSE))</f>
        <v>3</v>
      </c>
      <c r="AE286" s="79" t="str">
        <f>IF(Table13[[#This Row],[value Type]]="","",    IF(Table13[[#This Row],[IP MAX]]="","0","@"  )     )</f>
        <v>@</v>
      </c>
      <c r="AF286" s="68">
        <f>IF(Table13[[#This Row],[value Type]]="","",VLOOKUP(Table13[[#This Row],[Acc Type]],Table2[],2,FALSE))</f>
        <v>0</v>
      </c>
      <c r="AG286" s="75">
        <f>IF(Table13[[#This Row],[value Type]]="","",4*HEX2DEC(Table13[[#This Row],[Addr'[HEX']]]))</f>
        <v>276</v>
      </c>
      <c r="AH286" s="75">
        <f>IF(Table13[[#This Row],[value Type]]="","",VLOOKUP(Table13[[#This Row],[AddrTypeI]],Table22[],2,FALSE))</f>
        <v>0</v>
      </c>
      <c r="AI286" s="68">
        <f>IF(Table13[[#This Row],[value Type]]="","",VLOOKUP(Table13[[#This Row],[DataType]],Table351218[],2,FALSE))</f>
        <v>0</v>
      </c>
      <c r="AJ286" s="68">
        <f>IF(Table13[[#This Row],[value Type]]="","",Table13[[#This Row],[DataWidth]])</f>
        <v>1</v>
      </c>
      <c r="AK286" s="68">
        <f>IF(Table13[[#This Row],[value Type]]="","", Table13[[#This Row],[DataOffset]])</f>
        <v>31</v>
      </c>
      <c r="AL286" s="24"/>
      <c r="AM286" s="24" t="str">
        <f>IF(Table13[[#This Row],[value Type]]="","", "0x"&amp;DEC2HEX(Table13[[#This Row],[ADDR_Offset]],8) )</f>
        <v>0x00000114</v>
      </c>
    </row>
    <row r="287" spans="2:39" s="6" customFormat="1" x14ac:dyDescent="0.3">
      <c r="B287" s="14">
        <v>0</v>
      </c>
      <c r="C287" s="14"/>
      <c r="D287" s="14"/>
      <c r="E287" s="24"/>
      <c r="F287" s="24"/>
      <c r="G287" s="14"/>
      <c r="H287" s="15"/>
      <c r="I287" s="29"/>
      <c r="J287" s="15" t="s">
        <v>747</v>
      </c>
      <c r="K287" s="15"/>
      <c r="L287" s="14"/>
      <c r="M287" s="35"/>
      <c r="N287" s="15"/>
      <c r="O287" s="25"/>
      <c r="P287" s="25"/>
      <c r="Q287" s="26"/>
      <c r="R287" s="27"/>
      <c r="S287" s="27"/>
      <c r="T287" s="27"/>
      <c r="U287" s="28"/>
      <c r="V287" s="14"/>
      <c r="W287" s="14"/>
      <c r="X287" s="30"/>
      <c r="Y287" s="30"/>
      <c r="Z287" s="64"/>
      <c r="AA287" s="64"/>
      <c r="AB287" s="79"/>
      <c r="AC287" s="12"/>
      <c r="AD287" s="79"/>
      <c r="AE287" s="79"/>
      <c r="AF287" s="68"/>
      <c r="AG287" s="75"/>
      <c r="AH287" s="75" t="str">
        <f>IF(Table13[[#This Row],[value Type]]="","",VLOOKUP(Table13[[#This Row],[AddrTypeI]],Table22[],2,FALSE))</f>
        <v/>
      </c>
      <c r="AI287" s="68"/>
      <c r="AJ287" s="68"/>
      <c r="AK287" s="68"/>
      <c r="AL287" s="24"/>
      <c r="AM287" s="24"/>
    </row>
    <row r="288" spans="2:39" s="6" customFormat="1" x14ac:dyDescent="0.3">
      <c r="B288" s="14">
        <v>0</v>
      </c>
      <c r="C288" s="14"/>
      <c r="D288" s="14"/>
      <c r="E288" s="24"/>
      <c r="F288" s="24"/>
      <c r="G288" s="14"/>
      <c r="H288" s="15"/>
      <c r="I288" s="29"/>
      <c r="J288" s="15" t="s">
        <v>747</v>
      </c>
      <c r="K288" s="15"/>
      <c r="L288" s="14"/>
      <c r="M288" s="35"/>
      <c r="N288" s="15"/>
      <c r="O288" s="25"/>
      <c r="P288" s="25"/>
      <c r="Q288" s="26"/>
      <c r="R288" s="27"/>
      <c r="S288" s="27"/>
      <c r="T288" s="27"/>
      <c r="U288" s="28"/>
      <c r="V288" s="14"/>
      <c r="W288" s="14"/>
      <c r="X288" s="30"/>
      <c r="Y288" s="30"/>
      <c r="Z288" s="64"/>
      <c r="AA288" s="64"/>
      <c r="AB288" s="79"/>
      <c r="AC288" s="12"/>
      <c r="AD288" s="79"/>
      <c r="AE288" s="79"/>
      <c r="AF288" s="68"/>
      <c r="AG288" s="75"/>
      <c r="AH288" s="75" t="str">
        <f>IF(Table13[[#This Row],[value Type]]="","",VLOOKUP(Table13[[#This Row],[AddrTypeI]],Table22[],2,FALSE))</f>
        <v/>
      </c>
      <c r="AI288" s="68"/>
      <c r="AJ288" s="68"/>
      <c r="AK288" s="68"/>
      <c r="AL288" s="24"/>
      <c r="AM288" s="24"/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512</v>
      </c>
      <c r="H289" s="15" t="s">
        <v>54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54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0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19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19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1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6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6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2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7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7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3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8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8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4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9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9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5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10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10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6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11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11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7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12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12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8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13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13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9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20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20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10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21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21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11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22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22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405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12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23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23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13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24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24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476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14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25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25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15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26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26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16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27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27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17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28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28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18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29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29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19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30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30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20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31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31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21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32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32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22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33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33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23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34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34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24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35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35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25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36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36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26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37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37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27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38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38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28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513</v>
      </c>
      <c r="H318" s="15" t="s">
        <v>39</v>
      </c>
      <c r="I318" s="29">
        <v>46</v>
      </c>
      <c r="J318" s="15" t="s">
        <v>747</v>
      </c>
      <c r="K318" s="15" t="s">
        <v>52</v>
      </c>
      <c r="L318" s="14">
        <v>1</v>
      </c>
      <c r="M318" s="35" t="s">
        <v>39</v>
      </c>
      <c r="N318" s="15" t="s">
        <v>400</v>
      </c>
      <c r="O318" s="25" t="s">
        <v>402</v>
      </c>
      <c r="P318" s="25">
        <v>1</v>
      </c>
      <c r="Q318" s="26" t="s">
        <v>80</v>
      </c>
      <c r="R318" s="27" t="s">
        <v>410</v>
      </c>
      <c r="S318" s="27" t="s">
        <v>405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 t="str">
        <f>IF(Table13[[#This Row],[value Type]]="","", Table13[[#This Row],[DataOffset]])</f>
        <v>29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 t="s">
        <v>1</v>
      </c>
      <c r="D319" s="14" t="s">
        <v>388</v>
      </c>
      <c r="E319" s="24" t="s">
        <v>351</v>
      </c>
      <c r="F319" s="24">
        <v>1</v>
      </c>
      <c r="G319" s="14" t="s">
        <v>513</v>
      </c>
      <c r="H319" s="15" t="s">
        <v>40</v>
      </c>
      <c r="I319" s="29">
        <v>46</v>
      </c>
      <c r="J319" s="15" t="s">
        <v>747</v>
      </c>
      <c r="K319" s="15" t="s">
        <v>52</v>
      </c>
      <c r="L319" s="14">
        <v>1</v>
      </c>
      <c r="M319" s="35" t="s">
        <v>40</v>
      </c>
      <c r="N319" s="15" t="s">
        <v>400</v>
      </c>
      <c r="O319" s="25" t="s">
        <v>402</v>
      </c>
      <c r="P319" s="25">
        <v>1</v>
      </c>
      <c r="Q319" s="26" t="s">
        <v>80</v>
      </c>
      <c r="R319" s="27" t="s">
        <v>410</v>
      </c>
      <c r="S319" s="27" t="s">
        <v>405</v>
      </c>
      <c r="T319" s="27">
        <v>0</v>
      </c>
      <c r="U319" s="28"/>
      <c r="V319" s="14"/>
      <c r="W319" s="14"/>
      <c r="X319" s="30" t="str">
        <f>IF(Table13[[#This Row],[value Type]]="","",VLOOKUP(Table13[[#This Row],[value Type]],Table2915[],2,FALSE))</f>
        <v>longout</v>
      </c>
      <c r="Y319" s="30" t="str">
        <f>IF(Table13[[#This Row],[value Type]]="","",VLOOKUP(Table13[[#This Row],[value Type]],Table2915[],3,FALSE))</f>
        <v>asynParamInt32</v>
      </c>
      <c r="Z319" s="64" t="str">
        <f>IF(Table13[[#This Row],[value Type]]="","",VLOOKUP(Table13[[#This Row],[value Type]],Table2915[],4,FALSE))</f>
        <v>"asynInt32"</v>
      </c>
      <c r="AA319" s="64" t="str">
        <f>IF(Table13[[#This Row],[value Type]]="","",    IF(Table13[[#This Row],[IP MAX]]="","","@"  )     )</f>
        <v>@</v>
      </c>
      <c r="AB319" s="79" t="str">
        <f>IF(Table13[[#This Row],[value Type]]="","",VLOOKUP(Table13[[#This Row],[value Type]],Table2915[],5,FALSE))</f>
        <v xml:space="preserve"> </v>
      </c>
      <c r="AC3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9" s="79">
        <f>IF(Table13[[#This Row],[value Type]]="","",VLOOKUP(Table13[[#This Row],[IP]],Table51117[],2,FALSE))</f>
        <v>3</v>
      </c>
      <c r="AE319" s="79" t="str">
        <f>IF(Table13[[#This Row],[value Type]]="","",    IF(Table13[[#This Row],[IP MAX]]="","0","@"  )     )</f>
        <v>@</v>
      </c>
      <c r="AF319" s="68">
        <f>IF(Table13[[#This Row],[value Type]]="","",VLOOKUP(Table13[[#This Row],[Acc Type]],Table2[],2,FALSE))</f>
        <v>0</v>
      </c>
      <c r="AG319" s="75">
        <f>IF(Table13[[#This Row],[value Type]]="","",4*HEX2DEC(Table13[[#This Row],[Addr'[HEX']]]))</f>
        <v>280</v>
      </c>
      <c r="AH319" s="75">
        <f>IF(Table13[[#This Row],[value Type]]="","",VLOOKUP(Table13[[#This Row],[AddrTypeI]],Table22[],2,FALSE))</f>
        <v>0</v>
      </c>
      <c r="AI319" s="68">
        <f>IF(Table13[[#This Row],[value Type]]="","",VLOOKUP(Table13[[#This Row],[DataType]],Table351218[],2,FALSE))</f>
        <v>0</v>
      </c>
      <c r="AJ319" s="68">
        <f>IF(Table13[[#This Row],[value Type]]="","",Table13[[#This Row],[DataWidth]])</f>
        <v>1</v>
      </c>
      <c r="AK319" s="68" t="str">
        <f>IF(Table13[[#This Row],[value Type]]="","", Table13[[#This Row],[DataOffset]])</f>
        <v>30</v>
      </c>
      <c r="AL319" s="24"/>
      <c r="AM319" s="24" t="str">
        <f>IF(Table13[[#This Row],[value Type]]="","", "0x"&amp;DEC2HEX(Table13[[#This Row],[ADDR_Offset]],8) )</f>
        <v>0x00000118</v>
      </c>
    </row>
    <row r="320" spans="2:39" s="6" customFormat="1" x14ac:dyDescent="0.3">
      <c r="B320" s="14">
        <v>0</v>
      </c>
      <c r="C320" s="14" t="s">
        <v>1</v>
      </c>
      <c r="D320" s="14" t="s">
        <v>388</v>
      </c>
      <c r="E320" s="24" t="s">
        <v>351</v>
      </c>
      <c r="F320" s="24">
        <v>1</v>
      </c>
      <c r="G320" s="14" t="s">
        <v>887</v>
      </c>
      <c r="H320" s="15" t="s">
        <v>885</v>
      </c>
      <c r="I320" s="29">
        <v>46</v>
      </c>
      <c r="J320" s="15" t="s">
        <v>747</v>
      </c>
      <c r="K320" s="15" t="s">
        <v>52</v>
      </c>
      <c r="L320" s="14">
        <v>1</v>
      </c>
      <c r="M320" s="35">
        <v>31</v>
      </c>
      <c r="N320" s="15" t="s">
        <v>105</v>
      </c>
      <c r="O320" s="25" t="s">
        <v>96</v>
      </c>
      <c r="P320" s="25">
        <v>1</v>
      </c>
      <c r="Q320" s="26" t="s">
        <v>80</v>
      </c>
      <c r="R320" s="27" t="s">
        <v>277</v>
      </c>
      <c r="S320" s="27" t="s">
        <v>476</v>
      </c>
      <c r="T320" s="27">
        <v>0</v>
      </c>
      <c r="U320" s="28"/>
      <c r="V320" s="14"/>
      <c r="W320" s="14"/>
      <c r="X320" s="30" t="str">
        <f>IF(Table13[[#This Row],[value Type]]="","",VLOOKUP(Table13[[#This Row],[value Type]],Table2915[],2,FALSE))</f>
        <v>longout</v>
      </c>
      <c r="Y320" s="30" t="str">
        <f>IF(Table13[[#This Row],[value Type]]="","",VLOOKUP(Table13[[#This Row],[value Type]],Table2915[],3,FALSE))</f>
        <v>asynParamInt32</v>
      </c>
      <c r="Z320" s="64" t="str">
        <f>IF(Table13[[#This Row],[value Type]]="","",VLOOKUP(Table13[[#This Row],[value Type]],Table2915[],4,FALSE))</f>
        <v>"asynInt32"</v>
      </c>
      <c r="AA320" s="64" t="str">
        <f>IF(Table13[[#This Row],[value Type]]="","",    IF(Table13[[#This Row],[IP MAX]]="","","@"  )     )</f>
        <v>@</v>
      </c>
      <c r="AB320" s="79" t="str">
        <f>IF(Table13[[#This Row],[value Type]]="","",VLOOKUP(Table13[[#This Row],[value Type]],Table2915[],5,FALSE))</f>
        <v xml:space="preserve"> </v>
      </c>
      <c r="AC3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20" s="79">
        <f>IF(Table13[[#This Row],[value Type]]="","",VLOOKUP(Table13[[#This Row],[IP]],Table51117[],2,FALSE))</f>
        <v>3</v>
      </c>
      <c r="AE320" s="79" t="str">
        <f>IF(Table13[[#This Row],[value Type]]="","",    IF(Table13[[#This Row],[IP MAX]]="","0","@"  )     )</f>
        <v>@</v>
      </c>
      <c r="AF320" s="68">
        <f>IF(Table13[[#This Row],[value Type]]="","",VLOOKUP(Table13[[#This Row],[Acc Type]],Table2[],2,FALSE))</f>
        <v>0</v>
      </c>
      <c r="AG320" s="75">
        <f>IF(Table13[[#This Row],[value Type]]="","",4*HEX2DEC(Table13[[#This Row],[Addr'[HEX']]]))</f>
        <v>280</v>
      </c>
      <c r="AH320" s="75">
        <f>IF(Table13[[#This Row],[value Type]]="","",VLOOKUP(Table13[[#This Row],[AddrTypeI]],Table22[],2,FALSE))</f>
        <v>0</v>
      </c>
      <c r="AI320" s="68">
        <f>IF(Table13[[#This Row],[value Type]]="","",VLOOKUP(Table13[[#This Row],[DataType]],Table351218[],2,FALSE))</f>
        <v>0</v>
      </c>
      <c r="AJ320" s="68">
        <f>IF(Table13[[#This Row],[value Type]]="","",Table13[[#This Row],[DataWidth]])</f>
        <v>1</v>
      </c>
      <c r="AK320" s="68">
        <f>IF(Table13[[#This Row],[value Type]]="","", Table13[[#This Row],[DataOffset]])</f>
        <v>31</v>
      </c>
      <c r="AL320" s="24"/>
      <c r="AM320" s="24" t="str">
        <f>IF(Table13[[#This Row],[value Type]]="","", "0x"&amp;DEC2HEX(Table13[[#This Row],[ADDR_Offset]],8) )</f>
        <v>0x00000118</v>
      </c>
    </row>
    <row r="321" spans="2:39" s="6" customFormat="1" x14ac:dyDescent="0.3">
      <c r="B321" s="14">
        <v>0</v>
      </c>
      <c r="C321" s="14"/>
      <c r="D321" s="14"/>
      <c r="E321" s="24"/>
      <c r="F321" s="24"/>
      <c r="G321" s="14"/>
      <c r="H321" s="15"/>
      <c r="I321" s="29"/>
      <c r="J321" s="15" t="s">
        <v>747</v>
      </c>
      <c r="K321" s="15"/>
      <c r="L321" s="14"/>
      <c r="M321" s="35"/>
      <c r="N321" s="15"/>
      <c r="O321" s="25"/>
      <c r="P321" s="25"/>
      <c r="Q321" s="26"/>
      <c r="R321" s="27"/>
      <c r="S321" s="27"/>
      <c r="T321" s="27"/>
      <c r="U321" s="28"/>
      <c r="V321" s="14"/>
      <c r="W321" s="14"/>
      <c r="X321" s="30"/>
      <c r="Y321" s="30"/>
      <c r="Z321" s="64"/>
      <c r="AA321" s="64"/>
      <c r="AB321" s="79"/>
      <c r="AC321" s="12"/>
      <c r="AD321" s="79"/>
      <c r="AE321" s="79"/>
      <c r="AF321" s="68"/>
      <c r="AG321" s="75"/>
      <c r="AH321" s="75" t="str">
        <f>IF(Table13[[#This Row],[value Type]]="","",VLOOKUP(Table13[[#This Row],[AddrTypeI]],Table22[],2,FALSE))</f>
        <v/>
      </c>
      <c r="AI321" s="68"/>
      <c r="AJ321" s="68"/>
      <c r="AK321" s="68"/>
      <c r="AL321" s="24"/>
      <c r="AM321" s="24"/>
    </row>
    <row r="322" spans="2:39" s="6" customFormat="1" x14ac:dyDescent="0.3">
      <c r="B322" s="14">
        <v>0</v>
      </c>
      <c r="C322" s="14"/>
      <c r="D322" s="14"/>
      <c r="E322" s="24"/>
      <c r="F322" s="24"/>
      <c r="G322" s="14"/>
      <c r="H322" s="15"/>
      <c r="I322" s="29"/>
      <c r="J322" s="15" t="s">
        <v>747</v>
      </c>
      <c r="K322" s="15"/>
      <c r="L322" s="14"/>
      <c r="M322" s="35"/>
      <c r="N322" s="15"/>
      <c r="O322" s="25"/>
      <c r="P322" s="25"/>
      <c r="Q322" s="26"/>
      <c r="R322" s="27"/>
      <c r="S322" s="27"/>
      <c r="T322" s="27"/>
      <c r="U322" s="28"/>
      <c r="V322" s="14"/>
      <c r="W322" s="14"/>
      <c r="X322" s="30"/>
      <c r="Y322" s="30"/>
      <c r="Z322" s="64"/>
      <c r="AA322" s="64"/>
      <c r="AB322" s="79"/>
      <c r="AC322" s="12"/>
      <c r="AD322" s="79"/>
      <c r="AE322" s="79"/>
      <c r="AF322" s="68"/>
      <c r="AG322" s="75"/>
      <c r="AH322" s="75" t="str">
        <f>IF(Table13[[#This Row],[value Type]]="","",VLOOKUP(Table13[[#This Row],[AddrTypeI]],Table22[],2,FALSE))</f>
        <v/>
      </c>
      <c r="AI322" s="68"/>
      <c r="AJ322" s="68"/>
      <c r="AK322" s="68"/>
      <c r="AL322" s="24"/>
      <c r="AM322" s="24"/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54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54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0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19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19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1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6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6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2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7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7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3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8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8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4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9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9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5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10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10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6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11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11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7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12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12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8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13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13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9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20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20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10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21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21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11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22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22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12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23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23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13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24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24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14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25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25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15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26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26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16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27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27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17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28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28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18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29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29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410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19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30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30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20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31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31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461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21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32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32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22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33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33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23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34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34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24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35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35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25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36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36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26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37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37</v>
      </c>
      <c r="N350" s="15" t="s">
        <v>400</v>
      </c>
      <c r="O350" s="25" t="s">
        <v>402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27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38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38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28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514</v>
      </c>
      <c r="H352" s="15" t="s">
        <v>39</v>
      </c>
      <c r="I352" s="29">
        <v>47</v>
      </c>
      <c r="J352" s="15" t="s">
        <v>747</v>
      </c>
      <c r="K352" s="15" t="s">
        <v>52</v>
      </c>
      <c r="L352" s="14">
        <v>1</v>
      </c>
      <c r="M352" s="35" t="s">
        <v>39</v>
      </c>
      <c r="N352" s="15" t="s">
        <v>400</v>
      </c>
      <c r="O352" s="25" t="s">
        <v>454</v>
      </c>
      <c r="P352" s="25">
        <v>1</v>
      </c>
      <c r="Q352" s="26" t="s">
        <v>80</v>
      </c>
      <c r="R352" s="27" t="s">
        <v>410</v>
      </c>
      <c r="S352" s="27" t="s">
        <v>405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 t="str">
        <f>IF(Table13[[#This Row],[value Type]]="","", Table13[[#This Row],[DataOffset]])</f>
        <v>29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 t="s">
        <v>1</v>
      </c>
      <c r="D353" s="14" t="s">
        <v>388</v>
      </c>
      <c r="E353" s="24" t="s">
        <v>351</v>
      </c>
      <c r="F353" s="24">
        <v>1</v>
      </c>
      <c r="G353" s="14" t="s">
        <v>514</v>
      </c>
      <c r="H353" s="15" t="s">
        <v>40</v>
      </c>
      <c r="I353" s="29">
        <v>47</v>
      </c>
      <c r="J353" s="15" t="s">
        <v>747</v>
      </c>
      <c r="K353" s="15" t="s">
        <v>52</v>
      </c>
      <c r="L353" s="14">
        <v>1</v>
      </c>
      <c r="M353" s="35" t="s">
        <v>40</v>
      </c>
      <c r="N353" s="15" t="s">
        <v>400</v>
      </c>
      <c r="O353" s="25" t="s">
        <v>402</v>
      </c>
      <c r="P353" s="25">
        <v>1</v>
      </c>
      <c r="Q353" s="26" t="s">
        <v>80</v>
      </c>
      <c r="R353" s="27" t="s">
        <v>410</v>
      </c>
      <c r="S353" s="27" t="s">
        <v>405</v>
      </c>
      <c r="T353" s="27">
        <v>0</v>
      </c>
      <c r="U353" s="28"/>
      <c r="V353" s="14"/>
      <c r="W353" s="14"/>
      <c r="X353" s="30" t="str">
        <f>IF(Table13[[#This Row],[value Type]]="","",VLOOKUP(Table13[[#This Row],[value Type]],Table2915[],2,FALSE))</f>
        <v>longout</v>
      </c>
      <c r="Y353" s="30" t="str">
        <f>IF(Table13[[#This Row],[value Type]]="","",VLOOKUP(Table13[[#This Row],[value Type]],Table2915[],3,FALSE))</f>
        <v>asynParamInt32</v>
      </c>
      <c r="Z353" s="64" t="str">
        <f>IF(Table13[[#This Row],[value Type]]="","",VLOOKUP(Table13[[#This Row],[value Type]],Table2915[],4,FALSE))</f>
        <v>"asynInt32"</v>
      </c>
      <c r="AA353" s="64" t="str">
        <f>IF(Table13[[#This Row],[value Type]]="","",    IF(Table13[[#This Row],[IP MAX]]="","","@"  )     )</f>
        <v>@</v>
      </c>
      <c r="AB353" s="79" t="str">
        <f>IF(Table13[[#This Row],[value Type]]="","",VLOOKUP(Table13[[#This Row],[value Type]],Table2915[],5,FALSE))</f>
        <v xml:space="preserve"> </v>
      </c>
      <c r="AC3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3" s="79">
        <f>IF(Table13[[#This Row],[value Type]]="","",VLOOKUP(Table13[[#This Row],[IP]],Table51117[],2,FALSE))</f>
        <v>3</v>
      </c>
      <c r="AE353" s="79" t="str">
        <f>IF(Table13[[#This Row],[value Type]]="","",    IF(Table13[[#This Row],[IP MAX]]="","0","@"  )     )</f>
        <v>@</v>
      </c>
      <c r="AF353" s="68">
        <f>IF(Table13[[#This Row],[value Type]]="","",VLOOKUP(Table13[[#This Row],[Acc Type]],Table2[],2,FALSE))</f>
        <v>0</v>
      </c>
      <c r="AG353" s="75">
        <f>IF(Table13[[#This Row],[value Type]]="","",4*HEX2DEC(Table13[[#This Row],[Addr'[HEX']]]))</f>
        <v>284</v>
      </c>
      <c r="AH353" s="75">
        <f>IF(Table13[[#This Row],[value Type]]="","",VLOOKUP(Table13[[#This Row],[AddrTypeI]],Table22[],2,FALSE))</f>
        <v>0</v>
      </c>
      <c r="AI353" s="68">
        <f>IF(Table13[[#This Row],[value Type]]="","",VLOOKUP(Table13[[#This Row],[DataType]],Table351218[],2,FALSE))</f>
        <v>0</v>
      </c>
      <c r="AJ353" s="68">
        <f>IF(Table13[[#This Row],[value Type]]="","",Table13[[#This Row],[DataWidth]])</f>
        <v>1</v>
      </c>
      <c r="AK353" s="68" t="str">
        <f>IF(Table13[[#This Row],[value Type]]="","", Table13[[#This Row],[DataOffset]])</f>
        <v>30</v>
      </c>
      <c r="AL353" s="24"/>
      <c r="AM353" s="24" t="str">
        <f>IF(Table13[[#This Row],[value Type]]="","", "0x"&amp;DEC2HEX(Table13[[#This Row],[ADDR_Offset]],8) )</f>
        <v>0x0000011C</v>
      </c>
    </row>
    <row r="354" spans="2:39" s="6" customFormat="1" x14ac:dyDescent="0.3">
      <c r="B354" s="14">
        <v>0</v>
      </c>
      <c r="C354" s="14" t="s">
        <v>1</v>
      </c>
      <c r="D354" s="14" t="s">
        <v>388</v>
      </c>
      <c r="E354" s="24" t="s">
        <v>351</v>
      </c>
      <c r="F354" s="24">
        <v>1</v>
      </c>
      <c r="G354" s="14" t="s">
        <v>888</v>
      </c>
      <c r="H354" s="15" t="s">
        <v>885</v>
      </c>
      <c r="I354" s="29">
        <v>47</v>
      </c>
      <c r="J354" s="15" t="s">
        <v>747</v>
      </c>
      <c r="K354" s="15" t="s">
        <v>52</v>
      </c>
      <c r="L354" s="14">
        <v>1</v>
      </c>
      <c r="M354" s="35">
        <v>31</v>
      </c>
      <c r="N354" s="15" t="s">
        <v>105</v>
      </c>
      <c r="O354" s="25" t="s">
        <v>96</v>
      </c>
      <c r="P354" s="25">
        <v>1</v>
      </c>
      <c r="Q354" s="26" t="s">
        <v>80</v>
      </c>
      <c r="R354" s="27" t="s">
        <v>277</v>
      </c>
      <c r="S354" s="27" t="s">
        <v>476</v>
      </c>
      <c r="T354" s="27">
        <v>0</v>
      </c>
      <c r="U354" s="28"/>
      <c r="V354" s="14"/>
      <c r="W354" s="14"/>
      <c r="X354" s="30" t="str">
        <f>IF(Table13[[#This Row],[value Type]]="","",VLOOKUP(Table13[[#This Row],[value Type]],Table2915[],2,FALSE))</f>
        <v>longout</v>
      </c>
      <c r="Y354" s="30" t="str">
        <f>IF(Table13[[#This Row],[value Type]]="","",VLOOKUP(Table13[[#This Row],[value Type]],Table2915[],3,FALSE))</f>
        <v>asynParamInt32</v>
      </c>
      <c r="Z354" s="64" t="str">
        <f>IF(Table13[[#This Row],[value Type]]="","",VLOOKUP(Table13[[#This Row],[value Type]],Table2915[],4,FALSE))</f>
        <v>"asynInt32"</v>
      </c>
      <c r="AA354" s="64" t="str">
        <f>IF(Table13[[#This Row],[value Type]]="","",    IF(Table13[[#This Row],[IP MAX]]="","","@"  )     )</f>
        <v>@</v>
      </c>
      <c r="AB354" s="79" t="str">
        <f>IF(Table13[[#This Row],[value Type]]="","",VLOOKUP(Table13[[#This Row],[value Type]],Table2915[],5,FALSE))</f>
        <v xml:space="preserve"> </v>
      </c>
      <c r="AC3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4" s="79">
        <f>IF(Table13[[#This Row],[value Type]]="","",VLOOKUP(Table13[[#This Row],[IP]],Table51117[],2,FALSE))</f>
        <v>3</v>
      </c>
      <c r="AE354" s="79" t="str">
        <f>IF(Table13[[#This Row],[value Type]]="","",    IF(Table13[[#This Row],[IP MAX]]="","0","@"  )     )</f>
        <v>@</v>
      </c>
      <c r="AF354" s="68">
        <f>IF(Table13[[#This Row],[value Type]]="","",VLOOKUP(Table13[[#This Row],[Acc Type]],Table2[],2,FALSE))</f>
        <v>0</v>
      </c>
      <c r="AG354" s="75">
        <f>IF(Table13[[#This Row],[value Type]]="","",4*HEX2DEC(Table13[[#This Row],[Addr'[HEX']]]))</f>
        <v>284</v>
      </c>
      <c r="AH354" s="75">
        <f>IF(Table13[[#This Row],[value Type]]="","",VLOOKUP(Table13[[#This Row],[AddrTypeI]],Table22[],2,FALSE))</f>
        <v>0</v>
      </c>
      <c r="AI354" s="68">
        <f>IF(Table13[[#This Row],[value Type]]="","",VLOOKUP(Table13[[#This Row],[DataType]],Table351218[],2,FALSE))</f>
        <v>0</v>
      </c>
      <c r="AJ354" s="68">
        <f>IF(Table13[[#This Row],[value Type]]="","",Table13[[#This Row],[DataWidth]])</f>
        <v>1</v>
      </c>
      <c r="AK354" s="68">
        <f>IF(Table13[[#This Row],[value Type]]="","", Table13[[#This Row],[DataOffset]])</f>
        <v>31</v>
      </c>
      <c r="AL354" s="24"/>
      <c r="AM354" s="24" t="str">
        <f>IF(Table13[[#This Row],[value Type]]="","", "0x"&amp;DEC2HEX(Table13[[#This Row],[ADDR_Offset]],8) )</f>
        <v>0x0000011C</v>
      </c>
    </row>
    <row r="355" spans="2:39" s="6" customFormat="1" x14ac:dyDescent="0.3">
      <c r="B355" s="14">
        <v>0</v>
      </c>
      <c r="C355" s="14"/>
      <c r="D355" s="14"/>
      <c r="E355" s="24"/>
      <c r="F355" s="24"/>
      <c r="G355" s="14"/>
      <c r="H355" s="15"/>
      <c r="I355" s="29"/>
      <c r="J355" s="15" t="s">
        <v>747</v>
      </c>
      <c r="K355" s="15"/>
      <c r="L355" s="14"/>
      <c r="M355" s="35"/>
      <c r="N355" s="15"/>
      <c r="O355" s="25"/>
      <c r="P355" s="25"/>
      <c r="Q355" s="26"/>
      <c r="R355" s="27"/>
      <c r="S355" s="27"/>
      <c r="T355" s="27"/>
      <c r="U355" s="28"/>
      <c r="V355" s="14"/>
      <c r="W355" s="14"/>
      <c r="X355" s="30"/>
      <c r="Y355" s="30"/>
      <c r="Z355" s="64"/>
      <c r="AA355" s="64"/>
      <c r="AB355" s="79"/>
      <c r="AC355" s="12"/>
      <c r="AD355" s="79"/>
      <c r="AE355" s="79"/>
      <c r="AF355" s="68"/>
      <c r="AG355" s="75"/>
      <c r="AH355" s="75" t="str">
        <f>IF(Table13[[#This Row],[value Type]]="","",VLOOKUP(Table13[[#This Row],[AddrTypeI]],Table22[],2,FALSE))</f>
        <v/>
      </c>
      <c r="AI355" s="68"/>
      <c r="AJ355" s="68"/>
      <c r="AK355" s="68"/>
      <c r="AL355" s="24"/>
      <c r="AM355" s="24"/>
    </row>
    <row r="356" spans="2:39" s="6" customFormat="1" x14ac:dyDescent="0.3">
      <c r="B356" s="14">
        <v>0</v>
      </c>
      <c r="C356" s="14"/>
      <c r="D356" s="14"/>
      <c r="E356" s="24"/>
      <c r="F356" s="24"/>
      <c r="G356" s="14"/>
      <c r="H356" s="15"/>
      <c r="I356" s="29"/>
      <c r="J356" s="15" t="s">
        <v>747</v>
      </c>
      <c r="K356" s="15"/>
      <c r="L356" s="14"/>
      <c r="M356" s="35"/>
      <c r="N356" s="15"/>
      <c r="O356" s="25"/>
      <c r="P356" s="25"/>
      <c r="Q356" s="26"/>
      <c r="R356" s="27"/>
      <c r="S356" s="27"/>
      <c r="T356" s="27"/>
      <c r="U356" s="28"/>
      <c r="V356" s="14"/>
      <c r="W356" s="14"/>
      <c r="X356" s="30"/>
      <c r="Y356" s="30"/>
      <c r="Z356" s="64"/>
      <c r="AA356" s="64"/>
      <c r="AB356" s="79"/>
      <c r="AC356" s="12"/>
      <c r="AD356" s="79"/>
      <c r="AE356" s="79"/>
      <c r="AF356" s="68"/>
      <c r="AG356" s="75"/>
      <c r="AH356" s="75" t="str">
        <f>IF(Table13[[#This Row],[value Type]]="","",VLOOKUP(Table13[[#This Row],[AddrTypeI]],Table22[],2,FALSE))</f>
        <v/>
      </c>
      <c r="AI356" s="68"/>
      <c r="AJ356" s="68"/>
      <c r="AK356" s="68"/>
      <c r="AL356" s="24"/>
      <c r="AM356" s="24"/>
    </row>
    <row r="357" spans="2:39" s="6" customFormat="1" x14ac:dyDescent="0.3">
      <c r="B357" s="14">
        <v>0</v>
      </c>
      <c r="C357" s="14" t="s">
        <v>1</v>
      </c>
      <c r="D357" s="14" t="s">
        <v>388</v>
      </c>
      <c r="E357" s="24" t="s">
        <v>351</v>
      </c>
      <c r="F357" s="24">
        <v>1</v>
      </c>
      <c r="G357" s="14" t="s">
        <v>68</v>
      </c>
      <c r="H357" s="15" t="s">
        <v>54</v>
      </c>
      <c r="I357" s="29">
        <v>48</v>
      </c>
      <c r="J357" s="15" t="s">
        <v>747</v>
      </c>
      <c r="K357" s="15" t="s">
        <v>52</v>
      </c>
      <c r="L357" s="14">
        <v>32</v>
      </c>
      <c r="M357" s="35">
        <v>0</v>
      </c>
      <c r="N357" s="15" t="s">
        <v>400</v>
      </c>
      <c r="O357" s="25" t="s">
        <v>402</v>
      </c>
      <c r="P357" s="25">
        <v>1</v>
      </c>
      <c r="Q357" s="26" t="s">
        <v>80</v>
      </c>
      <c r="R357" s="27" t="s">
        <v>410</v>
      </c>
      <c r="S357" s="27" t="s">
        <v>405</v>
      </c>
      <c r="T357" s="27">
        <v>0</v>
      </c>
      <c r="U357" s="28"/>
      <c r="V357" s="14"/>
      <c r="W357" s="14"/>
      <c r="X357" s="30" t="str">
        <f>IF(Table13[[#This Row],[value Type]]="","",VLOOKUP(Table13[[#This Row],[value Type]],Table2915[],2,FALSE))</f>
        <v>longout</v>
      </c>
      <c r="Y357" s="30" t="str">
        <f>IF(Table13[[#This Row],[value Type]]="","",VLOOKUP(Table13[[#This Row],[value Type]],Table2915[],3,FALSE))</f>
        <v>asynParamInt32</v>
      </c>
      <c r="Z357" s="64" t="str">
        <f>IF(Table13[[#This Row],[value Type]]="","",VLOOKUP(Table13[[#This Row],[value Type]],Table2915[],4,FALSE))</f>
        <v>"asynInt32"</v>
      </c>
      <c r="AA357" s="64" t="str">
        <f>IF(Table13[[#This Row],[value Type]]="","",    IF(Table13[[#This Row],[IP MAX]]="","","@"  )     )</f>
        <v>@</v>
      </c>
      <c r="AB357" s="79" t="str">
        <f>IF(Table13[[#This Row],[value Type]]="","",VLOOKUP(Table13[[#This Row],[value Type]],Table2915[],5,FALSE))</f>
        <v xml:space="preserve"> </v>
      </c>
      <c r="AC3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7" s="79">
        <f>IF(Table13[[#This Row],[value Type]]="","",VLOOKUP(Table13[[#This Row],[IP]],Table51117[],2,FALSE))</f>
        <v>3</v>
      </c>
      <c r="AE357" s="79" t="str">
        <f>IF(Table13[[#This Row],[value Type]]="","",    IF(Table13[[#This Row],[IP MAX]]="","0","@"  )     )</f>
        <v>@</v>
      </c>
      <c r="AF357" s="68">
        <f>IF(Table13[[#This Row],[value Type]]="","",VLOOKUP(Table13[[#This Row],[Acc Type]],Table2[],2,FALSE))</f>
        <v>0</v>
      </c>
      <c r="AG357" s="75">
        <f>IF(Table13[[#This Row],[value Type]]="","",4*HEX2DEC(Table13[[#This Row],[Addr'[HEX']]]))</f>
        <v>288</v>
      </c>
      <c r="AH357" s="75">
        <f>IF(Table13[[#This Row],[value Type]]="","",VLOOKUP(Table13[[#This Row],[AddrTypeI]],Table22[],2,FALSE))</f>
        <v>0</v>
      </c>
      <c r="AI357" s="68">
        <f>IF(Table13[[#This Row],[value Type]]="","",VLOOKUP(Table13[[#This Row],[DataType]],Table351218[],2,FALSE))</f>
        <v>0</v>
      </c>
      <c r="AJ357" s="68">
        <f>IF(Table13[[#This Row],[value Type]]="","",Table13[[#This Row],[DataWidth]])</f>
        <v>32</v>
      </c>
      <c r="AK357" s="68">
        <f>IF(Table13[[#This Row],[value Type]]="","", Table13[[#This Row],[DataOffset]])</f>
        <v>0</v>
      </c>
      <c r="AL357" s="24"/>
      <c r="AM357" s="24" t="str">
        <f>IF(Table13[[#This Row],[value Type]]="","", "0x"&amp;DEC2HEX(Table13[[#This Row],[ADDR_Offset]],8) )</f>
        <v>0x00000120</v>
      </c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68</v>
      </c>
      <c r="H358" s="15" t="s">
        <v>19</v>
      </c>
      <c r="I358" s="29">
        <v>49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292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0x00000124</v>
      </c>
    </row>
    <row r="359" spans="2:39" s="6" customFormat="1" x14ac:dyDescent="0.3">
      <c r="B359" s="14">
        <v>0</v>
      </c>
      <c r="C359" s="14"/>
      <c r="D359" s="14"/>
      <c r="E359" s="24"/>
      <c r="F359" s="24"/>
      <c r="G359" s="14"/>
      <c r="H359" s="15"/>
      <c r="I359" s="29"/>
      <c r="J359" s="15" t="s">
        <v>747</v>
      </c>
      <c r="K359" s="15"/>
      <c r="L359" s="14"/>
      <c r="M359" s="35"/>
      <c r="N359" s="15"/>
      <c r="O359" s="25"/>
      <c r="P359" s="25"/>
      <c r="Q359" s="26"/>
      <c r="R359" s="27"/>
      <c r="S359" s="27"/>
      <c r="T359" s="27"/>
      <c r="U359" s="28"/>
      <c r="V359" s="14"/>
      <c r="W359" s="14"/>
      <c r="X359" s="30"/>
      <c r="Y359" s="30"/>
      <c r="Z359" s="64"/>
      <c r="AA359" s="64"/>
      <c r="AB359" s="79"/>
      <c r="AC359" s="12"/>
      <c r="AD359" s="79"/>
      <c r="AE359" s="79"/>
      <c r="AF359" s="68"/>
      <c r="AG359" s="75"/>
      <c r="AH359" s="75" t="str">
        <f>IF(Table13[[#This Row],[value Type]]="","",VLOOKUP(Table13[[#This Row],[AddrTypeI]],Table22[],2,FALSE))</f>
        <v/>
      </c>
      <c r="AI359" s="68"/>
      <c r="AJ359" s="68"/>
      <c r="AK359" s="68"/>
      <c r="AL359" s="24"/>
      <c r="AM359" s="24"/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54</v>
      </c>
      <c r="I360" s="29">
        <v>50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320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0x00000140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19</v>
      </c>
      <c r="I361" s="29">
        <v>51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324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0x00000144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6</v>
      </c>
      <c r="I362" s="29">
        <v>52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328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0x00000148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7</v>
      </c>
      <c r="I363" s="29">
        <v>53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332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0x0000014C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8</v>
      </c>
      <c r="I364" s="29">
        <v>54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336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0x00000150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9</v>
      </c>
      <c r="I365" s="29">
        <v>55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340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0x00000154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10</v>
      </c>
      <c r="I366" s="29">
        <v>56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344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0x00000158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11</v>
      </c>
      <c r="I367" s="29">
        <v>57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348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0x0000015C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12</v>
      </c>
      <c r="I368" s="29">
        <v>58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352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0x00000160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13</v>
      </c>
      <c r="I369" s="29">
        <v>59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356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0x00000164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20</v>
      </c>
      <c r="I370" s="29" t="s">
        <v>70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360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0x00000168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21</v>
      </c>
      <c r="I371" s="29" t="s">
        <v>71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364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0x0000016C</v>
      </c>
    </row>
    <row r="372" spans="2:39" s="6" customFormat="1" x14ac:dyDescent="0.3">
      <c r="B372" s="14">
        <v>0</v>
      </c>
      <c r="C372" s="14" t="s">
        <v>1</v>
      </c>
      <c r="D372" s="14" t="s">
        <v>388</v>
      </c>
      <c r="E372" s="24" t="s">
        <v>351</v>
      </c>
      <c r="F372" s="24">
        <v>1</v>
      </c>
      <c r="G372" s="14" t="s">
        <v>69</v>
      </c>
      <c r="H372" s="15" t="s">
        <v>22</v>
      </c>
      <c r="I372" s="29" t="s">
        <v>72</v>
      </c>
      <c r="J372" s="15" t="s">
        <v>747</v>
      </c>
      <c r="K372" s="15" t="s">
        <v>52</v>
      </c>
      <c r="L372" s="14">
        <v>32</v>
      </c>
      <c r="M372" s="35">
        <v>0</v>
      </c>
      <c r="N372" s="15" t="s">
        <v>400</v>
      </c>
      <c r="O372" s="25" t="s">
        <v>402</v>
      </c>
      <c r="P372" s="25">
        <v>1</v>
      </c>
      <c r="Q372" s="26" t="s">
        <v>80</v>
      </c>
      <c r="R372" s="27" t="s">
        <v>410</v>
      </c>
      <c r="S372" s="27" t="s">
        <v>405</v>
      </c>
      <c r="T372" s="27">
        <v>0</v>
      </c>
      <c r="U372" s="28"/>
      <c r="V372" s="14"/>
      <c r="W372" s="14"/>
      <c r="X372" s="30" t="str">
        <f>IF(Table13[[#This Row],[value Type]]="","",VLOOKUP(Table13[[#This Row],[value Type]],Table2915[],2,FALSE))</f>
        <v>longout</v>
      </c>
      <c r="Y372" s="30" t="str">
        <f>IF(Table13[[#This Row],[value Type]]="","",VLOOKUP(Table13[[#This Row],[value Type]],Table2915[],3,FALSE))</f>
        <v>asynParamInt32</v>
      </c>
      <c r="Z372" s="64" t="str">
        <f>IF(Table13[[#This Row],[value Type]]="","",VLOOKUP(Table13[[#This Row],[value Type]],Table2915[],4,FALSE))</f>
        <v>"asynInt32"</v>
      </c>
      <c r="AA372" s="64" t="str">
        <f>IF(Table13[[#This Row],[value Type]]="","",    IF(Table13[[#This Row],[IP MAX]]="","","@"  )     )</f>
        <v>@</v>
      </c>
      <c r="AB372" s="79" t="str">
        <f>IF(Table13[[#This Row],[value Type]]="","",VLOOKUP(Table13[[#This Row],[value Type]],Table2915[],5,FALSE))</f>
        <v xml:space="preserve"> </v>
      </c>
      <c r="AC3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2" s="79">
        <f>IF(Table13[[#This Row],[value Type]]="","",VLOOKUP(Table13[[#This Row],[IP]],Table51117[],2,FALSE))</f>
        <v>3</v>
      </c>
      <c r="AE372" s="79" t="str">
        <f>IF(Table13[[#This Row],[value Type]]="","",    IF(Table13[[#This Row],[IP MAX]]="","0","@"  )     )</f>
        <v>@</v>
      </c>
      <c r="AF372" s="68">
        <f>IF(Table13[[#This Row],[value Type]]="","",VLOOKUP(Table13[[#This Row],[Acc Type]],Table2[],2,FALSE))</f>
        <v>0</v>
      </c>
      <c r="AG372" s="75">
        <f>IF(Table13[[#This Row],[value Type]]="","",4*HEX2DEC(Table13[[#This Row],[Addr'[HEX']]]))</f>
        <v>368</v>
      </c>
      <c r="AH372" s="75">
        <f>IF(Table13[[#This Row],[value Type]]="","",VLOOKUP(Table13[[#This Row],[AddrTypeI]],Table22[],2,FALSE))</f>
        <v>0</v>
      </c>
      <c r="AI372" s="68">
        <f>IF(Table13[[#This Row],[value Type]]="","",VLOOKUP(Table13[[#This Row],[DataType]],Table351218[],2,FALSE))</f>
        <v>0</v>
      </c>
      <c r="AJ372" s="68">
        <f>IF(Table13[[#This Row],[value Type]]="","",Table13[[#This Row],[DataWidth]])</f>
        <v>32</v>
      </c>
      <c r="AK372" s="68">
        <f>IF(Table13[[#This Row],[value Type]]="","", Table13[[#This Row],[DataOffset]])</f>
        <v>0</v>
      </c>
      <c r="AL372" s="24"/>
      <c r="AM372" s="24" t="str">
        <f>IF(Table13[[#This Row],[value Type]]="","", "0x"&amp;DEC2HEX(Table13[[#This Row],[ADDR_Offset]],8) )</f>
        <v>0x00000170</v>
      </c>
    </row>
    <row r="373" spans="2:39" s="6" customFormat="1" x14ac:dyDescent="0.3">
      <c r="B373" s="14">
        <v>0</v>
      </c>
      <c r="C373" s="14" t="s">
        <v>1</v>
      </c>
      <c r="D373" s="14" t="s">
        <v>388</v>
      </c>
      <c r="E373" s="24" t="s">
        <v>351</v>
      </c>
      <c r="F373" s="24">
        <v>1</v>
      </c>
      <c r="G373" s="14" t="s">
        <v>69</v>
      </c>
      <c r="H373" s="15" t="s">
        <v>23</v>
      </c>
      <c r="I373" s="29" t="s">
        <v>73</v>
      </c>
      <c r="J373" s="15" t="s">
        <v>747</v>
      </c>
      <c r="K373" s="15" t="s">
        <v>52</v>
      </c>
      <c r="L373" s="14">
        <v>32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longout</v>
      </c>
      <c r="Y373" s="30" t="str">
        <f>IF(Table13[[#This Row],[value Type]]="","",VLOOKUP(Table13[[#This Row],[value Type]],Table2915[],3,FALSE))</f>
        <v>asynParamInt32</v>
      </c>
      <c r="Z373" s="64" t="str">
        <f>IF(Table13[[#This Row],[value Type]]="","",VLOOKUP(Table13[[#This Row],[value Type]],Table2915[],4,FALSE))</f>
        <v>"asynInt32"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372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0</v>
      </c>
      <c r="AJ373" s="68">
        <f>IF(Table13[[#This Row],[value Type]]="","",Table13[[#This Row],[DataWidth]])</f>
        <v>32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0x00000174</v>
      </c>
    </row>
    <row r="374" spans="2:39" s="6" customFormat="1" x14ac:dyDescent="0.3">
      <c r="B374" s="14">
        <v>0</v>
      </c>
      <c r="C374" s="14"/>
      <c r="D374" s="14"/>
      <c r="E374" s="24"/>
      <c r="F374" s="24"/>
      <c r="G374" s="14"/>
      <c r="H374" s="15"/>
      <c r="I374" s="29"/>
      <c r="J374" s="15" t="s">
        <v>747</v>
      </c>
      <c r="K374" s="15"/>
      <c r="L374" s="14"/>
      <c r="M374" s="14"/>
      <c r="N374" s="15"/>
      <c r="O374" s="25"/>
      <c r="P374" s="25"/>
      <c r="Q374" s="26"/>
      <c r="R374" s="27"/>
      <c r="S374" s="27"/>
      <c r="T374" s="27"/>
      <c r="U374" s="28"/>
      <c r="V374" s="14"/>
      <c r="W374" s="14"/>
      <c r="X374" s="30"/>
      <c r="Y374" s="30"/>
      <c r="Z374" s="64"/>
      <c r="AA374" s="64"/>
      <c r="AB374" s="79"/>
      <c r="AC374" s="12"/>
      <c r="AD374" s="79"/>
      <c r="AE374" s="79"/>
      <c r="AF374" s="68"/>
      <c r="AG374" s="75"/>
      <c r="AH374" s="75" t="str">
        <f>IF(Table13[[#This Row],[value Type]]="","",VLOOKUP(Table13[[#This Row],[AddrTypeI]],Table22[],2,FALSE))</f>
        <v/>
      </c>
      <c r="AI374" s="68"/>
      <c r="AJ374" s="68"/>
      <c r="AK374" s="68"/>
      <c r="AL374" s="24"/>
      <c r="AM374" s="24"/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19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0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0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6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8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8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7</v>
      </c>
      <c r="I377" s="29">
        <v>65</v>
      </c>
      <c r="J377" s="15" t="s">
        <v>747</v>
      </c>
      <c r="K377" s="15" t="s">
        <v>251</v>
      </c>
      <c r="L377" s="14">
        <v>8</v>
      </c>
      <c r="M377" s="35">
        <v>16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404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16</v>
      </c>
      <c r="AL377" s="24"/>
      <c r="AM377" s="24" t="str">
        <f>IF(Table13[[#This Row],[value Type]]="","", "0x"&amp;DEC2HEX(Table13[[#This Row],[ADDR_Offset]],8) )</f>
        <v>0x00000194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8</v>
      </c>
      <c r="I378" s="29">
        <v>65</v>
      </c>
      <c r="J378" s="15" t="s">
        <v>747</v>
      </c>
      <c r="K378" s="15" t="s">
        <v>251</v>
      </c>
      <c r="L378" s="14">
        <v>8</v>
      </c>
      <c r="M378" s="35">
        <v>24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404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24</v>
      </c>
      <c r="AL378" s="24"/>
      <c r="AM378" s="24" t="str">
        <f>IF(Table13[[#This Row],[value Type]]="","", "0x"&amp;DEC2HEX(Table13[[#This Row],[ADDR_Offset]],8) )</f>
        <v>0x00000194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9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0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0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10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8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8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11</v>
      </c>
      <c r="I381" s="29">
        <v>66</v>
      </c>
      <c r="J381" s="15" t="s">
        <v>747</v>
      </c>
      <c r="K381" s="15" t="s">
        <v>251</v>
      </c>
      <c r="L381" s="14">
        <v>8</v>
      </c>
      <c r="M381" s="35">
        <v>16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408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16</v>
      </c>
      <c r="AL381" s="24"/>
      <c r="AM381" s="24" t="str">
        <f>IF(Table13[[#This Row],[value Type]]="","", "0x"&amp;DEC2HEX(Table13[[#This Row],[ADDR_Offset]],8) )</f>
        <v>0x00000198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12</v>
      </c>
      <c r="I382" s="29">
        <v>66</v>
      </c>
      <c r="J382" s="15" t="s">
        <v>747</v>
      </c>
      <c r="K382" s="15" t="s">
        <v>251</v>
      </c>
      <c r="L382" s="14">
        <v>8</v>
      </c>
      <c r="M382" s="35">
        <v>24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408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24</v>
      </c>
      <c r="AL382" s="24"/>
      <c r="AM382" s="24" t="str">
        <f>IF(Table13[[#This Row],[value Type]]="","", "0x"&amp;DEC2HEX(Table13[[#This Row],[ADDR_Offset]],8) )</f>
        <v>0x00000198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13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0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0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20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8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8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21</v>
      </c>
      <c r="I385" s="29">
        <v>67</v>
      </c>
      <c r="J385" s="15" t="s">
        <v>747</v>
      </c>
      <c r="K385" s="15" t="s">
        <v>251</v>
      </c>
      <c r="L385" s="14">
        <v>8</v>
      </c>
      <c r="M385" s="35">
        <v>16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412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16</v>
      </c>
      <c r="AL385" s="24"/>
      <c r="AM385" s="24" t="str">
        <f>IF(Table13[[#This Row],[value Type]]="","", "0x"&amp;DEC2HEX(Table13[[#This Row],[ADDR_Offset]],8) )</f>
        <v>0x0000019C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22</v>
      </c>
      <c r="I386" s="29">
        <v>67</v>
      </c>
      <c r="J386" s="15" t="s">
        <v>747</v>
      </c>
      <c r="K386" s="15" t="s">
        <v>251</v>
      </c>
      <c r="L386" s="14">
        <v>8</v>
      </c>
      <c r="M386" s="35">
        <v>24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412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24</v>
      </c>
      <c r="AL386" s="24"/>
      <c r="AM386" s="24" t="str">
        <f>IF(Table13[[#This Row],[value Type]]="","", "0x"&amp;DEC2HEX(Table13[[#This Row],[ADDR_Offset]],8) )</f>
        <v>0x0000019C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23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0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0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24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8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8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25</v>
      </c>
      <c r="I389" s="29">
        <v>68</v>
      </c>
      <c r="J389" s="15" t="s">
        <v>747</v>
      </c>
      <c r="K389" s="15" t="s">
        <v>251</v>
      </c>
      <c r="L389" s="14">
        <v>8</v>
      </c>
      <c r="M389" s="35">
        <v>16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416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16</v>
      </c>
      <c r="AL389" s="24"/>
      <c r="AM389" s="24" t="str">
        <f>IF(Table13[[#This Row],[value Type]]="","", "0x"&amp;DEC2HEX(Table13[[#This Row],[ADDR_Offset]],8) )</f>
        <v>0x000001A0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26</v>
      </c>
      <c r="I390" s="29">
        <v>68</v>
      </c>
      <c r="J390" s="15" t="s">
        <v>747</v>
      </c>
      <c r="K390" s="15" t="s">
        <v>251</v>
      </c>
      <c r="L390" s="14">
        <v>8</v>
      </c>
      <c r="M390" s="35">
        <v>24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416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24</v>
      </c>
      <c r="AL390" s="24"/>
      <c r="AM390" s="24" t="str">
        <f>IF(Table13[[#This Row],[value Type]]="","", "0x"&amp;DEC2HEX(Table13[[#This Row],[ADDR_Offset]],8) )</f>
        <v>0x000001A0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27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0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0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28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8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8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29</v>
      </c>
      <c r="I393" s="29">
        <v>69</v>
      </c>
      <c r="J393" s="15" t="s">
        <v>747</v>
      </c>
      <c r="K393" s="15" t="s">
        <v>251</v>
      </c>
      <c r="L393" s="14">
        <v>8</v>
      </c>
      <c r="M393" s="35">
        <v>16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420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16</v>
      </c>
      <c r="AL393" s="24"/>
      <c r="AM393" s="24" t="str">
        <f>IF(Table13[[#This Row],[value Type]]="","", "0x"&amp;DEC2HEX(Table13[[#This Row],[ADDR_Offset]],8) )</f>
        <v>0x000001A4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30</v>
      </c>
      <c r="I394" s="29">
        <v>69</v>
      </c>
      <c r="J394" s="15" t="s">
        <v>747</v>
      </c>
      <c r="K394" s="15" t="s">
        <v>251</v>
      </c>
      <c r="L394" s="14">
        <v>8</v>
      </c>
      <c r="M394" s="35">
        <v>24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420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24</v>
      </c>
      <c r="AL394" s="24"/>
      <c r="AM394" s="24" t="str">
        <f>IF(Table13[[#This Row],[value Type]]="","", "0x"&amp;DEC2HEX(Table13[[#This Row],[ADDR_Offset]],8) )</f>
        <v>0x000001A4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31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0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0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32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8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8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33</v>
      </c>
      <c r="I397" s="29" t="s">
        <v>516</v>
      </c>
      <c r="J397" s="15" t="s">
        <v>747</v>
      </c>
      <c r="K397" s="15" t="s">
        <v>251</v>
      </c>
      <c r="L397" s="14">
        <v>8</v>
      </c>
      <c r="M397" s="35">
        <v>16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424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16</v>
      </c>
      <c r="AL397" s="24"/>
      <c r="AM397" s="24" t="str">
        <f>IF(Table13[[#This Row],[value Type]]="","", "0x"&amp;DEC2HEX(Table13[[#This Row],[ADDR_Offset]],8) )</f>
        <v>0x000001A8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34</v>
      </c>
      <c r="I398" s="29" t="s">
        <v>516</v>
      </c>
      <c r="J398" s="15" t="s">
        <v>747</v>
      </c>
      <c r="K398" s="15" t="s">
        <v>251</v>
      </c>
      <c r="L398" s="14">
        <v>8</v>
      </c>
      <c r="M398" s="35">
        <v>24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424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24</v>
      </c>
      <c r="AL398" s="24"/>
      <c r="AM398" s="24" t="str">
        <f>IF(Table13[[#This Row],[value Type]]="","", "0x"&amp;DEC2HEX(Table13[[#This Row],[ADDR_Offset]],8) )</f>
        <v>0x000001A8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35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0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0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36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8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8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37</v>
      </c>
      <c r="I401" s="29" t="s">
        <v>517</v>
      </c>
      <c r="J401" s="15" t="s">
        <v>747</v>
      </c>
      <c r="K401" s="15" t="s">
        <v>251</v>
      </c>
      <c r="L401" s="14">
        <v>8</v>
      </c>
      <c r="M401" s="35">
        <v>16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428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16</v>
      </c>
      <c r="AL401" s="24"/>
      <c r="AM401" s="24" t="str">
        <f>IF(Table13[[#This Row],[value Type]]="","", "0x"&amp;DEC2HEX(Table13[[#This Row],[ADDR_Offset]],8) )</f>
        <v>0x000001AC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38</v>
      </c>
      <c r="I402" s="29" t="s">
        <v>517</v>
      </c>
      <c r="J402" s="15" t="s">
        <v>747</v>
      </c>
      <c r="K402" s="15" t="s">
        <v>251</v>
      </c>
      <c r="L402" s="14">
        <v>8</v>
      </c>
      <c r="M402" s="35">
        <v>24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428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24</v>
      </c>
      <c r="AL402" s="24"/>
      <c r="AM402" s="24" t="str">
        <f>IF(Table13[[#This Row],[value Type]]="","", "0x"&amp;DEC2HEX(Table13[[#This Row],[ADDR_Offset]],8) )</f>
        <v>0x000001AC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39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0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0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 t="s">
        <v>2</v>
      </c>
      <c r="D404" s="14" t="s">
        <v>388</v>
      </c>
      <c r="E404" s="24" t="s">
        <v>351</v>
      </c>
      <c r="F404" s="24">
        <v>1</v>
      </c>
      <c r="G404" s="14" t="s">
        <v>515</v>
      </c>
      <c r="H404" s="15" t="s">
        <v>40</v>
      </c>
      <c r="I404" s="29" t="s">
        <v>518</v>
      </c>
      <c r="J404" s="15" t="s">
        <v>747</v>
      </c>
      <c r="K404" s="15" t="s">
        <v>251</v>
      </c>
      <c r="L404" s="14">
        <v>8</v>
      </c>
      <c r="M404" s="35">
        <v>8</v>
      </c>
      <c r="N404" s="15" t="s">
        <v>400</v>
      </c>
      <c r="O404" s="25" t="s">
        <v>402</v>
      </c>
      <c r="P404" s="25">
        <v>1</v>
      </c>
      <c r="Q404" s="26" t="s">
        <v>80</v>
      </c>
      <c r="R404" s="27" t="s">
        <v>410</v>
      </c>
      <c r="S404" s="27" t="s">
        <v>405</v>
      </c>
      <c r="T404" s="27">
        <v>0</v>
      </c>
      <c r="U404" s="28"/>
      <c r="V404" s="14"/>
      <c r="W404" s="14"/>
      <c r="X404" s="30" t="str">
        <f>IF(Table13[[#This Row],[value Type]]="","",VLOOKUP(Table13[[#This Row],[value Type]],Table2915[],2,FALSE))</f>
        <v>stringout</v>
      </c>
      <c r="Y404" s="30" t="str">
        <f>IF(Table13[[#This Row],[value Type]]="","",VLOOKUP(Table13[[#This Row],[value Type]],Table2915[],3,FALSE))</f>
        <v>asynParamOctet</v>
      </c>
      <c r="Z404" s="64" t="str">
        <f>IF(Table13[[#This Row],[value Type]]="","",VLOOKUP(Table13[[#This Row],[value Type]],Table2915[],4,FALSE))</f>
        <v xml:space="preserve"> </v>
      </c>
      <c r="AA404" s="64" t="str">
        <f>IF(Table13[[#This Row],[value Type]]="","",    IF(Table13[[#This Row],[IP MAX]]="","","@"  )     )</f>
        <v>@</v>
      </c>
      <c r="AB404" s="79" t="str">
        <f>IF(Table13[[#This Row],[value Type]]="","",VLOOKUP(Table13[[#This Row],[value Type]],Table2915[],5,FALSE))</f>
        <v xml:space="preserve"> </v>
      </c>
      <c r="AC4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4" s="79">
        <f>IF(Table13[[#This Row],[value Type]]="","",VLOOKUP(Table13[[#This Row],[IP]],Table51117[],2,FALSE))</f>
        <v>3</v>
      </c>
      <c r="AE404" s="79" t="str">
        <f>IF(Table13[[#This Row],[value Type]]="","",    IF(Table13[[#This Row],[IP MAX]]="","0","@"  )     )</f>
        <v>@</v>
      </c>
      <c r="AF404" s="68">
        <f>IF(Table13[[#This Row],[value Type]]="","",VLOOKUP(Table13[[#This Row],[Acc Type]],Table2[],2,FALSE))</f>
        <v>0</v>
      </c>
      <c r="AG404" s="75">
        <f>IF(Table13[[#This Row],[value Type]]="","",4*HEX2DEC(Table13[[#This Row],[Addr'[HEX']]]))</f>
        <v>432</v>
      </c>
      <c r="AH404" s="75">
        <f>IF(Table13[[#This Row],[value Type]]="","",VLOOKUP(Table13[[#This Row],[AddrTypeI]],Table22[],2,FALSE))</f>
        <v>0</v>
      </c>
      <c r="AI404" s="68">
        <f>IF(Table13[[#This Row],[value Type]]="","",VLOOKUP(Table13[[#This Row],[DataType]],Table351218[],2,FALSE))</f>
        <v>2</v>
      </c>
      <c r="AJ404" s="68">
        <f>IF(Table13[[#This Row],[value Type]]="","",Table13[[#This Row],[DataWidth]])</f>
        <v>8</v>
      </c>
      <c r="AK404" s="68">
        <f>IF(Table13[[#This Row],[value Type]]="","", Table13[[#This Row],[DataOffset]])</f>
        <v>8</v>
      </c>
      <c r="AL404" s="24"/>
      <c r="AM404" s="24" t="str">
        <f>IF(Table13[[#This Row],[value Type]]="","", "0x"&amp;DEC2HEX(Table13[[#This Row],[ADDR_Offset]],8) )</f>
        <v>0x000001B0</v>
      </c>
    </row>
    <row r="405" spans="2:39" s="6" customFormat="1" x14ac:dyDescent="0.3">
      <c r="B405" s="14">
        <v>0</v>
      </c>
      <c r="C405" s="14" t="s">
        <v>2</v>
      </c>
      <c r="D405" s="14" t="s">
        <v>388</v>
      </c>
      <c r="E405" s="24" t="s">
        <v>351</v>
      </c>
      <c r="F405" s="24">
        <v>1</v>
      </c>
      <c r="G405" s="14" t="s">
        <v>515</v>
      </c>
      <c r="H405" s="15" t="s">
        <v>519</v>
      </c>
      <c r="I405" s="29" t="s">
        <v>518</v>
      </c>
      <c r="J405" s="15" t="s">
        <v>747</v>
      </c>
      <c r="K405" s="15" t="s">
        <v>251</v>
      </c>
      <c r="L405" s="14">
        <v>8</v>
      </c>
      <c r="M405" s="35">
        <v>16</v>
      </c>
      <c r="N405" s="15" t="s">
        <v>400</v>
      </c>
      <c r="O405" s="25" t="s">
        <v>402</v>
      </c>
      <c r="P405" s="25">
        <v>1</v>
      </c>
      <c r="Q405" s="26" t="s">
        <v>80</v>
      </c>
      <c r="R405" s="27" t="s">
        <v>410</v>
      </c>
      <c r="S405" s="27" t="s">
        <v>405</v>
      </c>
      <c r="T405" s="27">
        <v>0</v>
      </c>
      <c r="U405" s="28"/>
      <c r="V405" s="14"/>
      <c r="W405" s="14"/>
      <c r="X405" s="30" t="str">
        <f>IF(Table13[[#This Row],[value Type]]="","",VLOOKUP(Table13[[#This Row],[value Type]],Table2915[],2,FALSE))</f>
        <v>stringout</v>
      </c>
      <c r="Y405" s="30" t="str">
        <f>IF(Table13[[#This Row],[value Type]]="","",VLOOKUP(Table13[[#This Row],[value Type]],Table2915[],3,FALSE))</f>
        <v>asynParamOctet</v>
      </c>
      <c r="Z405" s="64" t="str">
        <f>IF(Table13[[#This Row],[value Type]]="","",VLOOKUP(Table13[[#This Row],[value Type]],Table2915[],4,FALSE))</f>
        <v xml:space="preserve"> </v>
      </c>
      <c r="AA405" s="64" t="str">
        <f>IF(Table13[[#This Row],[value Type]]="","",    IF(Table13[[#This Row],[IP MAX]]="","","@"  )     )</f>
        <v>@</v>
      </c>
      <c r="AB405" s="79" t="str">
        <f>IF(Table13[[#This Row],[value Type]]="","",VLOOKUP(Table13[[#This Row],[value Type]],Table2915[],5,FALSE))</f>
        <v xml:space="preserve"> </v>
      </c>
      <c r="AC4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5" s="79">
        <f>IF(Table13[[#This Row],[value Type]]="","",VLOOKUP(Table13[[#This Row],[IP]],Table51117[],2,FALSE))</f>
        <v>3</v>
      </c>
      <c r="AE405" s="79" t="str">
        <f>IF(Table13[[#This Row],[value Type]]="","",    IF(Table13[[#This Row],[IP MAX]]="","0","@"  )     )</f>
        <v>@</v>
      </c>
      <c r="AF405" s="68">
        <f>IF(Table13[[#This Row],[value Type]]="","",VLOOKUP(Table13[[#This Row],[Acc Type]],Table2[],2,FALSE))</f>
        <v>0</v>
      </c>
      <c r="AG405" s="75">
        <f>IF(Table13[[#This Row],[value Type]]="","",4*HEX2DEC(Table13[[#This Row],[Addr'[HEX']]]))</f>
        <v>432</v>
      </c>
      <c r="AH405" s="75">
        <f>IF(Table13[[#This Row],[value Type]]="","",VLOOKUP(Table13[[#This Row],[AddrTypeI]],Table22[],2,FALSE))</f>
        <v>0</v>
      </c>
      <c r="AI405" s="68">
        <f>IF(Table13[[#This Row],[value Type]]="","",VLOOKUP(Table13[[#This Row],[DataType]],Table351218[],2,FALSE))</f>
        <v>2</v>
      </c>
      <c r="AJ405" s="68">
        <f>IF(Table13[[#This Row],[value Type]]="","",Table13[[#This Row],[DataWidth]])</f>
        <v>8</v>
      </c>
      <c r="AK405" s="68">
        <f>IF(Table13[[#This Row],[value Type]]="","", Table13[[#This Row],[DataOffset]])</f>
        <v>16</v>
      </c>
      <c r="AL405" s="24"/>
      <c r="AM405" s="24" t="str">
        <f>IF(Table13[[#This Row],[value Type]]="","", "0x"&amp;DEC2HEX(Table13[[#This Row],[ADDR_Offset]],8) )</f>
        <v>0x000001B0</v>
      </c>
    </row>
    <row r="406" spans="2:39" s="6" customFormat="1" x14ac:dyDescent="0.3">
      <c r="B406" s="14">
        <v>0</v>
      </c>
      <c r="C406" s="14"/>
      <c r="D406" s="14"/>
      <c r="E406" s="24"/>
      <c r="F406" s="24"/>
      <c r="G406" s="14"/>
      <c r="H406" s="15"/>
      <c r="I406" s="29"/>
      <c r="J406" s="15" t="s">
        <v>747</v>
      </c>
      <c r="K406" s="15"/>
      <c r="L406" s="14"/>
      <c r="M406" s="35"/>
      <c r="N406" s="15"/>
      <c r="O406" s="25"/>
      <c r="P406" s="25"/>
      <c r="Q406" s="26"/>
      <c r="R406" s="27"/>
      <c r="S406" s="27"/>
      <c r="T406" s="27"/>
      <c r="U406" s="28"/>
      <c r="V406" s="14"/>
      <c r="W406" s="14"/>
      <c r="X406" s="30"/>
      <c r="Y406" s="30"/>
      <c r="Z406" s="64"/>
      <c r="AA406" s="64"/>
      <c r="AB406" s="79"/>
      <c r="AC406" s="12"/>
      <c r="AD406" s="79"/>
      <c r="AE406" s="79"/>
      <c r="AF406" s="68"/>
      <c r="AG406" s="75"/>
      <c r="AH406" s="75" t="str">
        <f>IF(Table13[[#This Row],[value Type]]="","",VLOOKUP(Table13[[#This Row],[AddrTypeI]],Table22[],2,FALSE))</f>
        <v/>
      </c>
      <c r="AI406" s="68"/>
      <c r="AJ406" s="68"/>
      <c r="AK406" s="68"/>
      <c r="AL406" s="24"/>
      <c r="AM406" s="24"/>
    </row>
    <row r="407" spans="2:39" s="6" customFormat="1" x14ac:dyDescent="0.3">
      <c r="B407" s="14">
        <v>0</v>
      </c>
      <c r="C407" s="14"/>
      <c r="D407" s="14"/>
      <c r="E407" s="24"/>
      <c r="F407" s="24"/>
      <c r="G407" s="14"/>
      <c r="H407" s="15"/>
      <c r="I407" s="29"/>
      <c r="J407" s="15" t="s">
        <v>747</v>
      </c>
      <c r="K407" s="15"/>
      <c r="L407" s="14"/>
      <c r="M407" s="35"/>
      <c r="N407" s="15"/>
      <c r="O407" s="25"/>
      <c r="P407" s="25"/>
      <c r="Q407" s="26"/>
      <c r="R407" s="27"/>
      <c r="S407" s="27"/>
      <c r="T407" s="27"/>
      <c r="U407" s="28"/>
      <c r="V407" s="14"/>
      <c r="W407" s="14"/>
      <c r="X407" s="30"/>
      <c r="Y407" s="30"/>
      <c r="Z407" s="64"/>
      <c r="AA407" s="64"/>
      <c r="AB407" s="79"/>
      <c r="AC407" s="12"/>
      <c r="AD407" s="79"/>
      <c r="AE407" s="79"/>
      <c r="AF407" s="68"/>
      <c r="AG407" s="75"/>
      <c r="AH407" s="75" t="str">
        <f>IF(Table13[[#This Row],[value Type]]="","",VLOOKUP(Table13[[#This Row],[AddrTypeI]],Table22[],2,FALSE))</f>
        <v/>
      </c>
      <c r="AI407" s="68"/>
      <c r="AJ407" s="68"/>
      <c r="AK407" s="68"/>
      <c r="AL407" s="24"/>
      <c r="AM407" s="24"/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402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0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0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19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8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8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6</v>
      </c>
      <c r="I410" s="29" t="s">
        <v>520</v>
      </c>
      <c r="J410" s="15" t="s">
        <v>747</v>
      </c>
      <c r="K410" s="15" t="s">
        <v>251</v>
      </c>
      <c r="L410" s="14">
        <v>8</v>
      </c>
      <c r="M410" s="35">
        <v>16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436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16</v>
      </c>
      <c r="AL410" s="24"/>
      <c r="AM410" s="24" t="str">
        <f>IF(Table13[[#This Row],[value Type]]="","", "0x"&amp;DEC2HEX(Table13[[#This Row],[ADDR_Offset]],8) )</f>
        <v>0x000001B4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7</v>
      </c>
      <c r="I411" s="29" t="s">
        <v>520</v>
      </c>
      <c r="J411" s="15" t="s">
        <v>747</v>
      </c>
      <c r="K411" s="15" t="s">
        <v>251</v>
      </c>
      <c r="L411" s="14">
        <v>8</v>
      </c>
      <c r="M411" s="35">
        <v>24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436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24</v>
      </c>
      <c r="AL411" s="24"/>
      <c r="AM411" s="24" t="str">
        <f>IF(Table13[[#This Row],[value Type]]="","", "0x"&amp;DEC2HEX(Table13[[#This Row],[ADDR_Offset]],8) )</f>
        <v>0x000001B4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8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0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0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9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8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8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 t="s">
        <v>2</v>
      </c>
      <c r="D414" s="14" t="s">
        <v>388</v>
      </c>
      <c r="E414" s="24" t="s">
        <v>351</v>
      </c>
      <c r="F414" s="24">
        <v>1</v>
      </c>
      <c r="G414" s="14" t="s">
        <v>94</v>
      </c>
      <c r="H414" s="15" t="s">
        <v>10</v>
      </c>
      <c r="I414" s="29" t="s">
        <v>521</v>
      </c>
      <c r="J414" s="15" t="s">
        <v>747</v>
      </c>
      <c r="K414" s="15" t="s">
        <v>251</v>
      </c>
      <c r="L414" s="14">
        <v>8</v>
      </c>
      <c r="M414" s="35">
        <v>16</v>
      </c>
      <c r="N414" s="15" t="s">
        <v>400</v>
      </c>
      <c r="O414" s="25" t="s">
        <v>402</v>
      </c>
      <c r="P414" s="25">
        <v>1</v>
      </c>
      <c r="Q414" s="26" t="s">
        <v>80</v>
      </c>
      <c r="R414" s="27" t="s">
        <v>410</v>
      </c>
      <c r="S414" s="27" t="s">
        <v>405</v>
      </c>
      <c r="T414" s="27">
        <v>0</v>
      </c>
      <c r="U414" s="28"/>
      <c r="V414" s="14"/>
      <c r="W414" s="14"/>
      <c r="X414" s="30" t="str">
        <f>IF(Table13[[#This Row],[value Type]]="","",VLOOKUP(Table13[[#This Row],[value Type]],Table2915[],2,FALSE))</f>
        <v>stringout</v>
      </c>
      <c r="Y414" s="30" t="str">
        <f>IF(Table13[[#This Row],[value Type]]="","",VLOOKUP(Table13[[#This Row],[value Type]],Table2915[],3,FALSE))</f>
        <v>asynParamOctet</v>
      </c>
      <c r="Z414" s="64" t="str">
        <f>IF(Table13[[#This Row],[value Type]]="","",VLOOKUP(Table13[[#This Row],[value Type]],Table2915[],4,FALSE))</f>
        <v xml:space="preserve"> </v>
      </c>
      <c r="AA414" s="64" t="str">
        <f>IF(Table13[[#This Row],[value Type]]="","",    IF(Table13[[#This Row],[IP MAX]]="","","@"  )     )</f>
        <v>@</v>
      </c>
      <c r="AB414" s="79" t="str">
        <f>IF(Table13[[#This Row],[value Type]]="","",VLOOKUP(Table13[[#This Row],[value Type]],Table2915[],5,FALSE))</f>
        <v xml:space="preserve"> </v>
      </c>
      <c r="AC4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4" s="79">
        <f>IF(Table13[[#This Row],[value Type]]="","",VLOOKUP(Table13[[#This Row],[IP]],Table51117[],2,FALSE))</f>
        <v>3</v>
      </c>
      <c r="AE414" s="79" t="str">
        <f>IF(Table13[[#This Row],[value Type]]="","",    IF(Table13[[#This Row],[IP MAX]]="","0","@"  )     )</f>
        <v>@</v>
      </c>
      <c r="AF414" s="68">
        <f>IF(Table13[[#This Row],[value Type]]="","",VLOOKUP(Table13[[#This Row],[Acc Type]],Table2[],2,FALSE))</f>
        <v>0</v>
      </c>
      <c r="AG414" s="75">
        <f>IF(Table13[[#This Row],[value Type]]="","",4*HEX2DEC(Table13[[#This Row],[Addr'[HEX']]]))</f>
        <v>440</v>
      </c>
      <c r="AH414" s="75">
        <f>IF(Table13[[#This Row],[value Type]]="","",VLOOKUP(Table13[[#This Row],[AddrTypeI]],Table22[],2,FALSE))</f>
        <v>0</v>
      </c>
      <c r="AI414" s="68">
        <f>IF(Table13[[#This Row],[value Type]]="","",VLOOKUP(Table13[[#This Row],[DataType]],Table351218[],2,FALSE))</f>
        <v>2</v>
      </c>
      <c r="AJ414" s="68">
        <f>IF(Table13[[#This Row],[value Type]]="","",Table13[[#This Row],[DataWidth]])</f>
        <v>8</v>
      </c>
      <c r="AK414" s="68">
        <f>IF(Table13[[#This Row],[value Type]]="","", Table13[[#This Row],[DataOffset]])</f>
        <v>16</v>
      </c>
      <c r="AL414" s="24"/>
      <c r="AM414" s="24" t="str">
        <f>IF(Table13[[#This Row],[value Type]]="","", "0x"&amp;DEC2HEX(Table13[[#This Row],[ADDR_Offset]],8) )</f>
        <v>0x000001B8</v>
      </c>
    </row>
    <row r="415" spans="2:39" s="6" customFormat="1" x14ac:dyDescent="0.3">
      <c r="B415" s="14">
        <v>0</v>
      </c>
      <c r="C415" s="14" t="s">
        <v>2</v>
      </c>
      <c r="D415" s="14" t="s">
        <v>388</v>
      </c>
      <c r="E415" s="24" t="s">
        <v>351</v>
      </c>
      <c r="F415" s="24">
        <v>1</v>
      </c>
      <c r="G415" s="14" t="s">
        <v>94</v>
      </c>
      <c r="H415" s="15" t="s">
        <v>11</v>
      </c>
      <c r="I415" s="29" t="s">
        <v>521</v>
      </c>
      <c r="J415" s="15" t="s">
        <v>747</v>
      </c>
      <c r="K415" s="15" t="s">
        <v>251</v>
      </c>
      <c r="L415" s="14">
        <v>8</v>
      </c>
      <c r="M415" s="35">
        <v>24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stringout</v>
      </c>
      <c r="Y415" s="30" t="str">
        <f>IF(Table13[[#This Row],[value Type]]="","",VLOOKUP(Table13[[#This Row],[value Type]],Table2915[],3,FALSE))</f>
        <v>asynParamOctet</v>
      </c>
      <c r="Z415" s="64" t="str">
        <f>IF(Table13[[#This Row],[value Type]]="","",VLOOKUP(Table13[[#This Row],[value Type]],Table2915[],4,FALSE))</f>
        <v xml:space="preserve"> 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440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2</v>
      </c>
      <c r="AJ415" s="68">
        <f>IF(Table13[[#This Row],[value Type]]="","",Table13[[#This Row],[DataWidth]])</f>
        <v>8</v>
      </c>
      <c r="AK415" s="68">
        <f>IF(Table13[[#This Row],[value Type]]="","", Table13[[#This Row],[DataOffset]])</f>
        <v>24</v>
      </c>
      <c r="AL415" s="24"/>
      <c r="AM415" s="24" t="str">
        <f>IF(Table13[[#This Row],[value Type]]="","", "0x"&amp;DEC2HEX(Table13[[#This Row],[ADDR_Offset]],8) )</f>
        <v>0x000001B8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4">
        <v>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66</v>
      </c>
      <c r="H417" s="15"/>
      <c r="I417" s="29">
        <v>79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484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0x000001E4</v>
      </c>
    </row>
    <row r="418" spans="2:39" s="6" customFormat="1" x14ac:dyDescent="0.3">
      <c r="B418" s="14">
        <v>0</v>
      </c>
      <c r="C418" s="14"/>
      <c r="D418" s="14"/>
      <c r="E418" s="24"/>
      <c r="F418" s="24"/>
      <c r="G418" s="14"/>
      <c r="H418" s="15"/>
      <c r="I418" s="29"/>
      <c r="J418" s="15" t="s">
        <v>747</v>
      </c>
      <c r="K418" s="15"/>
      <c r="L418" s="14"/>
      <c r="M418" s="35"/>
      <c r="N418" s="15"/>
      <c r="O418" s="25"/>
      <c r="P418" s="25"/>
      <c r="Q418" s="26"/>
      <c r="R418" s="27"/>
      <c r="S418" s="27"/>
      <c r="T418" s="27"/>
      <c r="U418" s="28"/>
      <c r="V418" s="14"/>
      <c r="W418" s="14"/>
      <c r="X418" s="30"/>
      <c r="Y418" s="30"/>
      <c r="Z418" s="64"/>
      <c r="AA418" s="64"/>
      <c r="AB418" s="79"/>
      <c r="AC418" s="12"/>
      <c r="AD418" s="79"/>
      <c r="AE418" s="79"/>
      <c r="AF418" s="68"/>
      <c r="AG418" s="75"/>
      <c r="AH418" s="75" t="str">
        <f>IF(Table13[[#This Row],[value Type]]="","",VLOOKUP(Table13[[#This Row],[AddrTypeI]],Table22[],2,FALSE))</f>
        <v/>
      </c>
      <c r="AI418" s="68"/>
      <c r="AJ418" s="68"/>
      <c r="AK418" s="68"/>
      <c r="AL418" s="24"/>
      <c r="AM418" s="24"/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19</v>
      </c>
      <c r="I419" s="101" t="str">
        <f>DEC2HEX(HEX2DEC(Table13[[#This Row],[Index]])/4+Table13[[#This Row],[SUB]],4)</f>
        <v>0401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4100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0x00001004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6</v>
      </c>
      <c r="I420" s="101" t="str">
        <f>DEC2HEX(HEX2DEC(Table13[[#This Row],[Index]])/4+Table13[[#This Row],[SUB]],4)</f>
        <v>0402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4104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0x00001008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7</v>
      </c>
      <c r="I421" s="101" t="str">
        <f>DEC2HEX(HEX2DEC(Table13[[#This Row],[Index]])/4+Table13[[#This Row],[SUB]],4)</f>
        <v>0403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4108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0x0000100C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8</v>
      </c>
      <c r="I422" s="101" t="str">
        <f>DEC2HEX(HEX2DEC(Table13[[#This Row],[Index]])/4+Table13[[#This Row],[SUB]],4)</f>
        <v>0404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4112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0x00001010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9</v>
      </c>
      <c r="I423" s="101" t="str">
        <f>DEC2HEX(HEX2DEC(Table13[[#This Row],[Index]])/4+Table13[[#This Row],[SUB]],4)</f>
        <v>0405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4116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0x00001014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10</v>
      </c>
      <c r="I424" s="101" t="str">
        <f>DEC2HEX(HEX2DEC(Table13[[#This Row],[Index]])/4+Table13[[#This Row],[SUB]],4)</f>
        <v>0406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4120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0x00001018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11</v>
      </c>
      <c r="I425" s="101" t="str">
        <f>DEC2HEX(HEX2DEC(Table13[[#This Row],[Index]])/4+Table13[[#This Row],[SUB]],4)</f>
        <v>0407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4124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0x0000101C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12</v>
      </c>
      <c r="I426" s="101" t="str">
        <f>DEC2HEX(HEX2DEC(Table13[[#This Row],[Index]])/4+Table13[[#This Row],[SUB]],4)</f>
        <v>0408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4128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0x00001020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13</v>
      </c>
      <c r="I427" s="101" t="str">
        <f>DEC2HEX(HEX2DEC(Table13[[#This Row],[Index]])/4+Table13[[#This Row],[SUB]],4)</f>
        <v>0409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4132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0x00001024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20</v>
      </c>
      <c r="I428" s="101" t="str">
        <f>DEC2HEX(HEX2DEC(Table13[[#This Row],[Index]])/4+Table13[[#This Row],[SUB]],4)</f>
        <v>040A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402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4136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0x00001028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21</v>
      </c>
      <c r="I429" s="101" t="str">
        <f>DEC2HEX(HEX2DEC(Table13[[#This Row],[Index]])/4+Table13[[#This Row],[SUB]],4)</f>
        <v>040B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400</v>
      </c>
      <c r="O429" s="25" t="s">
        <v>402</v>
      </c>
      <c r="P429" s="25">
        <v>1</v>
      </c>
      <c r="Q429" s="26" t="s">
        <v>80</v>
      </c>
      <c r="R429" s="27" t="s">
        <v>410</v>
      </c>
      <c r="S429" s="27" t="s">
        <v>405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4140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0x0000102C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22</v>
      </c>
      <c r="I430" s="101" t="str">
        <f>DEC2HEX(HEX2DEC(Table13[[#This Row],[Index]])/4+Table13[[#This Row],[SUB]],4)</f>
        <v>040C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400</v>
      </c>
      <c r="O430" s="25" t="s">
        <v>454</v>
      </c>
      <c r="P430" s="25">
        <v>1</v>
      </c>
      <c r="Q430" s="26" t="s">
        <v>80</v>
      </c>
      <c r="R430" s="27" t="s">
        <v>410</v>
      </c>
      <c r="S430" s="27" t="s">
        <v>405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4144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0x00001030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23</v>
      </c>
      <c r="I431" s="101" t="str">
        <f>DEC2HEX(HEX2DEC(Table13[[#This Row],[Index]])/4+Table13[[#This Row],[SUB]],4)</f>
        <v>040D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453</v>
      </c>
      <c r="O431" s="25" t="s">
        <v>454</v>
      </c>
      <c r="P431" s="25">
        <v>1</v>
      </c>
      <c r="Q431" s="26" t="s">
        <v>80</v>
      </c>
      <c r="R431" s="27" t="s">
        <v>461</v>
      </c>
      <c r="S431" s="27" t="s">
        <v>456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4148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0x00001034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24</v>
      </c>
      <c r="I432" s="101" t="str">
        <f>DEC2HEX(HEX2DEC(Table13[[#This Row],[Index]])/4+Table13[[#This Row],[SUB]],4)</f>
        <v>040E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457</v>
      </c>
      <c r="O432" s="25" t="s">
        <v>459</v>
      </c>
      <c r="P432" s="25">
        <v>1</v>
      </c>
      <c r="Q432" s="26" t="s">
        <v>80</v>
      </c>
      <c r="R432" s="27" t="s">
        <v>460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4152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0x00001038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25</v>
      </c>
      <c r="I433" s="101" t="str">
        <f>DEC2HEX(HEX2DEC(Table13[[#This Row],[Index]])/4+Table13[[#This Row],[SUB]],4)</f>
        <v>040F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457</v>
      </c>
      <c r="O433" s="25" t="s">
        <v>459</v>
      </c>
      <c r="P433" s="25">
        <v>1</v>
      </c>
      <c r="Q433" s="26" t="s">
        <v>80</v>
      </c>
      <c r="R433" s="27" t="s">
        <v>461</v>
      </c>
      <c r="S433" s="27" t="s">
        <v>522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4156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0x0000103C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26</v>
      </c>
      <c r="I434" s="101" t="str">
        <f>DEC2HEX(HEX2DEC(Table13[[#This Row],[Index]])/4+Table13[[#This Row],[SUB]],4)</f>
        <v>0410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453</v>
      </c>
      <c r="O434" s="25" t="s">
        <v>459</v>
      </c>
      <c r="P434" s="25">
        <v>1</v>
      </c>
      <c r="Q434" s="26" t="s">
        <v>80</v>
      </c>
      <c r="R434" s="27" t="s">
        <v>523</v>
      </c>
      <c r="S434" s="27" t="s">
        <v>476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4160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0x00001040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27</v>
      </c>
      <c r="I435" s="101" t="str">
        <f>DEC2HEX(HEX2DEC(Table13[[#This Row],[Index]])/4+Table13[[#This Row],[SUB]],4)</f>
        <v>0411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453</v>
      </c>
      <c r="O435" s="25" t="s">
        <v>402</v>
      </c>
      <c r="P435" s="25">
        <v>1</v>
      </c>
      <c r="Q435" s="26" t="s">
        <v>80</v>
      </c>
      <c r="R435" s="27" t="s">
        <v>461</v>
      </c>
      <c r="S435" s="27" t="s">
        <v>456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4164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0x00001044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28</v>
      </c>
      <c r="I436" s="101" t="str">
        <f>DEC2HEX(HEX2DEC(Table13[[#This Row],[Index]])/4+Table13[[#This Row],[SUB]],4)</f>
        <v>0412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400</v>
      </c>
      <c r="O436" s="25" t="s">
        <v>459</v>
      </c>
      <c r="P436" s="25">
        <v>1</v>
      </c>
      <c r="Q436" s="26" t="s">
        <v>80</v>
      </c>
      <c r="R436" s="27" t="s">
        <v>460</v>
      </c>
      <c r="S436" s="27" t="s">
        <v>456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4168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0x00001048</v>
      </c>
    </row>
    <row r="437" spans="2:39" s="6" customFormat="1" x14ac:dyDescent="0.3">
      <c r="B437" s="12">
        <v>1000</v>
      </c>
      <c r="C437" s="14" t="s">
        <v>1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29</v>
      </c>
      <c r="I437" s="101" t="str">
        <f>DEC2HEX(HEX2DEC(Table13[[#This Row],[Index]])/4+Table13[[#This Row],[SUB]],4)</f>
        <v>0413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457</v>
      </c>
      <c r="O437" s="25" t="s">
        <v>454</v>
      </c>
      <c r="P437" s="25">
        <v>1</v>
      </c>
      <c r="Q437" s="26" t="s">
        <v>80</v>
      </c>
      <c r="R437" s="27" t="s">
        <v>523</v>
      </c>
      <c r="S437" s="27" t="s">
        <v>476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4172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0x0000104C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30</v>
      </c>
      <c r="I438" s="101" t="str">
        <f>DEC2HEX(HEX2DEC(Table13[[#This Row],[Index]])/4+Table13[[#This Row],[SUB]],4)</f>
        <v>0414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457</v>
      </c>
      <c r="O438" s="25" t="s">
        <v>459</v>
      </c>
      <c r="P438" s="25">
        <v>1</v>
      </c>
      <c r="Q438" s="26" t="s">
        <v>80</v>
      </c>
      <c r="R438" s="27" t="s">
        <v>410</v>
      </c>
      <c r="S438" s="27" t="s">
        <v>476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4176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0x00001050</v>
      </c>
    </row>
    <row r="439" spans="2:39" s="6" customFormat="1" x14ac:dyDescent="0.3">
      <c r="B439" s="12">
        <v>1000</v>
      </c>
      <c r="C439" s="14" t="s">
        <v>524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31</v>
      </c>
      <c r="I439" s="101" t="str">
        <f>DEC2HEX(HEX2DEC(Table13[[#This Row],[Index]])/4+Table13[[#This Row],[SUB]],4)</f>
        <v>0415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405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4180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0x00001054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32</v>
      </c>
      <c r="I440" s="101" t="str">
        <f>DEC2HEX(HEX2DEC(Table13[[#This Row],[Index]])/4+Table13[[#This Row],[SUB]],4)</f>
        <v>0416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400</v>
      </c>
      <c r="O440" s="25" t="s">
        <v>454</v>
      </c>
      <c r="P440" s="25">
        <v>1</v>
      </c>
      <c r="Q440" s="26" t="s">
        <v>80</v>
      </c>
      <c r="R440" s="27" t="s">
        <v>461</v>
      </c>
      <c r="S440" s="27" t="s">
        <v>456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4184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0x00001058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33</v>
      </c>
      <c r="I441" s="101" t="str">
        <f>DEC2HEX(HEX2DEC(Table13[[#This Row],[Index]])/4+Table13[[#This Row],[SUB]],4)</f>
        <v>0417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400</v>
      </c>
      <c r="O441" s="25" t="s">
        <v>402</v>
      </c>
      <c r="P441" s="25">
        <v>1</v>
      </c>
      <c r="Q441" s="26" t="s">
        <v>80</v>
      </c>
      <c r="R441" s="27" t="s">
        <v>461</v>
      </c>
      <c r="S441" s="27" t="s">
        <v>456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4188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0x0000105C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34</v>
      </c>
      <c r="I442" s="101" t="str">
        <f>DEC2HEX(HEX2DEC(Table13[[#This Row],[Index]])/4+Table13[[#This Row],[SUB]],4)</f>
        <v>0418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463</v>
      </c>
      <c r="O442" s="25" t="s">
        <v>402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4192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0x00001060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35</v>
      </c>
      <c r="I443" s="101" t="str">
        <f>DEC2HEX(HEX2DEC(Table13[[#This Row],[Index]])/4+Table13[[#This Row],[SUB]],4)</f>
        <v>0419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453</v>
      </c>
      <c r="O443" s="25" t="s">
        <v>402</v>
      </c>
      <c r="P443" s="25">
        <v>1</v>
      </c>
      <c r="Q443" s="26" t="s">
        <v>80</v>
      </c>
      <c r="R443" s="27" t="s">
        <v>410</v>
      </c>
      <c r="S443" s="27" t="s">
        <v>476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4196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0x00001064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36</v>
      </c>
      <c r="I444" s="101" t="str">
        <f>DEC2HEX(HEX2DEC(Table13[[#This Row],[Index]])/4+Table13[[#This Row],[SUB]],4)</f>
        <v>041A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454</v>
      </c>
      <c r="P444" s="25">
        <v>1</v>
      </c>
      <c r="Q444" s="26" t="s">
        <v>80</v>
      </c>
      <c r="R444" s="27" t="s">
        <v>410</v>
      </c>
      <c r="S444" s="27" t="s">
        <v>476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4200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0x00001068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37</v>
      </c>
      <c r="I445" s="101" t="str">
        <f>DEC2HEX(HEX2DEC(Table13[[#This Row],[Index]])/4+Table13[[#This Row],[SUB]],4)</f>
        <v>041B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463</v>
      </c>
      <c r="O445" s="25" t="s">
        <v>454</v>
      </c>
      <c r="P445" s="25">
        <v>1</v>
      </c>
      <c r="Q445" s="26" t="s">
        <v>80</v>
      </c>
      <c r="R445" s="27" t="s">
        <v>410</v>
      </c>
      <c r="S445" s="27" t="s">
        <v>456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4204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0x0000106C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38</v>
      </c>
      <c r="I446" s="101" t="str">
        <f>DEC2HEX(HEX2DEC(Table13[[#This Row],[Index]])/4+Table13[[#This Row],[SUB]],4)</f>
        <v>041C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405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4208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0x00001070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39</v>
      </c>
      <c r="I447" s="101" t="str">
        <f>DEC2HEX(HEX2DEC(Table13[[#This Row],[Index]])/4+Table13[[#This Row],[SUB]],4)</f>
        <v>041D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459</v>
      </c>
      <c r="P447" s="25">
        <v>1</v>
      </c>
      <c r="Q447" s="26" t="s">
        <v>80</v>
      </c>
      <c r="R447" s="27" t="s">
        <v>461</v>
      </c>
      <c r="S447" s="27" t="s">
        <v>522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4212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0x00001074</v>
      </c>
    </row>
    <row r="448" spans="2:39" s="6" customFormat="1" x14ac:dyDescent="0.3">
      <c r="B448" s="12">
        <v>1000</v>
      </c>
      <c r="C448" s="14" t="s">
        <v>1</v>
      </c>
      <c r="D448" s="14" t="s">
        <v>388</v>
      </c>
      <c r="E448" s="24" t="s">
        <v>351</v>
      </c>
      <c r="F448" s="24">
        <v>1</v>
      </c>
      <c r="G448" s="14" t="s">
        <v>79</v>
      </c>
      <c r="H448" s="15" t="s">
        <v>40</v>
      </c>
      <c r="I448" s="101" t="str">
        <f>DEC2HEX(HEX2DEC(Table13[[#This Row],[Index]])/4+Table13[[#This Row],[SUB]],4)</f>
        <v>041E</v>
      </c>
      <c r="J448" s="15" t="s">
        <v>747</v>
      </c>
      <c r="K448" s="15" t="s">
        <v>52</v>
      </c>
      <c r="L448" s="14">
        <v>32</v>
      </c>
      <c r="M448" s="35">
        <v>0</v>
      </c>
      <c r="N448" s="15" t="s">
        <v>400</v>
      </c>
      <c r="O448" s="25" t="s">
        <v>402</v>
      </c>
      <c r="P448" s="25">
        <v>1</v>
      </c>
      <c r="Q448" s="26" t="s">
        <v>80</v>
      </c>
      <c r="R448" s="27" t="s">
        <v>410</v>
      </c>
      <c r="S448" s="27" t="s">
        <v>456</v>
      </c>
      <c r="T448" s="27">
        <v>0</v>
      </c>
      <c r="U448" s="28"/>
      <c r="V448" s="14"/>
      <c r="W448" s="14"/>
      <c r="X448" s="30" t="str">
        <f>IF(Table13[[#This Row],[value Type]]="","",VLOOKUP(Table13[[#This Row],[value Type]],Table2915[],2,FALSE))</f>
        <v>longout</v>
      </c>
      <c r="Y448" s="30" t="str">
        <f>IF(Table13[[#This Row],[value Type]]="","",VLOOKUP(Table13[[#This Row],[value Type]],Table2915[],3,FALSE))</f>
        <v>asynParamInt32</v>
      </c>
      <c r="Z448" s="64" t="str">
        <f>IF(Table13[[#This Row],[value Type]]="","",VLOOKUP(Table13[[#This Row],[value Type]],Table2915[],4,FALSE))</f>
        <v>"asynInt32"</v>
      </c>
      <c r="AA448" s="64" t="str">
        <f>IF(Table13[[#This Row],[value Type]]="","",    IF(Table13[[#This Row],[IP MAX]]="","","@"  )     )</f>
        <v>@</v>
      </c>
      <c r="AB448" s="79" t="str">
        <f>IF(Table13[[#This Row],[value Type]]="","",VLOOKUP(Table13[[#This Row],[value Type]],Table2915[],5,FALSE))</f>
        <v xml:space="preserve"> </v>
      </c>
      <c r="AC4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8" s="79">
        <f>IF(Table13[[#This Row],[value Type]]="","",VLOOKUP(Table13[[#This Row],[IP]],Table51117[],2,FALSE))</f>
        <v>3</v>
      </c>
      <c r="AE448" s="79" t="str">
        <f>IF(Table13[[#This Row],[value Type]]="","",    IF(Table13[[#This Row],[IP MAX]]="","0","@"  )     )</f>
        <v>@</v>
      </c>
      <c r="AF448" s="68">
        <f>IF(Table13[[#This Row],[value Type]]="","",VLOOKUP(Table13[[#This Row],[Acc Type]],Table2[],2,FALSE))</f>
        <v>0</v>
      </c>
      <c r="AG448" s="75">
        <f>IF(Table13[[#This Row],[value Type]]="","",4*HEX2DEC(Table13[[#This Row],[Addr'[HEX']]]))</f>
        <v>4216</v>
      </c>
      <c r="AH448" s="75">
        <f>IF(Table13[[#This Row],[value Type]]="","",VLOOKUP(Table13[[#This Row],[AddrTypeI]],Table22[],2,FALSE))</f>
        <v>0</v>
      </c>
      <c r="AI448" s="68">
        <f>IF(Table13[[#This Row],[value Type]]="","",VLOOKUP(Table13[[#This Row],[DataType]],Table351218[],2,FALSE))</f>
        <v>0</v>
      </c>
      <c r="AJ448" s="68">
        <f>IF(Table13[[#This Row],[value Type]]="","",Table13[[#This Row],[DataWidth]])</f>
        <v>32</v>
      </c>
      <c r="AK448" s="68">
        <f>IF(Table13[[#This Row],[value Type]]="","", Table13[[#This Row],[DataOffset]])</f>
        <v>0</v>
      </c>
      <c r="AL448" s="24"/>
      <c r="AM448" s="24" t="str">
        <f>IF(Table13[[#This Row],[value Type]]="","", "0x"&amp;DEC2HEX(Table13[[#This Row],[ADDR_Offset]],8) )</f>
        <v>0x00001078</v>
      </c>
    </row>
    <row r="449" spans="2:39" s="6" customFormat="1" x14ac:dyDescent="0.3">
      <c r="B449" s="12">
        <v>1000</v>
      </c>
      <c r="C449" s="14" t="s">
        <v>1</v>
      </c>
      <c r="D449" s="14" t="s">
        <v>388</v>
      </c>
      <c r="E449" s="24" t="s">
        <v>351</v>
      </c>
      <c r="F449" s="24">
        <v>1</v>
      </c>
      <c r="G449" s="14" t="s">
        <v>79</v>
      </c>
      <c r="H449" s="15" t="s">
        <v>41</v>
      </c>
      <c r="I449" s="101" t="str">
        <f>DEC2HEX(HEX2DEC(Table13[[#This Row],[Index]])/4+Table13[[#This Row],[SUB]],4)</f>
        <v>041F</v>
      </c>
      <c r="J449" s="15" t="s">
        <v>747</v>
      </c>
      <c r="K449" s="15" t="s">
        <v>52</v>
      </c>
      <c r="L449" s="14">
        <v>32</v>
      </c>
      <c r="M449" s="35">
        <v>0</v>
      </c>
      <c r="N449" s="15" t="s">
        <v>400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456</v>
      </c>
      <c r="T449" s="27">
        <v>0</v>
      </c>
      <c r="U449" s="28"/>
      <c r="V449" s="14"/>
      <c r="W449" s="14"/>
      <c r="X449" s="30" t="str">
        <f>IF(Table13[[#This Row],[value Type]]="","",VLOOKUP(Table13[[#This Row],[value Type]],Table2915[],2,FALSE))</f>
        <v>longout</v>
      </c>
      <c r="Y449" s="30" t="str">
        <f>IF(Table13[[#This Row],[value Type]]="","",VLOOKUP(Table13[[#This Row],[value Type]],Table2915[],3,FALSE))</f>
        <v>asynParamInt32</v>
      </c>
      <c r="Z449" s="64" t="str">
        <f>IF(Table13[[#This Row],[value Type]]="","",VLOOKUP(Table13[[#This Row],[value Type]],Table2915[],4,FALSE))</f>
        <v>"asynInt32"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 xml:space="preserve"> 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4220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0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0x0000107C</v>
      </c>
    </row>
    <row r="450" spans="2:39" s="6" customFormat="1" x14ac:dyDescent="0.3">
      <c r="B450" s="14">
        <v>0</v>
      </c>
      <c r="C450" s="14"/>
      <c r="D450" s="14"/>
      <c r="E450" s="24"/>
      <c r="F450" s="24"/>
      <c r="G450" s="14"/>
      <c r="H450" s="15"/>
      <c r="I450" s="101"/>
      <c r="J450" s="15" t="s">
        <v>747</v>
      </c>
      <c r="K450" s="15"/>
      <c r="L450" s="14"/>
      <c r="M450" s="35"/>
      <c r="N450" s="15"/>
      <c r="O450" s="25"/>
      <c r="P450" s="25"/>
      <c r="Q450" s="26"/>
      <c r="R450" s="27"/>
      <c r="S450" s="27"/>
      <c r="T450" s="27"/>
      <c r="U450" s="28"/>
      <c r="V450" s="14"/>
      <c r="W450" s="14"/>
      <c r="X450" s="30"/>
      <c r="Y450" s="30"/>
      <c r="Z450" s="64"/>
      <c r="AA450" s="64"/>
      <c r="AB450" s="79"/>
      <c r="AC450" s="12"/>
      <c r="AD450" s="79"/>
      <c r="AE450" s="79"/>
      <c r="AF450" s="68"/>
      <c r="AG450" s="75"/>
      <c r="AH450" s="75" t="str">
        <f>IF(Table13[[#This Row],[value Type]]="","",VLOOKUP(Table13[[#This Row],[AddrTypeI]],Table22[],2,FALSE))</f>
        <v/>
      </c>
      <c r="AI450" s="68"/>
      <c r="AJ450" s="68"/>
      <c r="AK450" s="68"/>
      <c r="AL450" s="24"/>
      <c r="AM450" s="24"/>
    </row>
    <row r="451" spans="2:39" s="6" customFormat="1" x14ac:dyDescent="0.3">
      <c r="B451" s="14">
        <v>0</v>
      </c>
      <c r="C451" s="14" t="s">
        <v>525</v>
      </c>
      <c r="D451" s="14" t="s">
        <v>388</v>
      </c>
      <c r="E451" s="24" t="s">
        <v>351</v>
      </c>
      <c r="F451" s="24">
        <v>1</v>
      </c>
      <c r="G451" s="14" t="s">
        <v>83</v>
      </c>
      <c r="H451" s="15"/>
      <c r="I451" s="29" t="s">
        <v>84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457</v>
      </c>
      <c r="O451" s="25" t="s">
        <v>402</v>
      </c>
      <c r="P451" s="25">
        <v>1</v>
      </c>
      <c r="Q451" s="26" t="s">
        <v>80</v>
      </c>
      <c r="R451" s="27" t="s">
        <v>461</v>
      </c>
      <c r="S451" s="27" t="s">
        <v>405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8192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0x00002000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85</v>
      </c>
      <c r="H452" s="15"/>
      <c r="I452" s="29" t="s">
        <v>86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402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16384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0x00004000</v>
      </c>
    </row>
    <row r="453" spans="2:39" s="6" customFormat="1" x14ac:dyDescent="0.3">
      <c r="B453" s="14">
        <v>0</v>
      </c>
      <c r="C453" s="14" t="s">
        <v>526</v>
      </c>
      <c r="D453" s="14" t="s">
        <v>388</v>
      </c>
      <c r="E453" s="24" t="s">
        <v>351</v>
      </c>
      <c r="F453" s="24">
        <v>1</v>
      </c>
      <c r="G453" s="14" t="s">
        <v>87</v>
      </c>
      <c r="H453" s="15"/>
      <c r="I453" s="29" t="s">
        <v>88</v>
      </c>
      <c r="J453" s="15" t="s">
        <v>747</v>
      </c>
      <c r="K453" s="15" t="s">
        <v>755</v>
      </c>
      <c r="L453" s="14">
        <v>32</v>
      </c>
      <c r="M453" s="35">
        <v>0</v>
      </c>
      <c r="N453" s="15" t="s">
        <v>463</v>
      </c>
      <c r="O453" s="25" t="s">
        <v>402</v>
      </c>
      <c r="P453" s="25">
        <v>1</v>
      </c>
      <c r="Q453" s="26" t="s">
        <v>80</v>
      </c>
      <c r="R453" s="27" t="s">
        <v>410</v>
      </c>
      <c r="S453" s="27" t="s">
        <v>476</v>
      </c>
      <c r="T453" s="27">
        <v>0</v>
      </c>
      <c r="U453" s="28">
        <v>2048</v>
      </c>
      <c r="V453" s="14"/>
      <c r="W453" s="14"/>
      <c r="X453" s="30" t="str">
        <f>IF(Table13[[#This Row],[value Type]]="","",VLOOKUP(Table13[[#This Row],[value Type]],Table2915[],2,FALSE))</f>
        <v>waveform</v>
      </c>
      <c r="Y453" s="30" t="str">
        <f>IF(Table13[[#This Row],[value Type]]="","",VLOOKUP(Table13[[#This Row],[value Type]],Table2915[],3,FALSE))</f>
        <v>asynParamInt32Array</v>
      </c>
      <c r="Z453" s="64" t="str">
        <f>IF(Table13[[#This Row],[value Type]]="","",VLOOKUP(Table13[[#This Row],[value Type]],Table2915[],4,FALSE))</f>
        <v>"asynInt32ArrayOut"</v>
      </c>
      <c r="AA453" s="64" t="str">
        <f>IF(Table13[[#This Row],[value Type]]="","",    IF(Table13[[#This Row],[IP MAX]]="","","@"  )     )</f>
        <v>@</v>
      </c>
      <c r="AB453" s="79" t="str">
        <f>IF(Table13[[#This Row],[value Type]]="","",VLOOKUP(Table13[[#This Row],[value Type]],Table2915[],5,FALSE))</f>
        <v>"LONG"</v>
      </c>
      <c r="AC4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3" s="79">
        <f>IF(Table13[[#This Row],[value Type]]="","",VLOOKUP(Table13[[#This Row],[IP]],Table51117[],2,FALSE))</f>
        <v>3</v>
      </c>
      <c r="AE453" s="79" t="str">
        <f>IF(Table13[[#This Row],[value Type]]="","",    IF(Table13[[#This Row],[IP MAX]]="","0","@"  )     )</f>
        <v>@</v>
      </c>
      <c r="AF453" s="68">
        <f>IF(Table13[[#This Row],[value Type]]="","",VLOOKUP(Table13[[#This Row],[Acc Type]],Table2[],2,FALSE))</f>
        <v>0</v>
      </c>
      <c r="AG453" s="75">
        <f>IF(Table13[[#This Row],[value Type]]="","",4*HEX2DEC(Table13[[#This Row],[Addr'[HEX']]]))</f>
        <v>24576</v>
      </c>
      <c r="AH453" s="75">
        <f>IF(Table13[[#This Row],[value Type]]="","",VLOOKUP(Table13[[#This Row],[AddrTypeI]],Table22[],2,FALSE))</f>
        <v>0</v>
      </c>
      <c r="AI453" s="68">
        <f>IF(Table13[[#This Row],[value Type]]="","",VLOOKUP(Table13[[#This Row],[DataType]],Table351218[],2,FALSE))</f>
        <v>8</v>
      </c>
      <c r="AJ453" s="68">
        <f>IF(Table13[[#This Row],[value Type]]="","",Table13[[#This Row],[DataWidth]])</f>
        <v>32</v>
      </c>
      <c r="AK453" s="68">
        <f>IF(Table13[[#This Row],[value Type]]="","", Table13[[#This Row],[DataOffset]])</f>
        <v>0</v>
      </c>
      <c r="AL453" s="24"/>
      <c r="AM453" s="24" t="str">
        <f>IF(Table13[[#This Row],[value Type]]="","", "0x"&amp;DEC2HEX(Table13[[#This Row],[ADDR_Offset]],8) )</f>
        <v>0x00006000</v>
      </c>
    </row>
    <row r="454" spans="2:39" s="6" customFormat="1" x14ac:dyDescent="0.3">
      <c r="B454" s="14">
        <v>0</v>
      </c>
      <c r="C454" s="14" t="s">
        <v>525</v>
      </c>
      <c r="D454" s="14" t="s">
        <v>388</v>
      </c>
      <c r="E454" s="24" t="s">
        <v>351</v>
      </c>
      <c r="F454" s="24">
        <v>1</v>
      </c>
      <c r="G454" s="14" t="s">
        <v>89</v>
      </c>
      <c r="H454" s="15"/>
      <c r="I454" s="29" t="s">
        <v>90</v>
      </c>
      <c r="J454" s="15" t="s">
        <v>747</v>
      </c>
      <c r="K454" s="15" t="s">
        <v>755</v>
      </c>
      <c r="L454" s="14">
        <v>32</v>
      </c>
      <c r="M454" s="35">
        <v>0</v>
      </c>
      <c r="N454" s="15" t="s">
        <v>400</v>
      </c>
      <c r="O454" s="25" t="s">
        <v>527</v>
      </c>
      <c r="P454" s="25">
        <v>1</v>
      </c>
      <c r="Q454" s="26" t="s">
        <v>80</v>
      </c>
      <c r="R454" s="27" t="s">
        <v>410</v>
      </c>
      <c r="S454" s="27" t="s">
        <v>405</v>
      </c>
      <c r="T454" s="27">
        <v>0</v>
      </c>
      <c r="U454" s="28">
        <v>2048</v>
      </c>
      <c r="V454" s="14"/>
      <c r="W454" s="14"/>
      <c r="X454" s="30" t="str">
        <f>IF(Table13[[#This Row],[value Type]]="","",VLOOKUP(Table13[[#This Row],[value Type]],Table2915[],2,FALSE))</f>
        <v>waveform</v>
      </c>
      <c r="Y454" s="30" t="str">
        <f>IF(Table13[[#This Row],[value Type]]="","",VLOOKUP(Table13[[#This Row],[value Type]],Table2915[],3,FALSE))</f>
        <v>asynParamInt32Array</v>
      </c>
      <c r="Z454" s="64" t="str">
        <f>IF(Table13[[#This Row],[value Type]]="","",VLOOKUP(Table13[[#This Row],[value Type]],Table2915[],4,FALSE))</f>
        <v>"asynInt32ArrayOut"</v>
      </c>
      <c r="AA454" s="64" t="str">
        <f>IF(Table13[[#This Row],[value Type]]="","",    IF(Table13[[#This Row],[IP MAX]]="","","@"  )     )</f>
        <v>@</v>
      </c>
      <c r="AB454" s="79" t="str">
        <f>IF(Table13[[#This Row],[value Type]]="","",VLOOKUP(Table13[[#This Row],[value Type]],Table2915[],5,FALSE))</f>
        <v>"LONG"</v>
      </c>
      <c r="AC4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4" s="79">
        <f>IF(Table13[[#This Row],[value Type]]="","",VLOOKUP(Table13[[#This Row],[IP]],Table51117[],2,FALSE))</f>
        <v>3</v>
      </c>
      <c r="AE454" s="79" t="str">
        <f>IF(Table13[[#This Row],[value Type]]="","",    IF(Table13[[#This Row],[IP MAX]]="","0","@"  )     )</f>
        <v>@</v>
      </c>
      <c r="AF454" s="68">
        <f>IF(Table13[[#This Row],[value Type]]="","",VLOOKUP(Table13[[#This Row],[Acc Type]],Table2[],2,FALSE))</f>
        <v>0</v>
      </c>
      <c r="AG454" s="75">
        <f>IF(Table13[[#This Row],[value Type]]="","",4*HEX2DEC(Table13[[#This Row],[Addr'[HEX']]]))</f>
        <v>32768</v>
      </c>
      <c r="AH454" s="75">
        <f>IF(Table13[[#This Row],[value Type]]="","",VLOOKUP(Table13[[#This Row],[AddrTypeI]],Table22[],2,FALSE))</f>
        <v>0</v>
      </c>
      <c r="AI454" s="68">
        <f>IF(Table13[[#This Row],[value Type]]="","",VLOOKUP(Table13[[#This Row],[DataType]],Table351218[],2,FALSE))</f>
        <v>8</v>
      </c>
      <c r="AJ454" s="68">
        <f>IF(Table13[[#This Row],[value Type]]="","",Table13[[#This Row],[DataWidth]])</f>
        <v>32</v>
      </c>
      <c r="AK454" s="68">
        <f>IF(Table13[[#This Row],[value Type]]="","", Table13[[#This Row],[DataOffset]])</f>
        <v>0</v>
      </c>
      <c r="AL454" s="24"/>
      <c r="AM454" s="24" t="str">
        <f>IF(Table13[[#This Row],[value Type]]="","", "0x"&amp;DEC2HEX(Table13[[#This Row],[ADDR_Offset]],8) )</f>
        <v>0x00008000</v>
      </c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47">
        <v>0</v>
      </c>
      <c r="C456" s="47"/>
      <c r="D456" s="47"/>
      <c r="E456" s="48"/>
      <c r="F456" s="48"/>
      <c r="G456" s="47"/>
      <c r="H456" s="49"/>
      <c r="I456" s="57"/>
      <c r="J456" s="49"/>
      <c r="K456" s="49"/>
      <c r="L456" s="47"/>
      <c r="M456" s="47"/>
      <c r="N456" s="49"/>
      <c r="O456" s="51"/>
      <c r="P456" s="51"/>
      <c r="Q456" s="49"/>
      <c r="R456" s="52"/>
      <c r="S456" s="53"/>
      <c r="T456" s="53"/>
      <c r="U456" s="54"/>
      <c r="V456" s="57"/>
      <c r="W456" s="47"/>
      <c r="X456" s="55"/>
      <c r="Y456" s="55"/>
      <c r="Z456" s="65"/>
      <c r="AA456" s="65"/>
      <c r="AB456" s="80"/>
      <c r="AC456" s="56"/>
      <c r="AD456" s="80"/>
      <c r="AE456" s="80"/>
      <c r="AF456" s="69"/>
      <c r="AG456" s="76"/>
      <c r="AH456" s="76" t="str">
        <f>IF(Table13[[#This Row],[value Type]]="","",VLOOKUP(Table13[[#This Row],[AddrTypeI]],Table22[],2,FALSE))</f>
        <v/>
      </c>
      <c r="AI456" s="69"/>
      <c r="AJ456" s="69"/>
      <c r="AK456" s="69"/>
      <c r="AL456" s="48"/>
      <c r="AM456" s="48"/>
    </row>
    <row r="457" spans="2:39" s="6" customFormat="1" x14ac:dyDescent="0.3">
      <c r="B457" s="14">
        <v>0</v>
      </c>
      <c r="C457" s="14"/>
      <c r="D457" s="14"/>
      <c r="E457" s="24"/>
      <c r="F457" s="24"/>
      <c r="G457" s="14"/>
      <c r="H457" s="15"/>
      <c r="I457" s="29"/>
      <c r="J457" s="15" t="s">
        <v>747</v>
      </c>
      <c r="K457" s="15"/>
      <c r="L457" s="14"/>
      <c r="M457" s="14"/>
      <c r="N457" s="15"/>
      <c r="O457" s="25"/>
      <c r="P457" s="25"/>
      <c r="Q457" s="15"/>
      <c r="R457" s="27"/>
      <c r="S457" s="27"/>
      <c r="T457" s="27"/>
      <c r="U457" s="28"/>
      <c r="V457" s="29"/>
      <c r="W457" s="14"/>
      <c r="X457" s="30"/>
      <c r="Y457" s="30"/>
      <c r="Z457" s="64"/>
      <c r="AA457" s="64"/>
      <c r="AB457" s="79"/>
      <c r="AC457" s="12"/>
      <c r="AD457" s="79"/>
      <c r="AE457" s="79"/>
      <c r="AF457" s="68"/>
      <c r="AG457" s="75"/>
      <c r="AH457" s="75" t="str">
        <f>IF(Table13[[#This Row],[value Type]]="","",VLOOKUP(Table13[[#This Row],[AddrTypeI]],Table22[],2,FALSE))</f>
        <v/>
      </c>
      <c r="AI457" s="68"/>
      <c r="AJ457" s="68"/>
      <c r="AK457" s="68"/>
      <c r="AL457" s="24"/>
      <c r="AM457" s="24"/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528</v>
      </c>
      <c r="H458" s="15"/>
      <c r="I458" s="29">
        <v>10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453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64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0x00000040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529</v>
      </c>
      <c r="H459" s="15"/>
      <c r="I459" s="29">
        <v>11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506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68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0x00000044</v>
      </c>
    </row>
    <row r="460" spans="2:39" s="6" customFormat="1" x14ac:dyDescent="0.3">
      <c r="B460" s="14">
        <v>0</v>
      </c>
      <c r="C460" s="14" t="s">
        <v>82</v>
      </c>
      <c r="D460" s="14" t="s">
        <v>388</v>
      </c>
      <c r="E460" s="24" t="s">
        <v>349</v>
      </c>
      <c r="F460" s="24">
        <v>1</v>
      </c>
      <c r="G460" s="14" t="s">
        <v>505</v>
      </c>
      <c r="H460" s="15"/>
      <c r="I460" s="29">
        <v>16</v>
      </c>
      <c r="J460" s="15" t="s">
        <v>747</v>
      </c>
      <c r="K460" s="15" t="s">
        <v>52</v>
      </c>
      <c r="L460" s="14">
        <v>32</v>
      </c>
      <c r="M460" s="35">
        <v>0</v>
      </c>
      <c r="N460" s="15" t="s">
        <v>400</v>
      </c>
      <c r="O460" s="25" t="s">
        <v>402</v>
      </c>
      <c r="P460" s="25">
        <v>1</v>
      </c>
      <c r="Q460" s="26" t="s">
        <v>80</v>
      </c>
      <c r="R460" s="27" t="s">
        <v>410</v>
      </c>
      <c r="S460" s="27" t="s">
        <v>506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>longin</v>
      </c>
      <c r="Y460" s="30" t="str">
        <f>IF(Table13[[#This Row],[value Type]]="","",VLOOKUP(Table13[[#This Row],[value Type]],Table2915[],3,FALSE))</f>
        <v>asynParamInt32</v>
      </c>
      <c r="Z460" s="64" t="str">
        <f>IF(Table13[[#This Row],[value Type]]="","",VLOOKUP(Table13[[#This Row],[value Type]],Table2915[],4,FALSE))</f>
        <v>"asynInt32"</v>
      </c>
      <c r="AA460" s="64" t="str">
        <f>IF(Table13[[#This Row],[value Type]]="","",    IF(Table13[[#This Row],[IP MAX]]="","","@"  )     )</f>
        <v>@</v>
      </c>
      <c r="AB460" s="79" t="str">
        <f>IF(Table13[[#This Row],[value Type]]="","",VLOOKUP(Table13[[#This Row],[value Type]],Table2915[],5,FALSE))</f>
        <v xml:space="preserve"> </v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60" s="79">
        <f>IF(Table13[[#This Row],[value Type]]="","",VLOOKUP(Table13[[#This Row],[IP]],Table51117[],2,FALSE))</f>
        <v>2</v>
      </c>
      <c r="AE460" s="79" t="str">
        <f>IF(Table13[[#This Row],[value Type]]="","",    IF(Table13[[#This Row],[IP MAX]]="","0","@"  )     )</f>
        <v>@</v>
      </c>
      <c r="AF460" s="68">
        <f>IF(Table13[[#This Row],[value Type]]="","",VLOOKUP(Table13[[#This Row],[Acc Type]],Table2[],2,FALSE))</f>
        <v>0</v>
      </c>
      <c r="AG460" s="75">
        <f>IF(Table13[[#This Row],[value Type]]="","",4*HEX2DEC(Table13[[#This Row],[Addr'[HEX']]]))</f>
        <v>88</v>
      </c>
      <c r="AH460" s="75">
        <f>IF(Table13[[#This Row],[value Type]]="","",VLOOKUP(Table13[[#This Row],[AddrTypeI]],Table22[],2,FALSE))</f>
        <v>0</v>
      </c>
      <c r="AI460" s="68">
        <f>IF(Table13[[#This Row],[value Type]]="","",VLOOKUP(Table13[[#This Row],[DataType]],Table351218[],2,FALSE))</f>
        <v>0</v>
      </c>
      <c r="AJ460" s="68">
        <f>IF(Table13[[#This Row],[value Type]]="","",Table13[[#This Row],[DataWidth]])</f>
        <v>32</v>
      </c>
      <c r="AK460" s="68">
        <f>IF(Table13[[#This Row],[value Type]]="","", Table13[[#This Row],[DataOffset]])</f>
        <v>0</v>
      </c>
      <c r="AL460" s="24"/>
      <c r="AM460" s="24" t="str">
        <f>IF(Table13[[#This Row],[value Type]]="","", "0x"&amp;DEC2HEX(Table13[[#This Row],[ADDR_Offset]],8) )</f>
        <v>0x00000058</v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530</v>
      </c>
      <c r="H461" s="15"/>
      <c r="I461" s="29">
        <v>17</v>
      </c>
      <c r="J461" s="15" t="s">
        <v>747</v>
      </c>
      <c r="K461" s="15" t="s">
        <v>52</v>
      </c>
      <c r="L461" s="14">
        <v>32</v>
      </c>
      <c r="M461" s="35">
        <v>0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410</v>
      </c>
      <c r="S461" s="27" t="s">
        <v>531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92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32</v>
      </c>
      <c r="AK461" s="68">
        <f>IF(Table13[[#This Row],[value Type]]="","", Table13[[#This Row],[DataOffset]])</f>
        <v>0</v>
      </c>
      <c r="AL461" s="24"/>
      <c r="AM461" s="24" t="str">
        <f>IF(Table13[[#This Row],[value Type]]="","", "0x"&amp;DEC2HEX(Table13[[#This Row],[ADDR_Offset]],8) )</f>
        <v>0x0000005C</v>
      </c>
    </row>
    <row r="462" spans="2:39" s="6" customFormat="1" x14ac:dyDescent="0.3">
      <c r="B462" s="14">
        <v>0</v>
      </c>
      <c r="C462" s="14"/>
      <c r="D462" s="14" t="s">
        <v>388</v>
      </c>
      <c r="E462" s="24" t="s">
        <v>349</v>
      </c>
      <c r="F462" s="24">
        <v>1</v>
      </c>
      <c r="G462" s="14"/>
      <c r="H462" s="15"/>
      <c r="I462" s="29"/>
      <c r="J462" s="15" t="s">
        <v>747</v>
      </c>
      <c r="K462" s="15"/>
      <c r="L462" s="14"/>
      <c r="M462" s="35"/>
      <c r="N462" s="15" t="s">
        <v>400</v>
      </c>
      <c r="O462" s="25" t="s">
        <v>454</v>
      </c>
      <c r="P462" s="25">
        <v>1</v>
      </c>
      <c r="Q462" s="26"/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/>
      </c>
      <c r="Y462" s="30" t="str">
        <f>IF(Table13[[#This Row],[value Type]]="","",VLOOKUP(Table13[[#This Row],[value Type]],Table2915[],3,FALSE))</f>
        <v/>
      </c>
      <c r="Z462" s="64" t="str">
        <f>IF(Table13[[#This Row],[value Type]]="","",VLOOKUP(Table13[[#This Row],[value Type]],Table2915[],4,FALSE))</f>
        <v/>
      </c>
      <c r="AA462" s="64" t="str">
        <f>IF(Table13[[#This Row],[value Type]]="","",    IF(Table13[[#This Row],[IP MAX]]="","","@"  )     )</f>
        <v/>
      </c>
      <c r="AB462" s="79" t="str">
        <f>IF(Table13[[#This Row],[value Type]]="","",VLOOKUP(Table13[[#This Row],[value Type]],Table2915[],5,FALSE))</f>
        <v/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2" s="79" t="str">
        <f>IF(Table13[[#This Row],[value Type]]="","",VLOOKUP(Table13[[#This Row],[IP]],Table51117[],2,FALSE))</f>
        <v/>
      </c>
      <c r="AE462" s="79" t="str">
        <f>IF(Table13[[#This Row],[value Type]]="","",    IF(Table13[[#This Row],[IP MAX]]="","0","@"  )     )</f>
        <v/>
      </c>
      <c r="AF462" s="68" t="str">
        <f>IF(Table13[[#This Row],[value Type]]="","",VLOOKUP(Table13[[#This Row],[Acc Type]],Table2[],2,FALSE))</f>
        <v/>
      </c>
      <c r="AG462" s="75" t="str">
        <f>IF(Table13[[#This Row],[value Type]]="","",4*HEX2DEC(Table13[[#This Row],[Addr'[HEX']]]))</f>
        <v/>
      </c>
      <c r="AH462" s="75" t="str">
        <f>IF(Table13[[#This Row],[value Type]]="","",VLOOKUP(Table13[[#This Row],[AddrTypeI]],Table22[],2,FALSE))</f>
        <v/>
      </c>
      <c r="AI462" s="68" t="str">
        <f>IF(Table13[[#This Row],[value Type]]="","",VLOOKUP(Table13[[#This Row],[DataType]],Table351218[],2,FALSE))</f>
        <v/>
      </c>
      <c r="AJ462" s="68" t="str">
        <f>IF(Table13[[#This Row],[value Type]]="","",Table13[[#This Row],[DataWidth]])</f>
        <v/>
      </c>
      <c r="AK462" s="68" t="str">
        <f>IF(Table13[[#This Row],[value Type]]="","", Table13[[#This Row],[DataOffset]])</f>
        <v/>
      </c>
      <c r="AL462" s="24"/>
      <c r="AM462" s="24" t="str">
        <f>IF(Table13[[#This Row],[value Type]]="","", "0x"&amp;DEC2HEX(Table13[[#This Row],[ADDR_Offset]],8) )</f>
        <v/>
      </c>
    </row>
    <row r="463" spans="2:39" s="6" customFormat="1" x14ac:dyDescent="0.3">
      <c r="B463" s="14">
        <v>0</v>
      </c>
      <c r="C463" s="14" t="s">
        <v>82</v>
      </c>
      <c r="D463" s="14" t="s">
        <v>388</v>
      </c>
      <c r="E463" s="24" t="s">
        <v>349</v>
      </c>
      <c r="F463" s="24">
        <v>1</v>
      </c>
      <c r="G463" s="14" t="s">
        <v>532</v>
      </c>
      <c r="H463" s="15"/>
      <c r="I463" s="29">
        <v>12</v>
      </c>
      <c r="J463" s="15" t="s">
        <v>747</v>
      </c>
      <c r="K463" s="15" t="s">
        <v>52</v>
      </c>
      <c r="L463" s="14">
        <v>1</v>
      </c>
      <c r="M463" s="35">
        <v>31</v>
      </c>
      <c r="N463" s="15" t="s">
        <v>400</v>
      </c>
      <c r="O463" s="25" t="s">
        <v>402</v>
      </c>
      <c r="P463" s="25">
        <v>1</v>
      </c>
      <c r="Q463" s="26" t="s">
        <v>81</v>
      </c>
      <c r="R463" s="27" t="s">
        <v>461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>longin</v>
      </c>
      <c r="Y463" s="30" t="str">
        <f>IF(Table13[[#This Row],[value Type]]="","",VLOOKUP(Table13[[#This Row],[value Type]],Table2915[],3,FALSE))</f>
        <v>asynParamInt32</v>
      </c>
      <c r="Z463" s="64" t="str">
        <f>IF(Table13[[#This Row],[value Type]]="","",VLOOKUP(Table13[[#This Row],[value Type]],Table2915[],4,FALSE))</f>
        <v>"asynInt32"</v>
      </c>
      <c r="AA463" s="64" t="str">
        <f>IF(Table13[[#This Row],[value Type]]="","",    IF(Table13[[#This Row],[IP MAX]]="","","@"  )     )</f>
        <v>@</v>
      </c>
      <c r="AB463" s="79" t="str">
        <f>IF(Table13[[#This Row],[value Type]]="","",VLOOKUP(Table13[[#This Row],[value Type]],Table2915[],5,FALSE))</f>
        <v xml:space="preserve"> </v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3" s="79">
        <f>IF(Table13[[#This Row],[value Type]]="","",VLOOKUP(Table13[[#This Row],[IP]],Table51117[],2,FALSE))</f>
        <v>2</v>
      </c>
      <c r="AE463" s="79" t="str">
        <f>IF(Table13[[#This Row],[value Type]]="","",    IF(Table13[[#This Row],[IP MAX]]="","0","@"  )     )</f>
        <v>@</v>
      </c>
      <c r="AF463" s="68">
        <f>IF(Table13[[#This Row],[value Type]]="","",VLOOKUP(Table13[[#This Row],[Acc Type]],Table2[],2,FALSE))</f>
        <v>0</v>
      </c>
      <c r="AG463" s="75">
        <f>IF(Table13[[#This Row],[value Type]]="","",4*HEX2DEC(Table13[[#This Row],[Addr'[HEX']]]))</f>
        <v>72</v>
      </c>
      <c r="AH463" s="75">
        <f>IF(Table13[[#This Row],[value Type]]="","",VLOOKUP(Table13[[#This Row],[AddrTypeI]],Table22[],2,FALSE))</f>
        <v>0</v>
      </c>
      <c r="AI463" s="68">
        <f>IF(Table13[[#This Row],[value Type]]="","",VLOOKUP(Table13[[#This Row],[DataType]],Table351218[],2,FALSE))</f>
        <v>0</v>
      </c>
      <c r="AJ463" s="68">
        <f>IF(Table13[[#This Row],[value Type]]="","",Table13[[#This Row],[DataWidth]])</f>
        <v>1</v>
      </c>
      <c r="AK463" s="68">
        <f>IF(Table13[[#This Row],[value Type]]="","", Table13[[#This Row],[DataOffset]])</f>
        <v>31</v>
      </c>
      <c r="AL463" s="24"/>
      <c r="AM463" s="24" t="str">
        <f>IF(Table13[[#This Row],[value Type]]="","", "0x"&amp;DEC2HEX(Table13[[#This Row],[ADDR_Offset]],8) )</f>
        <v>0x00000048</v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57</v>
      </c>
      <c r="H464" s="15"/>
      <c r="I464" s="29">
        <v>12</v>
      </c>
      <c r="J464" s="15" t="s">
        <v>747</v>
      </c>
      <c r="K464" s="15" t="s">
        <v>52</v>
      </c>
      <c r="L464" s="14">
        <v>16</v>
      </c>
      <c r="M464" s="35">
        <v>0</v>
      </c>
      <c r="N464" s="15" t="s">
        <v>463</v>
      </c>
      <c r="O464" s="25" t="s">
        <v>454</v>
      </c>
      <c r="P464" s="25">
        <v>1</v>
      </c>
      <c r="Q464" s="26" t="s">
        <v>81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72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16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0x00000048</v>
      </c>
    </row>
    <row r="465" spans="2:39" s="6" customFormat="1" x14ac:dyDescent="0.3">
      <c r="B465" s="14">
        <v>0</v>
      </c>
      <c r="C465" s="14"/>
      <c r="D465" s="14" t="s">
        <v>388</v>
      </c>
      <c r="E465" s="24" t="s">
        <v>349</v>
      </c>
      <c r="F465" s="24">
        <v>1</v>
      </c>
      <c r="G465" s="14"/>
      <c r="H465" s="15"/>
      <c r="I465" s="29"/>
      <c r="J465" s="15" t="s">
        <v>747</v>
      </c>
      <c r="K465" s="15"/>
      <c r="L465" s="14"/>
      <c r="M465" s="35"/>
      <c r="N465" s="15" t="s">
        <v>400</v>
      </c>
      <c r="O465" s="25" t="s">
        <v>402</v>
      </c>
      <c r="P465" s="25">
        <v>1</v>
      </c>
      <c r="Q465" s="26"/>
      <c r="R465" s="27" t="s">
        <v>410</v>
      </c>
      <c r="S465" s="27" t="s">
        <v>405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/>
      </c>
      <c r="Y465" s="30" t="str">
        <f>IF(Table13[[#This Row],[value Type]]="","",VLOOKUP(Table13[[#This Row],[value Type]],Table2915[],3,FALSE))</f>
        <v/>
      </c>
      <c r="Z465" s="64" t="str">
        <f>IF(Table13[[#This Row],[value Type]]="","",VLOOKUP(Table13[[#This Row],[value Type]],Table2915[],4,FALSE))</f>
        <v/>
      </c>
      <c r="AA465" s="64" t="str">
        <f>IF(Table13[[#This Row],[value Type]]="","",    IF(Table13[[#This Row],[IP MAX]]="","","@"  )     )</f>
        <v/>
      </c>
      <c r="AB465" s="79" t="str">
        <f>IF(Table13[[#This Row],[value Type]]="","",VLOOKUP(Table13[[#This Row],[value Type]],Table2915[],5,FALSE))</f>
        <v/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5" s="79" t="str">
        <f>IF(Table13[[#This Row],[value Type]]="","",VLOOKUP(Table13[[#This Row],[IP]],Table51117[],2,FALSE))</f>
        <v/>
      </c>
      <c r="AE465" s="79" t="str">
        <f>IF(Table13[[#This Row],[value Type]]="","",    IF(Table13[[#This Row],[IP MAX]]="","0","@"  )     )</f>
        <v/>
      </c>
      <c r="AF465" s="68" t="str">
        <f>IF(Table13[[#This Row],[value Type]]="","",VLOOKUP(Table13[[#This Row],[Acc Type]],Table2[],2,FALSE))</f>
        <v/>
      </c>
      <c r="AG465" s="75" t="str">
        <f>IF(Table13[[#This Row],[value Type]]="","",4*HEX2DEC(Table13[[#This Row],[Addr'[HEX']]]))</f>
        <v/>
      </c>
      <c r="AH465" s="75" t="str">
        <f>IF(Table13[[#This Row],[value Type]]="","",VLOOKUP(Table13[[#This Row],[AddrTypeI]],Table22[],2,FALSE))</f>
        <v/>
      </c>
      <c r="AI465" s="68" t="str">
        <f>IF(Table13[[#This Row],[value Type]]="","",VLOOKUP(Table13[[#This Row],[DataType]],Table351218[],2,FALSE))</f>
        <v/>
      </c>
      <c r="AJ465" s="68" t="str">
        <f>IF(Table13[[#This Row],[value Type]]="","",Table13[[#This Row],[DataWidth]])</f>
        <v/>
      </c>
      <c r="AK465" s="68" t="str">
        <f>IF(Table13[[#This Row],[value Type]]="","", Table13[[#This Row],[DataOffset]])</f>
        <v/>
      </c>
      <c r="AL465" s="24"/>
      <c r="AM465" s="24" t="str">
        <f>IF(Table13[[#This Row],[value Type]]="","", "0x"&amp;DEC2HEX(Table13[[#This Row],[ADDR_Offset]],8) )</f>
        <v/>
      </c>
    </row>
    <row r="466" spans="2:39" s="6" customFormat="1" x14ac:dyDescent="0.3">
      <c r="B466" s="14">
        <v>0</v>
      </c>
      <c r="C466" s="14" t="s">
        <v>82</v>
      </c>
      <c r="D466" s="14" t="s">
        <v>388</v>
      </c>
      <c r="E466" s="24" t="s">
        <v>349</v>
      </c>
      <c r="F466" s="24">
        <v>1</v>
      </c>
      <c r="G466" s="14" t="s">
        <v>58</v>
      </c>
      <c r="H466" s="15"/>
      <c r="I466" s="29">
        <v>13</v>
      </c>
      <c r="J466" s="15" t="s">
        <v>747</v>
      </c>
      <c r="K466" s="15" t="s">
        <v>52</v>
      </c>
      <c r="L466" s="14">
        <v>32</v>
      </c>
      <c r="M466" s="35">
        <v>0</v>
      </c>
      <c r="N466" s="15" t="s">
        <v>400</v>
      </c>
      <c r="O466" s="25" t="s">
        <v>454</v>
      </c>
      <c r="P466" s="25">
        <v>1</v>
      </c>
      <c r="Q466" s="26" t="s">
        <v>533</v>
      </c>
      <c r="R466" s="27" t="s">
        <v>410</v>
      </c>
      <c r="S466" s="27" t="s">
        <v>405</v>
      </c>
      <c r="T466" s="27">
        <v>0</v>
      </c>
      <c r="U466" s="28"/>
      <c r="V466" s="14"/>
      <c r="W466" s="14"/>
      <c r="X466" s="30" t="str">
        <f>IF(Table13[[#This Row],[value Type]]="","",VLOOKUP(Table13[[#This Row],[value Type]],Table2915[],2,FALSE))</f>
        <v>longin</v>
      </c>
      <c r="Y466" s="30" t="str">
        <f>IF(Table13[[#This Row],[value Type]]="","",VLOOKUP(Table13[[#This Row],[value Type]],Table2915[],3,FALSE))</f>
        <v>asynParamInt32</v>
      </c>
      <c r="Z466" s="64" t="str">
        <f>IF(Table13[[#This Row],[value Type]]="","",VLOOKUP(Table13[[#This Row],[value Type]],Table2915[],4,FALSE))</f>
        <v>"asynInt32"</v>
      </c>
      <c r="AA466" s="64" t="str">
        <f>IF(Table13[[#This Row],[value Type]]="","",    IF(Table13[[#This Row],[IP MAX]]="","","@"  )     )</f>
        <v>@</v>
      </c>
      <c r="AB466" s="79" t="str">
        <f>IF(Table13[[#This Row],[value Type]]="","",VLOOKUP(Table13[[#This Row],[value Type]],Table2915[],5,FALSE))</f>
        <v xml:space="preserve"> </v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6" s="79">
        <f>IF(Table13[[#This Row],[value Type]]="","",VLOOKUP(Table13[[#This Row],[IP]],Table51117[],2,FALSE))</f>
        <v>2</v>
      </c>
      <c r="AE466" s="79" t="str">
        <f>IF(Table13[[#This Row],[value Type]]="","",    IF(Table13[[#This Row],[IP MAX]]="","0","@"  )     )</f>
        <v>@</v>
      </c>
      <c r="AF466" s="68">
        <f>IF(Table13[[#This Row],[value Type]]="","",VLOOKUP(Table13[[#This Row],[Acc Type]],Table2[],2,FALSE))</f>
        <v>0</v>
      </c>
      <c r="AG466" s="75">
        <f>IF(Table13[[#This Row],[value Type]]="","",4*HEX2DEC(Table13[[#This Row],[Addr'[HEX']]]))</f>
        <v>76</v>
      </c>
      <c r="AH466" s="75">
        <f>IF(Table13[[#This Row],[value Type]]="","",VLOOKUP(Table13[[#This Row],[AddrTypeI]],Table22[],2,FALSE))</f>
        <v>0</v>
      </c>
      <c r="AI466" s="68">
        <f>IF(Table13[[#This Row],[value Type]]="","",VLOOKUP(Table13[[#This Row],[DataType]],Table351218[],2,FALSE))</f>
        <v>0</v>
      </c>
      <c r="AJ466" s="68">
        <f>IF(Table13[[#This Row],[value Type]]="","",Table13[[#This Row],[DataWidth]])</f>
        <v>32</v>
      </c>
      <c r="AK466" s="68">
        <f>IF(Table13[[#This Row],[value Type]]="","", Table13[[#This Row],[DataOffset]])</f>
        <v>0</v>
      </c>
      <c r="AL466" s="24"/>
      <c r="AM466" s="24" t="str">
        <f>IF(Table13[[#This Row],[value Type]]="","", "0x"&amp;DEC2HEX(Table13[[#This Row],[ADDR_Offset]],8) )</f>
        <v>0x0000004C</v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534</v>
      </c>
      <c r="H467" s="15"/>
      <c r="I467" s="29">
        <v>18</v>
      </c>
      <c r="J467" s="15" t="s">
        <v>747</v>
      </c>
      <c r="K467" s="15" t="s">
        <v>52</v>
      </c>
      <c r="L467" s="14">
        <v>32</v>
      </c>
      <c r="M467" s="35">
        <v>0</v>
      </c>
      <c r="N467" s="15" t="s">
        <v>400</v>
      </c>
      <c r="O467" s="25" t="s">
        <v>402</v>
      </c>
      <c r="P467" s="25">
        <v>1</v>
      </c>
      <c r="Q467" s="26" t="s">
        <v>439</v>
      </c>
      <c r="R467" s="27" t="s">
        <v>410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96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32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0x00000060</v>
      </c>
    </row>
    <row r="468" spans="2:39" s="6" customFormat="1" x14ac:dyDescent="0.3">
      <c r="B468" s="14">
        <v>0</v>
      </c>
      <c r="C468" s="14"/>
      <c r="D468" s="14" t="s">
        <v>388</v>
      </c>
      <c r="E468" s="24" t="s">
        <v>349</v>
      </c>
      <c r="F468" s="24">
        <v>1</v>
      </c>
      <c r="G468" s="14"/>
      <c r="H468" s="15"/>
      <c r="I468" s="29"/>
      <c r="J468" s="15" t="s">
        <v>747</v>
      </c>
      <c r="K468" s="15"/>
      <c r="L468" s="14"/>
      <c r="M468" s="35"/>
      <c r="N468" s="15"/>
      <c r="O468" s="25"/>
      <c r="P468" s="25"/>
      <c r="Q468" s="15"/>
      <c r="R468" s="27" t="s">
        <v>523</v>
      </c>
      <c r="S468" s="27"/>
      <c r="T468" s="27"/>
      <c r="U468" s="28"/>
      <c r="V468" s="14"/>
      <c r="W468" s="14"/>
      <c r="X468" s="30" t="str">
        <f>IF(Table13[[#This Row],[value Type]]="","",VLOOKUP(Table13[[#This Row],[value Type]],Table2915[],2,FALSE))</f>
        <v/>
      </c>
      <c r="Y468" s="30" t="str">
        <f>IF(Table13[[#This Row],[value Type]]="","",VLOOKUP(Table13[[#This Row],[value Type]],Table2915[],3,FALSE))</f>
        <v/>
      </c>
      <c r="Z468" s="64" t="str">
        <f>IF(Table13[[#This Row],[value Type]]="","",VLOOKUP(Table13[[#This Row],[value Type]],Table2915[],4,FALSE))</f>
        <v/>
      </c>
      <c r="AA468" s="64" t="str">
        <f>IF(Table13[[#This Row],[value Type]]="","",    IF(Table13[[#This Row],[IP MAX]]="","","@"  )     )</f>
        <v/>
      </c>
      <c r="AB468" s="79" t="str">
        <f>IF(Table13[[#This Row],[value Type]]="","",VLOOKUP(Table13[[#This Row],[value Type]],Table2915[],5,FALSE))</f>
        <v/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8" s="79" t="str">
        <f>IF(Table13[[#This Row],[value Type]]="","",VLOOKUP(Table13[[#This Row],[IP]],Table51117[],2,FALSE))</f>
        <v/>
      </c>
      <c r="AE468" s="79" t="str">
        <f>IF(Table13[[#This Row],[value Type]]="","",    IF(Table13[[#This Row],[IP MAX]]="","0","@"  )     )</f>
        <v/>
      </c>
      <c r="AF468" s="68" t="str">
        <f>IF(Table13[[#This Row],[value Type]]="","",VLOOKUP(Table13[[#This Row],[Acc Type]],Table2[],2,FALSE))</f>
        <v/>
      </c>
      <c r="AG468" s="75" t="str">
        <f>IF(Table13[[#This Row],[value Type]]="","",4*HEX2DEC(Table13[[#This Row],[Addr'[HEX']]]))</f>
        <v/>
      </c>
      <c r="AH468" s="75" t="str">
        <f>IF(Table13[[#This Row],[value Type]]="","",VLOOKUP(Table13[[#This Row],[AddrTypeI]],Table22[],2,FALSE))</f>
        <v/>
      </c>
      <c r="AI468" s="68" t="str">
        <f>IF(Table13[[#This Row],[value Type]]="","",VLOOKUP(Table13[[#This Row],[DataType]],Table351218[],2,FALSE))</f>
        <v/>
      </c>
      <c r="AJ468" s="68" t="str">
        <f>IF(Table13[[#This Row],[value Type]]="","",Table13[[#This Row],[DataWidth]])</f>
        <v/>
      </c>
      <c r="AK468" s="68" t="str">
        <f>IF(Table13[[#This Row],[value Type]]="","", Table13[[#This Row],[DataOffset]])</f>
        <v/>
      </c>
      <c r="AL468" s="24"/>
      <c r="AM468" s="24" t="str">
        <f>IF(Table13[[#This Row],[value Type]]="","", "0x"&amp;DEC2HEX(Table13[[#This Row],[ADDR_Offset]],8) )</f>
        <v/>
      </c>
    </row>
    <row r="469" spans="2:39" s="6" customFormat="1" x14ac:dyDescent="0.3">
      <c r="B469" s="14">
        <v>0</v>
      </c>
      <c r="C469" s="14" t="s">
        <v>82</v>
      </c>
      <c r="D469" s="14" t="s">
        <v>388</v>
      </c>
      <c r="E469" s="24" t="s">
        <v>349</v>
      </c>
      <c r="F469" s="24">
        <v>1</v>
      </c>
      <c r="G469" s="14" t="s">
        <v>535</v>
      </c>
      <c r="H469" s="15"/>
      <c r="I469" s="29">
        <v>14</v>
      </c>
      <c r="J469" s="15" t="s">
        <v>747</v>
      </c>
      <c r="K469" s="15" t="s">
        <v>52</v>
      </c>
      <c r="L469" s="14">
        <v>1</v>
      </c>
      <c r="M469" s="35">
        <v>0</v>
      </c>
      <c r="N469" s="15" t="s">
        <v>400</v>
      </c>
      <c r="O469" s="25" t="s">
        <v>527</v>
      </c>
      <c r="P469" s="25">
        <v>1</v>
      </c>
      <c r="Q469" s="26" t="s">
        <v>81</v>
      </c>
      <c r="R469" s="27" t="s">
        <v>460</v>
      </c>
      <c r="S469" s="27" t="s">
        <v>476</v>
      </c>
      <c r="T469" s="27">
        <v>0</v>
      </c>
      <c r="U469" s="28"/>
      <c r="V469" s="14"/>
      <c r="W469" s="14"/>
      <c r="X469" s="30" t="str">
        <f>IF(Table13[[#This Row],[value Type]]="","",VLOOKUP(Table13[[#This Row],[value Type]],Table2915[],2,FALSE))</f>
        <v>longin</v>
      </c>
      <c r="Y469" s="30" t="str">
        <f>IF(Table13[[#This Row],[value Type]]="","",VLOOKUP(Table13[[#This Row],[value Type]],Table2915[],3,FALSE))</f>
        <v>asynParamInt32</v>
      </c>
      <c r="Z469" s="64" t="str">
        <f>IF(Table13[[#This Row],[value Type]]="","",VLOOKUP(Table13[[#This Row],[value Type]],Table2915[],4,FALSE))</f>
        <v>"asynInt32"</v>
      </c>
      <c r="AA469" s="64" t="str">
        <f>IF(Table13[[#This Row],[value Type]]="","",    IF(Table13[[#This Row],[IP MAX]]="","","@"  )     )</f>
        <v>@</v>
      </c>
      <c r="AB469" s="79" t="str">
        <f>IF(Table13[[#This Row],[value Type]]="","",VLOOKUP(Table13[[#This Row],[value Type]],Table2915[],5,FALSE))</f>
        <v xml:space="preserve"> </v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9" s="79">
        <f>IF(Table13[[#This Row],[value Type]]="","",VLOOKUP(Table13[[#This Row],[IP]],Table51117[],2,FALSE))</f>
        <v>2</v>
      </c>
      <c r="AE469" s="79" t="str">
        <f>IF(Table13[[#This Row],[value Type]]="","",    IF(Table13[[#This Row],[IP MAX]]="","0","@"  )     )</f>
        <v>@</v>
      </c>
      <c r="AF469" s="68">
        <f>IF(Table13[[#This Row],[value Type]]="","",VLOOKUP(Table13[[#This Row],[Acc Type]],Table2[],2,FALSE))</f>
        <v>0</v>
      </c>
      <c r="AG469" s="75">
        <f>IF(Table13[[#This Row],[value Type]]="","",4*HEX2DEC(Table13[[#This Row],[Addr'[HEX']]]))</f>
        <v>80</v>
      </c>
      <c r="AH469" s="75">
        <f>IF(Table13[[#This Row],[value Type]]="","",VLOOKUP(Table13[[#This Row],[AddrTypeI]],Table22[],2,FALSE))</f>
        <v>0</v>
      </c>
      <c r="AI469" s="68">
        <f>IF(Table13[[#This Row],[value Type]]="","",VLOOKUP(Table13[[#This Row],[DataType]],Table351218[],2,FALSE))</f>
        <v>0</v>
      </c>
      <c r="AJ469" s="68">
        <f>IF(Table13[[#This Row],[value Type]]="","",Table13[[#This Row],[DataWidth]])</f>
        <v>1</v>
      </c>
      <c r="AK469" s="68">
        <f>IF(Table13[[#This Row],[value Type]]="","", Table13[[#This Row],[DataOffset]])</f>
        <v>0</v>
      </c>
      <c r="AL469" s="24"/>
      <c r="AM469" s="24" t="str">
        <f>IF(Table13[[#This Row],[value Type]]="","", "0x"&amp;DEC2HEX(Table13[[#This Row],[ADDR_Offset]],8) )</f>
        <v>0x00000050</v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536</v>
      </c>
      <c r="H470" s="15"/>
      <c r="I470" s="29">
        <v>15</v>
      </c>
      <c r="J470" s="15" t="s">
        <v>747</v>
      </c>
      <c r="K470" s="15" t="s">
        <v>52</v>
      </c>
      <c r="L470" s="14">
        <v>32</v>
      </c>
      <c r="M470" s="14">
        <v>0</v>
      </c>
      <c r="N470" s="15" t="s">
        <v>400</v>
      </c>
      <c r="O470" s="25" t="s">
        <v>459</v>
      </c>
      <c r="P470" s="25">
        <v>1</v>
      </c>
      <c r="Q470" s="26" t="s">
        <v>81</v>
      </c>
      <c r="R470" s="27" t="s">
        <v>461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84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32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0x00000054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14"/>
      <c r="N471" s="15"/>
      <c r="O471" s="25"/>
      <c r="P471" s="25"/>
      <c r="Q471" s="15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82</v>
      </c>
      <c r="D472" s="14" t="s">
        <v>388</v>
      </c>
      <c r="E472" s="24" t="s">
        <v>349</v>
      </c>
      <c r="F472" s="24">
        <v>1</v>
      </c>
      <c r="G472" s="14" t="s">
        <v>537</v>
      </c>
      <c r="H472" s="15"/>
      <c r="I472" s="29">
        <v>19</v>
      </c>
      <c r="J472" s="15" t="s">
        <v>747</v>
      </c>
      <c r="K472" s="15" t="s">
        <v>52</v>
      </c>
      <c r="L472" s="14">
        <v>1</v>
      </c>
      <c r="M472" s="35">
        <v>0</v>
      </c>
      <c r="N472" s="15" t="s">
        <v>400</v>
      </c>
      <c r="O472" s="25" t="s">
        <v>402</v>
      </c>
      <c r="P472" s="25">
        <v>1</v>
      </c>
      <c r="Q472" s="26" t="s">
        <v>455</v>
      </c>
      <c r="R472" s="27" t="s">
        <v>410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longin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100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0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0</v>
      </c>
      <c r="AL472" s="24"/>
      <c r="AM472" s="24" t="str">
        <f>IF(Table13[[#This Row],[value Type]]="","", "0x"&amp;DEC2HEX(Table13[[#This Row],[ADDR_Offset]],8) )</f>
        <v>0x00000064</v>
      </c>
    </row>
    <row r="473" spans="2:39" s="6" customFormat="1" x14ac:dyDescent="0.3">
      <c r="B473" s="14">
        <v>0</v>
      </c>
      <c r="C473" s="14"/>
      <c r="D473" s="14" t="s">
        <v>388</v>
      </c>
      <c r="E473" s="24" t="s">
        <v>349</v>
      </c>
      <c r="F473" s="24">
        <v>1</v>
      </c>
      <c r="G473" s="14"/>
      <c r="H473" s="15"/>
      <c r="I473" s="29"/>
      <c r="J473" s="15" t="s">
        <v>747</v>
      </c>
      <c r="K473" s="15"/>
      <c r="L473" s="14"/>
      <c r="M473" s="35"/>
      <c r="N473" s="15"/>
      <c r="O473" s="25"/>
      <c r="P473" s="25"/>
      <c r="Q473" s="26"/>
      <c r="R473" s="27" t="s">
        <v>410</v>
      </c>
      <c r="S473" s="27"/>
      <c r="T473" s="27"/>
      <c r="U473" s="28"/>
      <c r="V473" s="14"/>
      <c r="W473" s="14"/>
      <c r="X473" s="30" t="str">
        <f>IF(Table13[[#This Row],[value Type]]="","",VLOOKUP(Table13[[#This Row],[value Type]],Table2915[],2,FALSE))</f>
        <v/>
      </c>
      <c r="Y473" s="30" t="str">
        <f>IF(Table13[[#This Row],[value Type]]="","",VLOOKUP(Table13[[#This Row],[value Type]],Table2915[],3,FALSE))</f>
        <v/>
      </c>
      <c r="Z473" s="64" t="str">
        <f>IF(Table13[[#This Row],[value Type]]="","",VLOOKUP(Table13[[#This Row],[value Type]],Table2915[],4,FALSE))</f>
        <v/>
      </c>
      <c r="AA473" s="64" t="str">
        <f>IF(Table13[[#This Row],[value Type]]="","",    IF(Table13[[#This Row],[IP MAX]]="","","@"  )     )</f>
        <v/>
      </c>
      <c r="AB473" s="79" t="str">
        <f>IF(Table13[[#This Row],[value Type]]="","",VLOOKUP(Table13[[#This Row],[value Type]],Table2915[],5,FALSE))</f>
        <v/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3" s="79" t="str">
        <f>IF(Table13[[#This Row],[value Type]]="","",VLOOKUP(Table13[[#This Row],[IP]],Table51117[],2,FALSE))</f>
        <v/>
      </c>
      <c r="AE473" s="79" t="str">
        <f>IF(Table13[[#This Row],[value Type]]="","",    IF(Table13[[#This Row],[IP MAX]]="","0","@"  )     )</f>
        <v/>
      </c>
      <c r="AF473" s="68" t="str">
        <f>IF(Table13[[#This Row],[value Type]]="","",VLOOKUP(Table13[[#This Row],[Acc Type]],Table2[],2,FALSE))</f>
        <v/>
      </c>
      <c r="AG473" s="75" t="str">
        <f>IF(Table13[[#This Row],[value Type]]="","",4*HEX2DEC(Table13[[#This Row],[Addr'[HEX']]]))</f>
        <v/>
      </c>
      <c r="AH473" s="75" t="str">
        <f>IF(Table13[[#This Row],[value Type]]="","",VLOOKUP(Table13[[#This Row],[AddrTypeI]],Table22[],2,FALSE))</f>
        <v/>
      </c>
      <c r="AI473" s="68" t="str">
        <f>IF(Table13[[#This Row],[value Type]]="","",VLOOKUP(Table13[[#This Row],[DataType]],Table351218[],2,FALSE))</f>
        <v/>
      </c>
      <c r="AJ473" s="68" t="str">
        <f>IF(Table13[[#This Row],[value Type]]="","",Table13[[#This Row],[DataWidth]])</f>
        <v/>
      </c>
      <c r="AK473" s="68" t="str">
        <f>IF(Table13[[#This Row],[value Type]]="","", Table13[[#This Row],[DataOffset]])</f>
        <v/>
      </c>
      <c r="AL473" s="24"/>
      <c r="AM473" s="24" t="str">
        <f>IF(Table13[[#This Row],[value Type]]="","", "0x"&amp;DEC2HEX(Table13[[#This Row],[ADDR_Offset]],8) )</f>
        <v/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74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31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460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31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538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9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9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539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2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2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 t="s">
        <v>1</v>
      </c>
      <c r="D477" s="14" t="s">
        <v>388</v>
      </c>
      <c r="E477" s="24" t="s">
        <v>349</v>
      </c>
      <c r="F477" s="24">
        <v>1</v>
      </c>
      <c r="G477" s="14" t="s">
        <v>540</v>
      </c>
      <c r="H477" s="15"/>
      <c r="I477" s="29">
        <v>30</v>
      </c>
      <c r="J477" s="15" t="s">
        <v>747</v>
      </c>
      <c r="K477" s="15" t="s">
        <v>51</v>
      </c>
      <c r="L477" s="14">
        <v>1</v>
      </c>
      <c r="M477" s="35">
        <v>1</v>
      </c>
      <c r="N477" s="15" t="s">
        <v>400</v>
      </c>
      <c r="O477" s="25" t="s">
        <v>402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>longout</v>
      </c>
      <c r="Y477" s="30" t="str">
        <f>IF(Table13[[#This Row],[value Type]]="","",VLOOKUP(Table13[[#This Row],[value Type]],Table2915[],3,FALSE))</f>
        <v>asynParamInt32</v>
      </c>
      <c r="Z477" s="64" t="str">
        <f>IF(Table13[[#This Row],[value Type]]="","",VLOOKUP(Table13[[#This Row],[value Type]],Table2915[],4,FALSE))</f>
        <v>"asynInt32"</v>
      </c>
      <c r="AA477" s="64" t="str">
        <f>IF(Table13[[#This Row],[value Type]]="","",    IF(Table13[[#This Row],[IP MAX]]="","","@"  )     )</f>
        <v>@</v>
      </c>
      <c r="AB477" s="79" t="str">
        <f>IF(Table13[[#This Row],[value Type]]="","",VLOOKUP(Table13[[#This Row],[value Type]],Table2915[],5,FALSE))</f>
        <v xml:space="preserve"> </v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7" s="79">
        <f>IF(Table13[[#This Row],[value Type]]="","",VLOOKUP(Table13[[#This Row],[IP]],Table51117[],2,FALSE))</f>
        <v>2</v>
      </c>
      <c r="AE477" s="79" t="str">
        <f>IF(Table13[[#This Row],[value Type]]="","",    IF(Table13[[#This Row],[IP MAX]]="","0","@"  )     )</f>
        <v>@</v>
      </c>
      <c r="AF477" s="68">
        <f>IF(Table13[[#This Row],[value Type]]="","",VLOOKUP(Table13[[#This Row],[Acc Type]],Table2[],2,FALSE))</f>
        <v>0</v>
      </c>
      <c r="AG477" s="75">
        <f>IF(Table13[[#This Row],[value Type]]="","",4*HEX2DEC(Table13[[#This Row],[Addr'[HEX']]]))</f>
        <v>192</v>
      </c>
      <c r="AH477" s="75">
        <f>IF(Table13[[#This Row],[value Type]]="","",VLOOKUP(Table13[[#This Row],[AddrTypeI]],Table22[],2,FALSE))</f>
        <v>0</v>
      </c>
      <c r="AI477" s="68">
        <f>IF(Table13[[#This Row],[value Type]]="","",VLOOKUP(Table13[[#This Row],[DataType]],Table351218[],2,FALSE))</f>
        <v>3</v>
      </c>
      <c r="AJ477" s="68">
        <f>IF(Table13[[#This Row],[value Type]]="","",Table13[[#This Row],[DataWidth]])</f>
        <v>1</v>
      </c>
      <c r="AK477" s="68">
        <f>IF(Table13[[#This Row],[value Type]]="","", Table13[[#This Row],[DataOffset]])</f>
        <v>1</v>
      </c>
      <c r="AL477" s="24"/>
      <c r="AM477" s="24" t="str">
        <f>IF(Table13[[#This Row],[value Type]]="","", "0x"&amp;DEC2HEX(Table13[[#This Row],[ADDR_Offset]],8) )</f>
        <v>0x000000C0</v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541</v>
      </c>
      <c r="H478" s="15"/>
      <c r="I478" s="29">
        <v>30</v>
      </c>
      <c r="J478" s="15" t="s">
        <v>747</v>
      </c>
      <c r="K478" s="15" t="s">
        <v>51</v>
      </c>
      <c r="L478" s="14">
        <v>1</v>
      </c>
      <c r="M478" s="35">
        <v>0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192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3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0</v>
      </c>
      <c r="AL478" s="24"/>
      <c r="AM478" s="24" t="str">
        <f>IF(Table13[[#This Row],[value Type]]="","", "0x"&amp;DEC2HEX(Table13[[#This Row],[ADDR_Offset]],8) )</f>
        <v>0x000000C0</v>
      </c>
    </row>
    <row r="479" spans="2:39" s="6" customFormat="1" x14ac:dyDescent="0.3">
      <c r="B479" s="14">
        <v>0</v>
      </c>
      <c r="C479" s="14"/>
      <c r="D479" s="14" t="s">
        <v>388</v>
      </c>
      <c r="E479" s="24" t="s">
        <v>349</v>
      </c>
      <c r="F479" s="24">
        <v>1</v>
      </c>
      <c r="G479" s="14"/>
      <c r="H479" s="15"/>
      <c r="I479" s="29"/>
      <c r="J479" s="15" t="s">
        <v>747</v>
      </c>
      <c r="K479" s="15"/>
      <c r="L479" s="14"/>
      <c r="M479" s="35"/>
      <c r="N479" s="15" t="s">
        <v>400</v>
      </c>
      <c r="O479" s="25" t="s">
        <v>527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/>
      </c>
      <c r="Y479" s="30" t="str">
        <f>IF(Table13[[#This Row],[value Type]]="","",VLOOKUP(Table13[[#This Row],[value Type]],Table2915[],3,FALSE))</f>
        <v/>
      </c>
      <c r="Z479" s="64" t="str">
        <f>IF(Table13[[#This Row],[value Type]]="","",VLOOKUP(Table13[[#This Row],[value Type]],Table2915[],4,FALSE))</f>
        <v/>
      </c>
      <c r="AA479" s="64" t="str">
        <f>IF(Table13[[#This Row],[value Type]]="","",    IF(Table13[[#This Row],[IP MAX]]="","","@"  )     )</f>
        <v/>
      </c>
      <c r="AB479" s="79" t="str">
        <f>IF(Table13[[#This Row],[value Type]]="","",VLOOKUP(Table13[[#This Row],[value Type]],Table2915[],5,FALSE))</f>
        <v/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9" s="79" t="str">
        <f>IF(Table13[[#This Row],[value Type]]="","",VLOOKUP(Table13[[#This Row],[IP]],Table51117[],2,FALSE))</f>
        <v/>
      </c>
      <c r="AE479" s="79" t="str">
        <f>IF(Table13[[#This Row],[value Type]]="","",    IF(Table13[[#This Row],[IP MAX]]="","0","@"  )     )</f>
        <v/>
      </c>
      <c r="AF479" s="68" t="str">
        <f>IF(Table13[[#This Row],[value Type]]="","",VLOOKUP(Table13[[#This Row],[Acc Type]],Table2[],2,FALSE))</f>
        <v/>
      </c>
      <c r="AG479" s="75" t="str">
        <f>IF(Table13[[#This Row],[value Type]]="","",4*HEX2DEC(Table13[[#This Row],[Addr'[HEX']]]))</f>
        <v/>
      </c>
      <c r="AH479" s="75" t="str">
        <f>IF(Table13[[#This Row],[value Type]]="","",VLOOKUP(Table13[[#This Row],[AddrTypeI]],Table22[],2,FALSE))</f>
        <v/>
      </c>
      <c r="AI479" s="68" t="str">
        <f>IF(Table13[[#This Row],[value Type]]="","",VLOOKUP(Table13[[#This Row],[DataType]],Table351218[],2,FALSE))</f>
        <v/>
      </c>
      <c r="AJ479" s="68" t="str">
        <f>IF(Table13[[#This Row],[value Type]]="","",Table13[[#This Row],[DataWidth]])</f>
        <v/>
      </c>
      <c r="AK479" s="68" t="str">
        <f>IF(Table13[[#This Row],[value Type]]="","", Table13[[#This Row],[DataOffset]])</f>
        <v/>
      </c>
      <c r="AL479" s="24"/>
      <c r="AM479" s="24" t="str">
        <f>IF(Table13[[#This Row],[value Type]]="","", "0x"&amp;DEC2HEX(Table13[[#This Row],[ADDR_Offset]],8) )</f>
        <v/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542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31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31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75</v>
      </c>
      <c r="H481" s="15"/>
      <c r="I481" s="29">
        <v>32</v>
      </c>
      <c r="J481" s="15" t="s">
        <v>747</v>
      </c>
      <c r="K481" s="15" t="s">
        <v>52</v>
      </c>
      <c r="L481" s="14">
        <v>1</v>
      </c>
      <c r="M481" s="35">
        <v>30</v>
      </c>
      <c r="N481" s="15" t="s">
        <v>400</v>
      </c>
      <c r="O481" s="25" t="s">
        <v>459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30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543</v>
      </c>
      <c r="H482" s="15"/>
      <c r="I482" s="29">
        <v>32</v>
      </c>
      <c r="J482" s="15" t="s">
        <v>747</v>
      </c>
      <c r="K482" s="15" t="s">
        <v>52</v>
      </c>
      <c r="L482" s="14">
        <v>1</v>
      </c>
      <c r="M482" s="35">
        <v>29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29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544</v>
      </c>
      <c r="H483" s="36">
        <v>7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7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7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6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6</v>
      </c>
      <c r="N484" s="15" t="s">
        <v>400</v>
      </c>
      <c r="O484" s="25" t="s">
        <v>402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6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5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5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5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4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4</v>
      </c>
      <c r="N486" s="15" t="s">
        <v>400</v>
      </c>
      <c r="O486" s="25" t="s">
        <v>459</v>
      </c>
      <c r="P486" s="25">
        <v>1</v>
      </c>
      <c r="Q486" s="26" t="s">
        <v>80</v>
      </c>
      <c r="R486" s="27" t="s">
        <v>410</v>
      </c>
      <c r="S486" s="27" t="s">
        <v>405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4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3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3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3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2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2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2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 t="s">
        <v>1</v>
      </c>
      <c r="D489" s="14" t="s">
        <v>388</v>
      </c>
      <c r="E489" s="24" t="s">
        <v>349</v>
      </c>
      <c r="F489" s="24">
        <v>1</v>
      </c>
      <c r="G489" s="14" t="s">
        <v>545</v>
      </c>
      <c r="H489" s="36">
        <v>1</v>
      </c>
      <c r="I489" s="29">
        <v>32</v>
      </c>
      <c r="J489" s="15" t="s">
        <v>747</v>
      </c>
      <c r="K489" s="15" t="s">
        <v>52</v>
      </c>
      <c r="L489" s="14">
        <v>1</v>
      </c>
      <c r="M489" s="35">
        <v>1</v>
      </c>
      <c r="N489" s="15" t="s">
        <v>400</v>
      </c>
      <c r="O489" s="25" t="s">
        <v>402</v>
      </c>
      <c r="P489" s="25">
        <v>1</v>
      </c>
      <c r="Q489" s="26" t="s">
        <v>80</v>
      </c>
      <c r="R489" s="27" t="s">
        <v>410</v>
      </c>
      <c r="S489" s="27" t="s">
        <v>405</v>
      </c>
      <c r="T489" s="27">
        <v>0</v>
      </c>
      <c r="U489" s="28"/>
      <c r="V489" s="14"/>
      <c r="W489" s="14"/>
      <c r="X489" s="30" t="str">
        <f>IF(Table13[[#This Row],[value Type]]="","",VLOOKUP(Table13[[#This Row],[value Type]],Table2915[],2,FALSE))</f>
        <v>longout</v>
      </c>
      <c r="Y489" s="30" t="str">
        <f>IF(Table13[[#This Row],[value Type]]="","",VLOOKUP(Table13[[#This Row],[value Type]],Table2915[],3,FALSE))</f>
        <v>asynParamInt32</v>
      </c>
      <c r="Z489" s="64" t="str">
        <f>IF(Table13[[#This Row],[value Type]]="","",VLOOKUP(Table13[[#This Row],[value Type]],Table2915[],4,FALSE))</f>
        <v>"asynInt32"</v>
      </c>
      <c r="AA489" s="64" t="str">
        <f>IF(Table13[[#This Row],[value Type]]="","",    IF(Table13[[#This Row],[IP MAX]]="","","@"  )     )</f>
        <v>@</v>
      </c>
      <c r="AB489" s="79" t="str">
        <f>IF(Table13[[#This Row],[value Type]]="","",VLOOKUP(Table13[[#This Row],[value Type]],Table2915[],5,FALSE))</f>
        <v xml:space="preserve"> </v>
      </c>
      <c r="AC4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9" s="79">
        <f>IF(Table13[[#This Row],[value Type]]="","",VLOOKUP(Table13[[#This Row],[IP]],Table51117[],2,FALSE))</f>
        <v>2</v>
      </c>
      <c r="AE489" s="79" t="str">
        <f>IF(Table13[[#This Row],[value Type]]="","",    IF(Table13[[#This Row],[IP MAX]]="","0","@"  )     )</f>
        <v>@</v>
      </c>
      <c r="AF489" s="68">
        <f>IF(Table13[[#This Row],[value Type]]="","",VLOOKUP(Table13[[#This Row],[Acc Type]],Table2[],2,FALSE))</f>
        <v>0</v>
      </c>
      <c r="AG489" s="75">
        <f>IF(Table13[[#This Row],[value Type]]="","",4*HEX2DEC(Table13[[#This Row],[Addr'[HEX']]]))</f>
        <v>200</v>
      </c>
      <c r="AH489" s="75">
        <f>IF(Table13[[#This Row],[value Type]]="","",VLOOKUP(Table13[[#This Row],[AddrTypeI]],Table22[],2,FALSE))</f>
        <v>0</v>
      </c>
      <c r="AI489" s="68">
        <f>IF(Table13[[#This Row],[value Type]]="","",VLOOKUP(Table13[[#This Row],[DataType]],Table351218[],2,FALSE))</f>
        <v>0</v>
      </c>
      <c r="AJ489" s="68">
        <f>IF(Table13[[#This Row],[value Type]]="","",Table13[[#This Row],[DataWidth]])</f>
        <v>1</v>
      </c>
      <c r="AK489" s="68">
        <f>IF(Table13[[#This Row],[value Type]]="","", Table13[[#This Row],[DataOffset]])</f>
        <v>1</v>
      </c>
      <c r="AL489" s="24"/>
      <c r="AM489" s="24" t="str">
        <f>IF(Table13[[#This Row],[value Type]]="","", "0x"&amp;DEC2HEX(Table13[[#This Row],[ADDR_Offset]],8) )</f>
        <v>0x000000C8</v>
      </c>
    </row>
    <row r="490" spans="2:39" s="6" customFormat="1" x14ac:dyDescent="0.3">
      <c r="B490" s="14">
        <v>0</v>
      </c>
      <c r="C490" s="14" t="s">
        <v>1</v>
      </c>
      <c r="D490" s="14" t="s">
        <v>388</v>
      </c>
      <c r="E490" s="24" t="s">
        <v>349</v>
      </c>
      <c r="F490" s="24">
        <v>1</v>
      </c>
      <c r="G490" s="14" t="s">
        <v>545</v>
      </c>
      <c r="H490" s="36">
        <v>0</v>
      </c>
      <c r="I490" s="29">
        <v>32</v>
      </c>
      <c r="J490" s="15" t="s">
        <v>747</v>
      </c>
      <c r="K490" s="15" t="s">
        <v>52</v>
      </c>
      <c r="L490" s="14">
        <v>1</v>
      </c>
      <c r="M490" s="35">
        <v>0</v>
      </c>
      <c r="N490" s="15" t="s">
        <v>400</v>
      </c>
      <c r="O490" s="25" t="s">
        <v>402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0</v>
      </c>
      <c r="U490" s="28"/>
      <c r="V490" s="14"/>
      <c r="W490" s="14"/>
      <c r="X490" s="30" t="str">
        <f>IF(Table13[[#This Row],[value Type]]="","",VLOOKUP(Table13[[#This Row],[value Type]],Table2915[],2,FALSE))</f>
        <v>longout</v>
      </c>
      <c r="Y490" s="30" t="str">
        <f>IF(Table13[[#This Row],[value Type]]="","",VLOOKUP(Table13[[#This Row],[value Type]],Table2915[],3,FALSE))</f>
        <v>asynParamInt32</v>
      </c>
      <c r="Z490" s="64" t="str">
        <f>IF(Table13[[#This Row],[value Type]]="","",VLOOKUP(Table13[[#This Row],[value Type]],Table2915[],4,FALSE))</f>
        <v>"asynInt32"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200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0</v>
      </c>
      <c r="AJ490" s="68">
        <f>IF(Table13[[#This Row],[value Type]]="","",Table13[[#This Row],[DataWidth]])</f>
        <v>1</v>
      </c>
      <c r="AK490" s="68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0x000000C8</v>
      </c>
    </row>
    <row r="491" spans="2:39" s="6" customFormat="1" x14ac:dyDescent="0.3">
      <c r="B491" s="14">
        <v>0</v>
      </c>
      <c r="C491" s="14"/>
      <c r="D491" s="14"/>
      <c r="E491" s="24"/>
      <c r="F491" s="24"/>
      <c r="G491" s="14"/>
      <c r="H491" s="36"/>
      <c r="I491" s="29"/>
      <c r="J491" s="15" t="s">
        <v>747</v>
      </c>
      <c r="K491" s="15"/>
      <c r="L491" s="14"/>
      <c r="M491" s="35"/>
      <c r="N491" s="15"/>
      <c r="O491" s="25"/>
      <c r="P491" s="25"/>
      <c r="Q491" s="26"/>
      <c r="R491" s="27"/>
      <c r="S491" s="27"/>
      <c r="T491" s="27"/>
      <c r="U491" s="28"/>
      <c r="V491" s="14"/>
      <c r="W491" s="14"/>
      <c r="X491" s="30"/>
      <c r="Y491" s="30"/>
      <c r="Z491" s="64"/>
      <c r="AA491" s="64"/>
      <c r="AB491" s="79"/>
      <c r="AC491" s="12"/>
      <c r="AD491" s="79"/>
      <c r="AE491" s="79"/>
      <c r="AF491" s="68"/>
      <c r="AG491" s="75"/>
      <c r="AH491" s="75" t="str">
        <f>IF(Table13[[#This Row],[value Type]]="","",VLOOKUP(Table13[[#This Row],[AddrTypeI]],Table22[],2,FALSE))</f>
        <v/>
      </c>
      <c r="AI491" s="68"/>
      <c r="AJ491" s="68"/>
      <c r="AK491" s="68"/>
      <c r="AL491" s="24"/>
      <c r="AM491" s="24"/>
    </row>
    <row r="492" spans="2:39" s="6" customFormat="1" x14ac:dyDescent="0.3">
      <c r="B492" s="14">
        <v>0</v>
      </c>
      <c r="C492" s="14" t="s">
        <v>2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54</v>
      </c>
      <c r="I492" s="29">
        <v>61</v>
      </c>
      <c r="J492" s="15" t="s">
        <v>747</v>
      </c>
      <c r="K492" s="15" t="s">
        <v>251</v>
      </c>
      <c r="L492" s="14">
        <v>4</v>
      </c>
      <c r="M492" s="35" t="s">
        <v>54</v>
      </c>
      <c r="N492" s="15" t="s">
        <v>400</v>
      </c>
      <c r="O492" s="25" t="s">
        <v>459</v>
      </c>
      <c r="P492" s="25">
        <v>1</v>
      </c>
      <c r="Q492" s="26" t="s">
        <v>80</v>
      </c>
      <c r="R492" s="27" t="s">
        <v>410</v>
      </c>
      <c r="S492" s="27" t="s">
        <v>456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stringout</v>
      </c>
      <c r="Y492" s="30" t="str">
        <f>IF(Table13[[#This Row],[value Type]]="","",VLOOKUP(Table13[[#This Row],[value Type]],Table2915[],3,FALSE))</f>
        <v>asynParamOctet</v>
      </c>
      <c r="Z492" s="64" t="str">
        <f>IF(Table13[[#This Row],[value Type]]="","",VLOOKUP(Table13[[#This Row],[value Type]],Table2915[],4,FALSE))</f>
        <v xml:space="preserve"> 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2</v>
      </c>
      <c r="AJ492" s="68">
        <f>IF(Table13[[#This Row],[value Type]]="","",Table13[[#This Row],[DataWidth]])</f>
        <v>4</v>
      </c>
      <c r="AK492" s="68" t="str">
        <f>IF(Table13[[#This Row],[value Type]]="","", Table13[[#This Row],[DataOffset]])</f>
        <v>0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2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19</v>
      </c>
      <c r="I493" s="29">
        <v>61</v>
      </c>
      <c r="J493" s="15" t="s">
        <v>747</v>
      </c>
      <c r="K493" s="15" t="s">
        <v>251</v>
      </c>
      <c r="L493" s="14">
        <v>4</v>
      </c>
      <c r="M493" s="35">
        <v>4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stringout</v>
      </c>
      <c r="Y493" s="30" t="str">
        <f>IF(Table13[[#This Row],[value Type]]="","",VLOOKUP(Table13[[#This Row],[value Type]],Table2915[],3,FALSE))</f>
        <v>asynParamOctet</v>
      </c>
      <c r="Z493" s="64" t="str">
        <f>IF(Table13[[#This Row],[value Type]]="","",VLOOKUP(Table13[[#This Row],[value Type]],Table2915[],4,FALSE))</f>
        <v xml:space="preserve"> 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2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4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2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6</v>
      </c>
      <c r="I494" s="29">
        <v>61</v>
      </c>
      <c r="J494" s="15" t="s">
        <v>747</v>
      </c>
      <c r="K494" s="15" t="s">
        <v>251</v>
      </c>
      <c r="L494" s="14">
        <v>4</v>
      </c>
      <c r="M494" s="35">
        <v>8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476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stringout</v>
      </c>
      <c r="Y494" s="30" t="str">
        <f>IF(Table13[[#This Row],[value Type]]="","",VLOOKUP(Table13[[#This Row],[value Type]],Table2915[],3,FALSE))</f>
        <v>asynParamOctet</v>
      </c>
      <c r="Z494" s="64" t="str">
        <f>IF(Table13[[#This Row],[value Type]]="","",VLOOKUP(Table13[[#This Row],[value Type]],Table2915[],4,FALSE))</f>
        <v xml:space="preserve"> 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2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8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2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7</v>
      </c>
      <c r="I495" s="29">
        <v>61</v>
      </c>
      <c r="J495" s="15" t="s">
        <v>747</v>
      </c>
      <c r="K495" s="15" t="s">
        <v>251</v>
      </c>
      <c r="L495" s="14">
        <v>4</v>
      </c>
      <c r="M495" s="35">
        <v>12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stringout</v>
      </c>
      <c r="Y495" s="30" t="str">
        <f>IF(Table13[[#This Row],[value Type]]="","",VLOOKUP(Table13[[#This Row],[value Type]],Table2915[],3,FALSE))</f>
        <v>asynParamOctet</v>
      </c>
      <c r="Z495" s="64" t="str">
        <f>IF(Table13[[#This Row],[value Type]]="","",VLOOKUP(Table13[[#This Row],[value Type]],Table2915[],4,FALSE))</f>
        <v xml:space="preserve"> 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2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12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2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8</v>
      </c>
      <c r="I496" s="29">
        <v>61</v>
      </c>
      <c r="J496" s="15" t="s">
        <v>747</v>
      </c>
      <c r="K496" s="15" t="s">
        <v>251</v>
      </c>
      <c r="L496" s="14">
        <v>4</v>
      </c>
      <c r="M496" s="35">
        <v>16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stringout</v>
      </c>
      <c r="Y496" s="30" t="str">
        <f>IF(Table13[[#This Row],[value Type]]="","",VLOOKUP(Table13[[#This Row],[value Type]],Table2915[],3,FALSE))</f>
        <v>asynParamOctet</v>
      </c>
      <c r="Z496" s="64" t="str">
        <f>IF(Table13[[#This Row],[value Type]]="","",VLOOKUP(Table13[[#This Row],[value Type]],Table2915[],4,FALSE))</f>
        <v xml:space="preserve"> 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2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16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2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9</v>
      </c>
      <c r="I497" s="29">
        <v>61</v>
      </c>
      <c r="J497" s="15" t="s">
        <v>747</v>
      </c>
      <c r="K497" s="15" t="s">
        <v>251</v>
      </c>
      <c r="L497" s="14">
        <v>4</v>
      </c>
      <c r="M497" s="35">
        <v>20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stringout</v>
      </c>
      <c r="Y497" s="30" t="str">
        <f>IF(Table13[[#This Row],[value Type]]="","",VLOOKUP(Table13[[#This Row],[value Type]],Table2915[],3,FALSE))</f>
        <v>asynParamOctet</v>
      </c>
      <c r="Z497" s="64" t="str">
        <f>IF(Table13[[#This Row],[value Type]]="","",VLOOKUP(Table13[[#This Row],[value Type]],Table2915[],4,FALSE))</f>
        <v xml:space="preserve"> 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2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20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2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10</v>
      </c>
      <c r="I498" s="29">
        <v>61</v>
      </c>
      <c r="J498" s="15" t="s">
        <v>747</v>
      </c>
      <c r="K498" s="15" t="s">
        <v>251</v>
      </c>
      <c r="L498" s="14">
        <v>4</v>
      </c>
      <c r="M498" s="35">
        <v>24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stringout</v>
      </c>
      <c r="Y498" s="30" t="str">
        <f>IF(Table13[[#This Row],[value Type]]="","",VLOOKUP(Table13[[#This Row],[value Type]],Table2915[],3,FALSE))</f>
        <v>asynParamOctet</v>
      </c>
      <c r="Z498" s="64" t="str">
        <f>IF(Table13[[#This Row],[value Type]]="","",VLOOKUP(Table13[[#This Row],[value Type]],Table2915[],4,FALSE))</f>
        <v xml:space="preserve"> 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388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2</v>
      </c>
      <c r="AJ498" s="68">
        <f>IF(Table13[[#This Row],[value Type]]="","",Table13[[#This Row],[DataWidth]])</f>
        <v>4</v>
      </c>
      <c r="AK498" s="68">
        <f>IF(Table13[[#This Row],[value Type]]="","", Table13[[#This Row],[DataOffset]])</f>
        <v>24</v>
      </c>
      <c r="AL498" s="24"/>
      <c r="AM498" s="24" t="str">
        <f>IF(Table13[[#This Row],[value Type]]="","", "0x"&amp;DEC2HEX(Table13[[#This Row],[ADDR_Offset]],8) )</f>
        <v>0x00000184</v>
      </c>
    </row>
    <row r="499" spans="2:39" s="6" customFormat="1" x14ac:dyDescent="0.3">
      <c r="B499" s="14">
        <v>0</v>
      </c>
      <c r="C499" s="14" t="s">
        <v>2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11</v>
      </c>
      <c r="I499" s="29">
        <v>61</v>
      </c>
      <c r="J499" s="15" t="s">
        <v>747</v>
      </c>
      <c r="K499" s="15" t="s">
        <v>251</v>
      </c>
      <c r="L499" s="14">
        <v>4</v>
      </c>
      <c r="M499" s="35">
        <v>28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410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stringout</v>
      </c>
      <c r="Y499" s="30" t="str">
        <f>IF(Table13[[#This Row],[value Type]]="","",VLOOKUP(Table13[[#This Row],[value Type]],Table2915[],3,FALSE))</f>
        <v>asynParamOctet</v>
      </c>
      <c r="Z499" s="64" t="str">
        <f>IF(Table13[[#This Row],[value Type]]="","",VLOOKUP(Table13[[#This Row],[value Type]],Table2915[],4,FALSE))</f>
        <v xml:space="preserve"> 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388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2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28</v>
      </c>
      <c r="AL499" s="24"/>
      <c r="AM499" s="24" t="str">
        <f>IF(Table13[[#This Row],[value Type]]="","", "0x"&amp;DEC2HEX(Table13[[#This Row],[ADDR_Offset]],8) )</f>
        <v>0x00000184</v>
      </c>
    </row>
    <row r="500" spans="2:39" s="6" customFormat="1" x14ac:dyDescent="0.3">
      <c r="B500" s="14">
        <v>0</v>
      </c>
      <c r="C500" s="14" t="s">
        <v>2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12</v>
      </c>
      <c r="I500" s="29">
        <v>62</v>
      </c>
      <c r="J500" s="15" t="s">
        <v>747</v>
      </c>
      <c r="K500" s="15" t="s">
        <v>251</v>
      </c>
      <c r="L500" s="14">
        <v>4</v>
      </c>
      <c r="M500" s="35" t="s">
        <v>54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410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stringout</v>
      </c>
      <c r="Y500" s="30" t="str">
        <f>IF(Table13[[#This Row],[value Type]]="","",VLOOKUP(Table13[[#This Row],[value Type]],Table2915[],3,FALSE))</f>
        <v>asynParamOctet</v>
      </c>
      <c r="Z500" s="64" t="str">
        <f>IF(Table13[[#This Row],[value Type]]="","",VLOOKUP(Table13[[#This Row],[value Type]],Table2915[],4,FALSE))</f>
        <v xml:space="preserve"> 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2</v>
      </c>
      <c r="AJ500" s="68">
        <f>IF(Table13[[#This Row],[value Type]]="","",Table13[[#This Row],[DataWidth]])</f>
        <v>4</v>
      </c>
      <c r="AK500" s="68" t="str">
        <f>IF(Table13[[#This Row],[value Type]]="","", Table13[[#This Row],[DataOffset]])</f>
        <v>0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2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13</v>
      </c>
      <c r="I501" s="29">
        <v>62</v>
      </c>
      <c r="J501" s="15" t="s">
        <v>747</v>
      </c>
      <c r="K501" s="15" t="s">
        <v>251</v>
      </c>
      <c r="L501" s="14">
        <v>4</v>
      </c>
      <c r="M501" s="35">
        <v>4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461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stringout</v>
      </c>
      <c r="Y501" s="30" t="str">
        <f>IF(Table13[[#This Row],[value Type]]="","",VLOOKUP(Table13[[#This Row],[value Type]],Table2915[],3,FALSE))</f>
        <v>asynParamOctet</v>
      </c>
      <c r="Z501" s="64" t="str">
        <f>IF(Table13[[#This Row],[value Type]]="","",VLOOKUP(Table13[[#This Row],[value Type]],Table2915[],4,FALSE))</f>
        <v xml:space="preserve"> 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2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4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2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20</v>
      </c>
      <c r="I502" s="29">
        <v>62</v>
      </c>
      <c r="J502" s="15" t="s">
        <v>747</v>
      </c>
      <c r="K502" s="15" t="s">
        <v>251</v>
      </c>
      <c r="L502" s="14">
        <v>4</v>
      </c>
      <c r="M502" s="35">
        <v>8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523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stringout</v>
      </c>
      <c r="Y502" s="30" t="str">
        <f>IF(Table13[[#This Row],[value Type]]="","",VLOOKUP(Table13[[#This Row],[value Type]],Table2915[],3,FALSE))</f>
        <v>asynParamOctet</v>
      </c>
      <c r="Z502" s="64" t="str">
        <f>IF(Table13[[#This Row],[value Type]]="","",VLOOKUP(Table13[[#This Row],[value Type]],Table2915[],4,FALSE))</f>
        <v xml:space="preserve"> 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2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8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2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21</v>
      </c>
      <c r="I503" s="29">
        <v>62</v>
      </c>
      <c r="J503" s="15" t="s">
        <v>747</v>
      </c>
      <c r="K503" s="15" t="s">
        <v>251</v>
      </c>
      <c r="L503" s="14">
        <v>4</v>
      </c>
      <c r="M503" s="35">
        <v>12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stringout</v>
      </c>
      <c r="Y503" s="30" t="str">
        <f>IF(Table13[[#This Row],[value Type]]="","",VLOOKUP(Table13[[#This Row],[value Type]],Table2915[],3,FALSE))</f>
        <v>asynParamOctet</v>
      </c>
      <c r="Z503" s="64" t="str">
        <f>IF(Table13[[#This Row],[value Type]]="","",VLOOKUP(Table13[[#This Row],[value Type]],Table2915[],4,FALSE))</f>
        <v xml:space="preserve"> 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2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12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2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22</v>
      </c>
      <c r="I504" s="29">
        <v>62</v>
      </c>
      <c r="J504" s="15" t="s">
        <v>747</v>
      </c>
      <c r="K504" s="15" t="s">
        <v>251</v>
      </c>
      <c r="L504" s="14">
        <v>4</v>
      </c>
      <c r="M504" s="35">
        <v>16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stringout</v>
      </c>
      <c r="Y504" s="30" t="str">
        <f>IF(Table13[[#This Row],[value Type]]="","",VLOOKUP(Table13[[#This Row],[value Type]],Table2915[],3,FALSE))</f>
        <v>asynParamOctet</v>
      </c>
      <c r="Z504" s="64" t="str">
        <f>IF(Table13[[#This Row],[value Type]]="","",VLOOKUP(Table13[[#This Row],[value Type]],Table2915[],4,FALSE))</f>
        <v xml:space="preserve"> 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2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16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2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23</v>
      </c>
      <c r="I505" s="29">
        <v>62</v>
      </c>
      <c r="J505" s="15" t="s">
        <v>747</v>
      </c>
      <c r="K505" s="15" t="s">
        <v>251</v>
      </c>
      <c r="L505" s="14">
        <v>4</v>
      </c>
      <c r="M505" s="35">
        <v>20</v>
      </c>
      <c r="N505" s="15" t="s">
        <v>400</v>
      </c>
      <c r="O505" s="25" t="s">
        <v>402</v>
      </c>
      <c r="P505" s="25">
        <v>1</v>
      </c>
      <c r="Q505" s="26" t="s">
        <v>80</v>
      </c>
      <c r="R505" s="27" t="s">
        <v>410</v>
      </c>
      <c r="S505" s="27" t="s">
        <v>405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stringout</v>
      </c>
      <c r="Y505" s="30" t="str">
        <f>IF(Table13[[#This Row],[value Type]]="","",VLOOKUP(Table13[[#This Row],[value Type]],Table2915[],3,FALSE))</f>
        <v>asynParamOctet</v>
      </c>
      <c r="Z505" s="64" t="str">
        <f>IF(Table13[[#This Row],[value Type]]="","",VLOOKUP(Table13[[#This Row],[value Type]],Table2915[],4,FALSE))</f>
        <v xml:space="preserve"> 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2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20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2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24</v>
      </c>
      <c r="I506" s="29">
        <v>62</v>
      </c>
      <c r="J506" s="15" t="s">
        <v>747</v>
      </c>
      <c r="K506" s="15" t="s">
        <v>251</v>
      </c>
      <c r="L506" s="14">
        <v>4</v>
      </c>
      <c r="M506" s="35">
        <v>24</v>
      </c>
      <c r="N506" s="15" t="s">
        <v>400</v>
      </c>
      <c r="O506" s="25" t="s">
        <v>402</v>
      </c>
      <c r="P506" s="25">
        <v>1</v>
      </c>
      <c r="Q506" s="26" t="s">
        <v>80</v>
      </c>
      <c r="R506" s="27" t="s">
        <v>410</v>
      </c>
      <c r="S506" s="27" t="s">
        <v>405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stringout</v>
      </c>
      <c r="Y506" s="30" t="str">
        <f>IF(Table13[[#This Row],[value Type]]="","",VLOOKUP(Table13[[#This Row],[value Type]],Table2915[],3,FALSE))</f>
        <v>asynParamOctet</v>
      </c>
      <c r="Z506" s="64" t="str">
        <f>IF(Table13[[#This Row],[value Type]]="","",VLOOKUP(Table13[[#This Row],[value Type]],Table2915[],4,FALSE))</f>
        <v xml:space="preserve"> 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392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2</v>
      </c>
      <c r="AJ506" s="68">
        <f>IF(Table13[[#This Row],[value Type]]="","",Table13[[#This Row],[DataWidth]])</f>
        <v>4</v>
      </c>
      <c r="AK506" s="68">
        <f>IF(Table13[[#This Row],[value Type]]="","", Table13[[#This Row],[DataOffset]])</f>
        <v>24</v>
      </c>
      <c r="AL506" s="24"/>
      <c r="AM506" s="24" t="str">
        <f>IF(Table13[[#This Row],[value Type]]="","", "0x"&amp;DEC2HEX(Table13[[#This Row],[ADDR_Offset]],8) )</f>
        <v>0x00000188</v>
      </c>
    </row>
    <row r="507" spans="2:39" s="6" customFormat="1" x14ac:dyDescent="0.3">
      <c r="B507" s="14">
        <v>0</v>
      </c>
      <c r="C507" s="14" t="s">
        <v>2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25</v>
      </c>
      <c r="I507" s="29">
        <v>62</v>
      </c>
      <c r="J507" s="15" t="s">
        <v>747</v>
      </c>
      <c r="K507" s="15" t="s">
        <v>251</v>
      </c>
      <c r="L507" s="14">
        <v>4</v>
      </c>
      <c r="M507" s="35">
        <v>28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stringout</v>
      </c>
      <c r="Y507" s="30" t="str">
        <f>IF(Table13[[#This Row],[value Type]]="","",VLOOKUP(Table13[[#This Row],[value Type]],Table2915[],3,FALSE))</f>
        <v>asynParamOctet</v>
      </c>
      <c r="Z507" s="64" t="str">
        <f>IF(Table13[[#This Row],[value Type]]="","",VLOOKUP(Table13[[#This Row],[value Type]],Table2915[],4,FALSE))</f>
        <v xml:space="preserve"> 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392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2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28</v>
      </c>
      <c r="AL507" s="24"/>
      <c r="AM507" s="24" t="str">
        <f>IF(Table13[[#This Row],[value Type]]="","", "0x"&amp;DEC2HEX(Table13[[#This Row],[ADDR_Offset]],8) )</f>
        <v>0x00000188</v>
      </c>
    </row>
    <row r="508" spans="2:39" s="6" customFormat="1" x14ac:dyDescent="0.3">
      <c r="B508" s="14">
        <v>0</v>
      </c>
      <c r="C508" s="14" t="s">
        <v>2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26</v>
      </c>
      <c r="I508" s="29">
        <v>63</v>
      </c>
      <c r="J508" s="15" t="s">
        <v>747</v>
      </c>
      <c r="K508" s="15" t="s">
        <v>251</v>
      </c>
      <c r="L508" s="14">
        <v>4</v>
      </c>
      <c r="M508" s="35" t="s">
        <v>54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399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stringout</v>
      </c>
      <c r="Y508" s="30" t="str">
        <f>IF(Table13[[#This Row],[value Type]]="","",VLOOKUP(Table13[[#This Row],[value Type]],Table2915[],3,FALSE))</f>
        <v>asynParamOctet</v>
      </c>
      <c r="Z508" s="64" t="str">
        <f>IF(Table13[[#This Row],[value Type]]="","",VLOOKUP(Table13[[#This Row],[value Type]],Table2915[],4,FALSE))</f>
        <v xml:space="preserve"> 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2</v>
      </c>
      <c r="AJ508" s="68">
        <f>IF(Table13[[#This Row],[value Type]]="","",Table13[[#This Row],[DataWidth]])</f>
        <v>4</v>
      </c>
      <c r="AK508" s="68" t="str">
        <f>IF(Table13[[#This Row],[value Type]]="","", Table13[[#This Row],[DataOffset]])</f>
        <v>0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2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27</v>
      </c>
      <c r="I509" s="29">
        <v>63</v>
      </c>
      <c r="J509" s="15" t="s">
        <v>747</v>
      </c>
      <c r="K509" s="15" t="s">
        <v>251</v>
      </c>
      <c r="L509" s="14">
        <v>4</v>
      </c>
      <c r="M509" s="35">
        <v>4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stringout</v>
      </c>
      <c r="Y509" s="30" t="str">
        <f>IF(Table13[[#This Row],[value Type]]="","",VLOOKUP(Table13[[#This Row],[value Type]],Table2915[],3,FALSE))</f>
        <v>asynParamOctet</v>
      </c>
      <c r="Z509" s="64" t="str">
        <f>IF(Table13[[#This Row],[value Type]]="","",VLOOKUP(Table13[[#This Row],[value Type]],Table2915[],4,FALSE))</f>
        <v xml:space="preserve"> 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2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4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2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28</v>
      </c>
      <c r="I510" s="29">
        <v>63</v>
      </c>
      <c r="J510" s="15" t="s">
        <v>747</v>
      </c>
      <c r="K510" s="15" t="s">
        <v>251</v>
      </c>
      <c r="L510" s="14">
        <v>4</v>
      </c>
      <c r="M510" s="35">
        <v>8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476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stringout</v>
      </c>
      <c r="Y510" s="30" t="str">
        <f>IF(Table13[[#This Row],[value Type]]="","",VLOOKUP(Table13[[#This Row],[value Type]],Table2915[],3,FALSE))</f>
        <v>asynParamOctet</v>
      </c>
      <c r="Z510" s="64" t="str">
        <f>IF(Table13[[#This Row],[value Type]]="","",VLOOKUP(Table13[[#This Row],[value Type]],Table2915[],4,FALSE))</f>
        <v xml:space="preserve"> 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2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8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2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29</v>
      </c>
      <c r="I511" s="29">
        <v>63</v>
      </c>
      <c r="J511" s="15" t="s">
        <v>747</v>
      </c>
      <c r="K511" s="15" t="s">
        <v>251</v>
      </c>
      <c r="L511" s="14">
        <v>4</v>
      </c>
      <c r="M511" s="35">
        <v>12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stringout</v>
      </c>
      <c r="Y511" s="30" t="str">
        <f>IF(Table13[[#This Row],[value Type]]="","",VLOOKUP(Table13[[#This Row],[value Type]],Table2915[],3,FALSE))</f>
        <v>asynParamOctet</v>
      </c>
      <c r="Z511" s="64" t="str">
        <f>IF(Table13[[#This Row],[value Type]]="","",VLOOKUP(Table13[[#This Row],[value Type]],Table2915[],4,FALSE))</f>
        <v xml:space="preserve"> 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2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12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2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30</v>
      </c>
      <c r="I512" s="29">
        <v>63</v>
      </c>
      <c r="J512" s="15" t="s">
        <v>747</v>
      </c>
      <c r="K512" s="15" t="s">
        <v>251</v>
      </c>
      <c r="L512" s="14">
        <v>4</v>
      </c>
      <c r="M512" s="35">
        <v>16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stringout</v>
      </c>
      <c r="Y512" s="30" t="str">
        <f>IF(Table13[[#This Row],[value Type]]="","",VLOOKUP(Table13[[#This Row],[value Type]],Table2915[],3,FALSE))</f>
        <v>asynParamOctet</v>
      </c>
      <c r="Z512" s="64" t="str">
        <f>IF(Table13[[#This Row],[value Type]]="","",VLOOKUP(Table13[[#This Row],[value Type]],Table2915[],4,FALSE))</f>
        <v xml:space="preserve"> 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2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16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2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31</v>
      </c>
      <c r="I513" s="29">
        <v>63</v>
      </c>
      <c r="J513" s="15" t="s">
        <v>747</v>
      </c>
      <c r="K513" s="15" t="s">
        <v>251</v>
      </c>
      <c r="L513" s="14">
        <v>4</v>
      </c>
      <c r="M513" s="35">
        <v>20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stringout</v>
      </c>
      <c r="Y513" s="30" t="str">
        <f>IF(Table13[[#This Row],[value Type]]="","",VLOOKUP(Table13[[#This Row],[value Type]],Table2915[],3,FALSE))</f>
        <v>asynParamOctet</v>
      </c>
      <c r="Z513" s="64" t="str">
        <f>IF(Table13[[#This Row],[value Type]]="","",VLOOKUP(Table13[[#This Row],[value Type]],Table2915[],4,FALSE))</f>
        <v xml:space="preserve"> 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2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20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2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32</v>
      </c>
      <c r="I514" s="29">
        <v>63</v>
      </c>
      <c r="J514" s="15" t="s">
        <v>747</v>
      </c>
      <c r="K514" s="15" t="s">
        <v>251</v>
      </c>
      <c r="L514" s="14">
        <v>4</v>
      </c>
      <c r="M514" s="35">
        <v>24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stringout</v>
      </c>
      <c r="Y514" s="30" t="str">
        <f>IF(Table13[[#This Row],[value Type]]="","",VLOOKUP(Table13[[#This Row],[value Type]],Table2915[],3,FALSE))</f>
        <v>asynParamOctet</v>
      </c>
      <c r="Z514" s="64" t="str">
        <f>IF(Table13[[#This Row],[value Type]]="","",VLOOKUP(Table13[[#This Row],[value Type]],Table2915[],4,FALSE))</f>
        <v xml:space="preserve"> 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396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2</v>
      </c>
      <c r="AJ514" s="68">
        <f>IF(Table13[[#This Row],[value Type]]="","",Table13[[#This Row],[DataWidth]])</f>
        <v>4</v>
      </c>
      <c r="AK514" s="68">
        <f>IF(Table13[[#This Row],[value Type]]="","", Table13[[#This Row],[DataOffset]])</f>
        <v>24</v>
      </c>
      <c r="AL514" s="24"/>
      <c r="AM514" s="24" t="str">
        <f>IF(Table13[[#This Row],[value Type]]="","", "0x"&amp;DEC2HEX(Table13[[#This Row],[ADDR_Offset]],8) )</f>
        <v>0x0000018C</v>
      </c>
    </row>
    <row r="515" spans="2:39" s="6" customFormat="1" x14ac:dyDescent="0.3">
      <c r="B515" s="14">
        <v>0</v>
      </c>
      <c r="C515" s="14" t="s">
        <v>2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33</v>
      </c>
      <c r="I515" s="29">
        <v>63</v>
      </c>
      <c r="J515" s="15" t="s">
        <v>747</v>
      </c>
      <c r="K515" s="15" t="s">
        <v>251</v>
      </c>
      <c r="L515" s="14">
        <v>4</v>
      </c>
      <c r="M515" s="35">
        <v>28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stringout</v>
      </c>
      <c r="Y515" s="30" t="str">
        <f>IF(Table13[[#This Row],[value Type]]="","",VLOOKUP(Table13[[#This Row],[value Type]],Table2915[],3,FALSE))</f>
        <v>asynParamOctet</v>
      </c>
      <c r="Z515" s="64" t="str">
        <f>IF(Table13[[#This Row],[value Type]]="","",VLOOKUP(Table13[[#This Row],[value Type]],Table2915[],4,FALSE))</f>
        <v xml:space="preserve"> 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396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2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28</v>
      </c>
      <c r="AL515" s="24"/>
      <c r="AM515" s="24" t="str">
        <f>IF(Table13[[#This Row],[value Type]]="","", "0x"&amp;DEC2HEX(Table13[[#This Row],[ADDR_Offset]],8) )</f>
        <v>0x0000018C</v>
      </c>
    </row>
    <row r="516" spans="2:39" s="6" customFormat="1" x14ac:dyDescent="0.3">
      <c r="B516" s="14">
        <v>0</v>
      </c>
      <c r="C516" s="14" t="s">
        <v>2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34</v>
      </c>
      <c r="I516" s="29">
        <v>64</v>
      </c>
      <c r="J516" s="15" t="s">
        <v>747</v>
      </c>
      <c r="K516" s="15" t="s">
        <v>251</v>
      </c>
      <c r="L516" s="14">
        <v>4</v>
      </c>
      <c r="M516" s="35" t="s">
        <v>54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277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stringout</v>
      </c>
      <c r="Y516" s="30" t="str">
        <f>IF(Table13[[#This Row],[value Type]]="","",VLOOKUP(Table13[[#This Row],[value Type]],Table2915[],3,FALSE))</f>
        <v>asynParamOctet</v>
      </c>
      <c r="Z516" s="64" t="str">
        <f>IF(Table13[[#This Row],[value Type]]="","",VLOOKUP(Table13[[#This Row],[value Type]],Table2915[],4,FALSE))</f>
        <v xml:space="preserve"> 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2</v>
      </c>
      <c r="AJ516" s="68">
        <f>IF(Table13[[#This Row],[value Type]]="","",Table13[[#This Row],[DataWidth]])</f>
        <v>4</v>
      </c>
      <c r="AK516" s="68" t="str">
        <f>IF(Table13[[#This Row],[value Type]]="","", Table13[[#This Row],[DataOffset]])</f>
        <v>0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2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35</v>
      </c>
      <c r="I517" s="29">
        <v>64</v>
      </c>
      <c r="J517" s="15" t="s">
        <v>747</v>
      </c>
      <c r="K517" s="15" t="s">
        <v>251</v>
      </c>
      <c r="L517" s="14">
        <v>4</v>
      </c>
      <c r="M517" s="35">
        <v>4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stringout</v>
      </c>
      <c r="Y517" s="30" t="str">
        <f>IF(Table13[[#This Row],[value Type]]="","",VLOOKUP(Table13[[#This Row],[value Type]],Table2915[],3,FALSE))</f>
        <v>asynParamOctet</v>
      </c>
      <c r="Z517" s="64" t="str">
        <f>IF(Table13[[#This Row],[value Type]]="","",VLOOKUP(Table13[[#This Row],[value Type]],Table2915[],4,FALSE))</f>
        <v xml:space="preserve"> 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2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4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2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36</v>
      </c>
      <c r="I518" s="29">
        <v>64</v>
      </c>
      <c r="J518" s="15" t="s">
        <v>747</v>
      </c>
      <c r="K518" s="15" t="s">
        <v>251</v>
      </c>
      <c r="L518" s="14">
        <v>4</v>
      </c>
      <c r="M518" s="35">
        <v>8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523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stringout</v>
      </c>
      <c r="Y518" s="30" t="str">
        <f>IF(Table13[[#This Row],[value Type]]="","",VLOOKUP(Table13[[#This Row],[value Type]],Table2915[],3,FALSE))</f>
        <v>asynParamOctet</v>
      </c>
      <c r="Z518" s="64" t="str">
        <f>IF(Table13[[#This Row],[value Type]]="","",VLOOKUP(Table13[[#This Row],[value Type]],Table2915[],4,FALSE))</f>
        <v xml:space="preserve"> 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2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8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2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37</v>
      </c>
      <c r="I519" s="29">
        <v>64</v>
      </c>
      <c r="J519" s="15" t="s">
        <v>747</v>
      </c>
      <c r="K519" s="15" t="s">
        <v>251</v>
      </c>
      <c r="L519" s="14">
        <v>4</v>
      </c>
      <c r="M519" s="35">
        <v>12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stringout</v>
      </c>
      <c r="Y519" s="30" t="str">
        <f>IF(Table13[[#This Row],[value Type]]="","",VLOOKUP(Table13[[#This Row],[value Type]],Table2915[],3,FALSE))</f>
        <v>asynParamOctet</v>
      </c>
      <c r="Z519" s="64" t="str">
        <f>IF(Table13[[#This Row],[value Type]]="","",VLOOKUP(Table13[[#This Row],[value Type]],Table2915[],4,FALSE))</f>
        <v xml:space="preserve"> 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2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12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2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38</v>
      </c>
      <c r="I520" s="29">
        <v>64</v>
      </c>
      <c r="J520" s="15" t="s">
        <v>747</v>
      </c>
      <c r="K520" s="15" t="s">
        <v>251</v>
      </c>
      <c r="L520" s="14">
        <v>4</v>
      </c>
      <c r="M520" s="35">
        <v>16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stringout</v>
      </c>
      <c r="Y520" s="30" t="str">
        <f>IF(Table13[[#This Row],[value Type]]="","",VLOOKUP(Table13[[#This Row],[value Type]],Table2915[],3,FALSE))</f>
        <v>asynParamOctet</v>
      </c>
      <c r="Z520" s="64" t="str">
        <f>IF(Table13[[#This Row],[value Type]]="","",VLOOKUP(Table13[[#This Row],[value Type]],Table2915[],4,FALSE))</f>
        <v xml:space="preserve"> 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2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16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2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39</v>
      </c>
      <c r="I521" s="29">
        <v>64</v>
      </c>
      <c r="J521" s="15" t="s">
        <v>747</v>
      </c>
      <c r="K521" s="15" t="s">
        <v>251</v>
      </c>
      <c r="L521" s="14">
        <v>4</v>
      </c>
      <c r="M521" s="35">
        <v>20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stringout</v>
      </c>
      <c r="Y521" s="30" t="str">
        <f>IF(Table13[[#This Row],[value Type]]="","",VLOOKUP(Table13[[#This Row],[value Type]],Table2915[],3,FALSE))</f>
        <v>asynParamOctet</v>
      </c>
      <c r="Z521" s="64" t="str">
        <f>IF(Table13[[#This Row],[value Type]]="","",VLOOKUP(Table13[[#This Row],[value Type]],Table2915[],4,FALSE))</f>
        <v xml:space="preserve"> 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2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20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 t="s">
        <v>2</v>
      </c>
      <c r="D522" s="14" t="s">
        <v>388</v>
      </c>
      <c r="E522" s="24" t="s">
        <v>349</v>
      </c>
      <c r="F522" s="24">
        <v>1</v>
      </c>
      <c r="G522" s="14" t="s">
        <v>890</v>
      </c>
      <c r="H522" s="35" t="s">
        <v>40</v>
      </c>
      <c r="I522" s="29">
        <v>64</v>
      </c>
      <c r="J522" s="15" t="s">
        <v>747</v>
      </c>
      <c r="K522" s="15" t="s">
        <v>251</v>
      </c>
      <c r="L522" s="14">
        <v>4</v>
      </c>
      <c r="M522" s="35">
        <v>24</v>
      </c>
      <c r="N522" s="15" t="s">
        <v>105</v>
      </c>
      <c r="O522" s="25" t="s">
        <v>96</v>
      </c>
      <c r="P522" s="25">
        <v>1</v>
      </c>
      <c r="Q522" s="26" t="s">
        <v>80</v>
      </c>
      <c r="R522" s="27" t="s">
        <v>277</v>
      </c>
      <c r="S522" s="27" t="s">
        <v>399</v>
      </c>
      <c r="T522" s="27">
        <v>1</v>
      </c>
      <c r="U522" s="28"/>
      <c r="V522" s="14"/>
      <c r="W522" s="14"/>
      <c r="X522" s="30" t="str">
        <f>IF(Table13[[#This Row],[value Type]]="","",VLOOKUP(Table13[[#This Row],[value Type]],Table2915[],2,FALSE))</f>
        <v>stringout</v>
      </c>
      <c r="Y522" s="30" t="str">
        <f>IF(Table13[[#This Row],[value Type]]="","",VLOOKUP(Table13[[#This Row],[value Type]],Table2915[],3,FALSE))</f>
        <v>asynParamOctet</v>
      </c>
      <c r="Z522" s="64" t="str">
        <f>IF(Table13[[#This Row],[value Type]]="","",VLOOKUP(Table13[[#This Row],[value Type]],Table2915[],4,FALSE))</f>
        <v xml:space="preserve"> </v>
      </c>
      <c r="AA522" s="64" t="str">
        <f>IF(Table13[[#This Row],[value Type]]="","",    IF(Table13[[#This Row],[IP MAX]]="","","@"  )     )</f>
        <v>@</v>
      </c>
      <c r="AB522" s="79" t="str">
        <f>IF(Table13[[#This Row],[value Type]]="","",VLOOKUP(Table13[[#This Row],[value Type]],Table2915[],5,FALSE))</f>
        <v xml:space="preserve"> </v>
      </c>
      <c r="AC5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2" s="79">
        <f>IF(Table13[[#This Row],[value Type]]="","",VLOOKUP(Table13[[#This Row],[IP]],Table51117[],2,FALSE))</f>
        <v>2</v>
      </c>
      <c r="AE522" s="79" t="str">
        <f>IF(Table13[[#This Row],[value Type]]="","",    IF(Table13[[#This Row],[IP MAX]]="","0","@"  )     )</f>
        <v>@</v>
      </c>
      <c r="AF522" s="68">
        <f>IF(Table13[[#This Row],[value Type]]="","",VLOOKUP(Table13[[#This Row],[Acc Type]],Table2[],2,FALSE))</f>
        <v>0</v>
      </c>
      <c r="AG522" s="75">
        <f>IF(Table13[[#This Row],[value Type]]="","",4*HEX2DEC(Table13[[#This Row],[Addr'[HEX']]]))</f>
        <v>400</v>
      </c>
      <c r="AH522" s="75">
        <f>IF(Table13[[#This Row],[value Type]]="","",VLOOKUP(Table13[[#This Row],[AddrTypeI]],Table22[],2,FALSE))</f>
        <v>0</v>
      </c>
      <c r="AI522" s="68">
        <f>IF(Table13[[#This Row],[value Type]]="","",VLOOKUP(Table13[[#This Row],[DataType]],Table351218[],2,FALSE))</f>
        <v>2</v>
      </c>
      <c r="AJ522" s="68">
        <f>IF(Table13[[#This Row],[value Type]]="","",Table13[[#This Row],[DataWidth]])</f>
        <v>4</v>
      </c>
      <c r="AK522" s="68">
        <f>IF(Table13[[#This Row],[value Type]]="","", Table13[[#This Row],[DataOffset]])</f>
        <v>24</v>
      </c>
      <c r="AL522" s="24"/>
      <c r="AM522" s="24" t="str">
        <f>IF(Table13[[#This Row],[value Type]]="","", "0x"&amp;DEC2HEX(Table13[[#This Row],[ADDR_Offset]],8) )</f>
        <v>0x00000190</v>
      </c>
    </row>
    <row r="523" spans="2:39" s="6" customFormat="1" x14ac:dyDescent="0.3">
      <c r="B523" s="14">
        <v>0</v>
      </c>
      <c r="C523" s="14" t="s">
        <v>2</v>
      </c>
      <c r="D523" s="14" t="s">
        <v>388</v>
      </c>
      <c r="E523" s="24" t="s">
        <v>349</v>
      </c>
      <c r="F523" s="24">
        <v>1</v>
      </c>
      <c r="G523" s="14" t="s">
        <v>890</v>
      </c>
      <c r="H523" s="35" t="s">
        <v>41</v>
      </c>
      <c r="I523" s="29">
        <v>64</v>
      </c>
      <c r="J523" s="15" t="s">
        <v>747</v>
      </c>
      <c r="K523" s="15" t="s">
        <v>251</v>
      </c>
      <c r="L523" s="14">
        <v>4</v>
      </c>
      <c r="M523" s="35">
        <v>28</v>
      </c>
      <c r="N523" s="15" t="s">
        <v>105</v>
      </c>
      <c r="O523" s="25" t="s">
        <v>96</v>
      </c>
      <c r="P523" s="25">
        <v>1</v>
      </c>
      <c r="Q523" s="26" t="s">
        <v>80</v>
      </c>
      <c r="R523" s="27" t="s">
        <v>277</v>
      </c>
      <c r="S523" s="27" t="s">
        <v>399</v>
      </c>
      <c r="T523" s="27">
        <v>1</v>
      </c>
      <c r="U523" s="28"/>
      <c r="V523" s="14"/>
      <c r="W523" s="14"/>
      <c r="X523" s="30" t="str">
        <f>IF(Table13[[#This Row],[value Type]]="","",VLOOKUP(Table13[[#This Row],[value Type]],Table2915[],2,FALSE))</f>
        <v>stringout</v>
      </c>
      <c r="Y523" s="30" t="str">
        <f>IF(Table13[[#This Row],[value Type]]="","",VLOOKUP(Table13[[#This Row],[value Type]],Table2915[],3,FALSE))</f>
        <v>asynParamOctet</v>
      </c>
      <c r="Z523" s="64" t="str">
        <f>IF(Table13[[#This Row],[value Type]]="","",VLOOKUP(Table13[[#This Row],[value Type]],Table2915[],4,FALSE))</f>
        <v xml:space="preserve"> 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400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2</v>
      </c>
      <c r="AJ523" s="68">
        <f>IF(Table13[[#This Row],[value Type]]="","",Table13[[#This Row],[DataWidth]])</f>
        <v>4</v>
      </c>
      <c r="AK523" s="68">
        <f>IF(Table13[[#This Row],[value Type]]="","", Table13[[#This Row],[DataOffset]])</f>
        <v>28</v>
      </c>
      <c r="AL523" s="24"/>
      <c r="AM523" s="24" t="str">
        <f>IF(Table13[[#This Row],[value Type]]="","", "0x"&amp;DEC2HEX(Table13[[#This Row],[ADDR_Offset]],8) )</f>
        <v>0x00000190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546</v>
      </c>
      <c r="H525" s="15"/>
      <c r="I525" s="29">
        <v>33</v>
      </c>
      <c r="J525" s="15" t="s">
        <v>747</v>
      </c>
      <c r="K525" s="15" t="s">
        <v>52</v>
      </c>
      <c r="L525" s="14">
        <v>1</v>
      </c>
      <c r="M525" s="35">
        <v>0</v>
      </c>
      <c r="N525" s="15" t="s">
        <v>463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204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0x000000CC</v>
      </c>
    </row>
    <row r="526" spans="2:39" s="6" customFormat="1" x14ac:dyDescent="0.3">
      <c r="B526" s="14">
        <v>0</v>
      </c>
      <c r="C526" s="14"/>
      <c r="D526" s="14"/>
      <c r="E526" s="24"/>
      <c r="F526" s="24"/>
      <c r="G526" s="14"/>
      <c r="H526" s="15"/>
      <c r="I526" s="29"/>
      <c r="J526" s="15" t="s">
        <v>747</v>
      </c>
      <c r="K526" s="15"/>
      <c r="L526" s="14"/>
      <c r="M526" s="35"/>
      <c r="N526" s="15"/>
      <c r="O526" s="25"/>
      <c r="P526" s="25"/>
      <c r="Q526" s="26"/>
      <c r="R526" s="27"/>
      <c r="S526" s="27"/>
      <c r="T526" s="27"/>
      <c r="U526" s="28"/>
      <c r="V526" s="14"/>
      <c r="W526" s="14"/>
      <c r="X526" s="30"/>
      <c r="Y526" s="30"/>
      <c r="Z526" s="64"/>
      <c r="AA526" s="64"/>
      <c r="AB526" s="79"/>
      <c r="AC526" s="12"/>
      <c r="AD526" s="79"/>
      <c r="AE526" s="79"/>
      <c r="AF526" s="68"/>
      <c r="AG526" s="75"/>
      <c r="AH526" s="75" t="str">
        <f>IF(Table13[[#This Row],[value Type]]="","",VLOOKUP(Table13[[#This Row],[AddrTypeI]],Table22[],2,FALSE))</f>
        <v/>
      </c>
      <c r="AI526" s="68"/>
      <c r="AJ526" s="68"/>
      <c r="AK526" s="68"/>
      <c r="AL526" s="24"/>
      <c r="AM526" s="24"/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54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54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410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0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19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19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1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6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6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461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2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7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7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3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8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8</v>
      </c>
      <c r="N531" s="15" t="s">
        <v>400</v>
      </c>
      <c r="O531" s="25" t="s">
        <v>402</v>
      </c>
      <c r="P531" s="25">
        <v>1</v>
      </c>
      <c r="Q531" s="26" t="s">
        <v>80</v>
      </c>
      <c r="R531" s="27" t="s">
        <v>410</v>
      </c>
      <c r="S531" s="27" t="s">
        <v>405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4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9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9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5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10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10</v>
      </c>
      <c r="N533" s="15" t="s">
        <v>463</v>
      </c>
      <c r="O533" s="25" t="s">
        <v>454</v>
      </c>
      <c r="P533" s="25">
        <v>1</v>
      </c>
      <c r="Q533" s="26" t="s">
        <v>80</v>
      </c>
      <c r="R533" s="27" t="s">
        <v>410</v>
      </c>
      <c r="S533" s="27" t="s">
        <v>476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6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11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11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7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12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12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8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13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13</v>
      </c>
      <c r="N536" s="15" t="s">
        <v>400</v>
      </c>
      <c r="O536" s="25" t="s">
        <v>402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9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20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20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10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21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21</v>
      </c>
      <c r="N538" s="15" t="s">
        <v>463</v>
      </c>
      <c r="O538" s="25" t="s">
        <v>454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11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22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22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12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23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23</v>
      </c>
      <c r="N540" s="15" t="s">
        <v>453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13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24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24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14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25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25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15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26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26</v>
      </c>
      <c r="N543" s="15" t="s">
        <v>400</v>
      </c>
      <c r="O543" s="25" t="s">
        <v>402</v>
      </c>
      <c r="P543" s="25">
        <v>1</v>
      </c>
      <c r="Q543" s="26" t="s">
        <v>80</v>
      </c>
      <c r="R543" s="27" t="s">
        <v>410</v>
      </c>
      <c r="S543" s="27" t="s">
        <v>405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16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27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27</v>
      </c>
      <c r="N544" s="15" t="s">
        <v>400</v>
      </c>
      <c r="O544" s="25" t="s">
        <v>402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17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28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28</v>
      </c>
      <c r="N545" s="15" t="s">
        <v>400</v>
      </c>
      <c r="O545" s="25" t="s">
        <v>454</v>
      </c>
      <c r="P545" s="25">
        <v>1</v>
      </c>
      <c r="Q545" s="26" t="s">
        <v>80</v>
      </c>
      <c r="R545" s="27" t="s">
        <v>410</v>
      </c>
      <c r="S545" s="27" t="s">
        <v>522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18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29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29</v>
      </c>
      <c r="N546" s="15" t="s">
        <v>400</v>
      </c>
      <c r="O546" s="25" t="s">
        <v>459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19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30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30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20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31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31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21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32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32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22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33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33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23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34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34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24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35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35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405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25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547</v>
      </c>
      <c r="H553" s="15" t="s">
        <v>36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36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26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37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37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476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27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548</v>
      </c>
      <c r="H555" s="15" t="s">
        <v>38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38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28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39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39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522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29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 t="s">
        <v>1</v>
      </c>
      <c r="D557" s="14" t="s">
        <v>388</v>
      </c>
      <c r="E557" s="24" t="s">
        <v>349</v>
      </c>
      <c r="F557" s="24">
        <v>1</v>
      </c>
      <c r="G557" s="14" t="s">
        <v>547</v>
      </c>
      <c r="H557" s="15" t="s">
        <v>40</v>
      </c>
      <c r="I557" s="29">
        <v>34</v>
      </c>
      <c r="J557" s="15" t="s">
        <v>747</v>
      </c>
      <c r="K557" s="15" t="s">
        <v>52</v>
      </c>
      <c r="L557" s="14">
        <v>1</v>
      </c>
      <c r="M557" s="35" t="s">
        <v>40</v>
      </c>
      <c r="N557" s="15" t="s">
        <v>400</v>
      </c>
      <c r="O557" s="25" t="s">
        <v>402</v>
      </c>
      <c r="P557" s="25">
        <v>1</v>
      </c>
      <c r="Q557" s="26" t="s">
        <v>80</v>
      </c>
      <c r="R557" s="27" t="s">
        <v>410</v>
      </c>
      <c r="S557" s="27" t="s">
        <v>405</v>
      </c>
      <c r="T557" s="27">
        <v>0</v>
      </c>
      <c r="U557" s="28"/>
      <c r="V557" s="14"/>
      <c r="W557" s="14"/>
      <c r="X557" s="30" t="str">
        <f>IF(Table13[[#This Row],[value Type]]="","",VLOOKUP(Table13[[#This Row],[value Type]],Table2915[],2,FALSE))</f>
        <v>longout</v>
      </c>
      <c r="Y557" s="30" t="str">
        <f>IF(Table13[[#This Row],[value Type]]="","",VLOOKUP(Table13[[#This Row],[value Type]],Table2915[],3,FALSE))</f>
        <v>asynParamInt32</v>
      </c>
      <c r="Z557" s="64" t="str">
        <f>IF(Table13[[#This Row],[value Type]]="","",VLOOKUP(Table13[[#This Row],[value Type]],Table2915[],4,FALSE))</f>
        <v>"asynInt32"</v>
      </c>
      <c r="AA557" s="64" t="str">
        <f>IF(Table13[[#This Row],[value Type]]="","",    IF(Table13[[#This Row],[IP MAX]]="","","@"  )     )</f>
        <v>@</v>
      </c>
      <c r="AB557" s="79" t="str">
        <f>IF(Table13[[#This Row],[value Type]]="","",VLOOKUP(Table13[[#This Row],[value Type]],Table2915[],5,FALSE))</f>
        <v xml:space="preserve"> </v>
      </c>
      <c r="AC5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7" s="79">
        <f>IF(Table13[[#This Row],[value Type]]="","",VLOOKUP(Table13[[#This Row],[IP]],Table51117[],2,FALSE))</f>
        <v>2</v>
      </c>
      <c r="AE557" s="79" t="str">
        <f>IF(Table13[[#This Row],[value Type]]="","",    IF(Table13[[#This Row],[IP MAX]]="","0","@"  )     )</f>
        <v>@</v>
      </c>
      <c r="AF557" s="68">
        <f>IF(Table13[[#This Row],[value Type]]="","",VLOOKUP(Table13[[#This Row],[Acc Type]],Table2[],2,FALSE))</f>
        <v>0</v>
      </c>
      <c r="AG557" s="75">
        <f>IF(Table13[[#This Row],[value Type]]="","",4*HEX2DEC(Table13[[#This Row],[Addr'[HEX']]]))</f>
        <v>208</v>
      </c>
      <c r="AH557" s="75">
        <f>IF(Table13[[#This Row],[value Type]]="","",VLOOKUP(Table13[[#This Row],[AddrTypeI]],Table22[],2,FALSE))</f>
        <v>0</v>
      </c>
      <c r="AI557" s="68">
        <f>IF(Table13[[#This Row],[value Type]]="","",VLOOKUP(Table13[[#This Row],[DataType]],Table351218[],2,FALSE))</f>
        <v>0</v>
      </c>
      <c r="AJ557" s="68">
        <f>IF(Table13[[#This Row],[value Type]]="","",Table13[[#This Row],[DataWidth]])</f>
        <v>1</v>
      </c>
      <c r="AK557" s="68" t="str">
        <f>IF(Table13[[#This Row],[value Type]]="","", Table13[[#This Row],[DataOffset]])</f>
        <v>30</v>
      </c>
      <c r="AL557" s="24"/>
      <c r="AM557" s="24" t="str">
        <f>IF(Table13[[#This Row],[value Type]]="","", "0x"&amp;DEC2HEX(Table13[[#This Row],[ADDR_Offset]],8) )</f>
        <v>0x000000D0</v>
      </c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547</v>
      </c>
      <c r="H558" s="15" t="s">
        <v>41</v>
      </c>
      <c r="I558" s="29">
        <v>34</v>
      </c>
      <c r="J558" s="15" t="s">
        <v>747</v>
      </c>
      <c r="K558" s="15" t="s">
        <v>52</v>
      </c>
      <c r="L558" s="14">
        <v>1</v>
      </c>
      <c r="M558" s="35" t="s">
        <v>41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208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 t="str">
        <f>IF(Table13[[#This Row],[value Type]]="","", Table13[[#This Row],[DataOffset]])</f>
        <v>31</v>
      </c>
      <c r="AL558" s="24"/>
      <c r="AM558" s="24" t="str">
        <f>IF(Table13[[#This Row],[value Type]]="","", "0x"&amp;DEC2HEX(Table13[[#This Row],[ADDR_Offset]],8) )</f>
        <v>0x000000D0</v>
      </c>
    </row>
    <row r="559" spans="2:39" s="6" customFormat="1" x14ac:dyDescent="0.3">
      <c r="B559" s="14">
        <v>0</v>
      </c>
      <c r="C559" s="14"/>
      <c r="D559" s="14"/>
      <c r="E559" s="24"/>
      <c r="F559" s="24"/>
      <c r="G559" s="14"/>
      <c r="H559" s="15"/>
      <c r="I559" s="29"/>
      <c r="J559" s="15" t="s">
        <v>747</v>
      </c>
      <c r="K559" s="15"/>
      <c r="L559" s="14"/>
      <c r="M559" s="35"/>
      <c r="N559" s="15"/>
      <c r="O559" s="25"/>
      <c r="P559" s="25"/>
      <c r="Q559" s="26"/>
      <c r="R559" s="27"/>
      <c r="S559" s="27"/>
      <c r="T559" s="27"/>
      <c r="U559" s="28"/>
      <c r="V559" s="14"/>
      <c r="W559" s="14"/>
      <c r="X559" s="30"/>
      <c r="Y559" s="30"/>
      <c r="Z559" s="64"/>
      <c r="AA559" s="64"/>
      <c r="AB559" s="79"/>
      <c r="AC559" s="12"/>
      <c r="AD559" s="79"/>
      <c r="AE559" s="79"/>
      <c r="AF559" s="68"/>
      <c r="AG559" s="75"/>
      <c r="AH559" s="75" t="str">
        <f>IF(Table13[[#This Row],[value Type]]="","",VLOOKUP(Table13[[#This Row],[AddrTypeI]],Table22[],2,FALSE))</f>
        <v/>
      </c>
      <c r="AI559" s="68"/>
      <c r="AJ559" s="68"/>
      <c r="AK559" s="68"/>
      <c r="AL559" s="24"/>
      <c r="AM559" s="24"/>
    </row>
    <row r="560" spans="2:39" s="6" customFormat="1" x14ac:dyDescent="0.3">
      <c r="B560" s="14">
        <v>0</v>
      </c>
      <c r="C560" s="14" t="s">
        <v>1</v>
      </c>
      <c r="D560" s="14" t="s">
        <v>388</v>
      </c>
      <c r="E560" s="24" t="s">
        <v>349</v>
      </c>
      <c r="F560" s="24">
        <v>1</v>
      </c>
      <c r="G560" s="14" t="s">
        <v>549</v>
      </c>
      <c r="H560" s="15"/>
      <c r="I560" s="29">
        <v>38</v>
      </c>
      <c r="J560" s="15" t="s">
        <v>747</v>
      </c>
      <c r="K560" s="15" t="s">
        <v>52</v>
      </c>
      <c r="L560" s="14">
        <v>1</v>
      </c>
      <c r="M560" s="35">
        <v>0</v>
      </c>
      <c r="N560" s="15" t="s">
        <v>400</v>
      </c>
      <c r="O560" s="25" t="s">
        <v>402</v>
      </c>
      <c r="P560" s="25">
        <v>1</v>
      </c>
      <c r="Q560" s="26" t="s">
        <v>80</v>
      </c>
      <c r="R560" s="27" t="s">
        <v>410</v>
      </c>
      <c r="S560" s="27" t="s">
        <v>405</v>
      </c>
      <c r="T560" s="27">
        <v>0</v>
      </c>
      <c r="U560" s="28"/>
      <c r="V560" s="14"/>
      <c r="W560" s="14"/>
      <c r="X560" s="30" t="str">
        <f>IF(Table13[[#This Row],[value Type]]="","",VLOOKUP(Table13[[#This Row],[value Type]],Table2915[],2,FALSE))</f>
        <v>longout</v>
      </c>
      <c r="Y560" s="30" t="str">
        <f>IF(Table13[[#This Row],[value Type]]="","",VLOOKUP(Table13[[#This Row],[value Type]],Table2915[],3,FALSE))</f>
        <v>asynParamInt32</v>
      </c>
      <c r="Z560" s="64" t="str">
        <f>IF(Table13[[#This Row],[value Type]]="","",VLOOKUP(Table13[[#This Row],[value Type]],Table2915[],4,FALSE))</f>
        <v>"asynInt32"</v>
      </c>
      <c r="AA560" s="64" t="str">
        <f>IF(Table13[[#This Row],[value Type]]="","",    IF(Table13[[#This Row],[IP MAX]]="","","@"  )     )</f>
        <v>@</v>
      </c>
      <c r="AB560" s="79" t="str">
        <f>IF(Table13[[#This Row],[value Type]]="","",VLOOKUP(Table13[[#This Row],[value Type]],Table2915[],5,FALSE))</f>
        <v xml:space="preserve"> </v>
      </c>
      <c r="AC5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60" s="79">
        <f>IF(Table13[[#This Row],[value Type]]="","",VLOOKUP(Table13[[#This Row],[IP]],Table51117[],2,FALSE))</f>
        <v>2</v>
      </c>
      <c r="AE560" s="79" t="str">
        <f>IF(Table13[[#This Row],[value Type]]="","",    IF(Table13[[#This Row],[IP MAX]]="","0","@"  )     )</f>
        <v>@</v>
      </c>
      <c r="AF560" s="68">
        <f>IF(Table13[[#This Row],[value Type]]="","",VLOOKUP(Table13[[#This Row],[Acc Type]],Table2[],2,FALSE))</f>
        <v>0</v>
      </c>
      <c r="AG560" s="75">
        <f>IF(Table13[[#This Row],[value Type]]="","",4*HEX2DEC(Table13[[#This Row],[Addr'[HEX']]]))</f>
        <v>224</v>
      </c>
      <c r="AH560" s="75">
        <f>IF(Table13[[#This Row],[value Type]]="","",VLOOKUP(Table13[[#This Row],[AddrTypeI]],Table22[],2,FALSE))</f>
        <v>0</v>
      </c>
      <c r="AI560" s="68">
        <f>IF(Table13[[#This Row],[value Type]]="","",VLOOKUP(Table13[[#This Row],[DataType]],Table351218[],2,FALSE))</f>
        <v>0</v>
      </c>
      <c r="AJ560" s="68">
        <f>IF(Table13[[#This Row],[value Type]]="","",Table13[[#This Row],[DataWidth]])</f>
        <v>1</v>
      </c>
      <c r="AK560" s="68">
        <f>IF(Table13[[#This Row],[value Type]]="","", Table13[[#This Row],[DataOffset]])</f>
        <v>0</v>
      </c>
      <c r="AL560" s="24"/>
      <c r="AM560" s="24" t="str">
        <f>IF(Table13[[#This Row],[value Type]]="","", "0x"&amp;DEC2HEX(Table13[[#This Row],[ADDR_Offset]],8) )</f>
        <v>0x000000E0</v>
      </c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550</v>
      </c>
      <c r="H561" s="15"/>
      <c r="I561" s="29">
        <v>39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402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228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0x000000E4</v>
      </c>
    </row>
    <row r="562" spans="2:39" s="6" customFormat="1" x14ac:dyDescent="0.3">
      <c r="B562" s="14">
        <v>0</v>
      </c>
      <c r="C562" s="14"/>
      <c r="D562" s="14"/>
      <c r="E562" s="24"/>
      <c r="F562" s="24"/>
      <c r="G562" s="14"/>
      <c r="H562" s="15"/>
      <c r="I562" s="29"/>
      <c r="J562" s="15" t="s">
        <v>747</v>
      </c>
      <c r="K562" s="15"/>
      <c r="L562" s="14"/>
      <c r="M562" s="35"/>
      <c r="N562" s="15"/>
      <c r="O562" s="25"/>
      <c r="P562" s="25"/>
      <c r="Q562" s="26"/>
      <c r="R562" s="27"/>
      <c r="S562" s="27"/>
      <c r="T562" s="27"/>
      <c r="U562" s="28"/>
      <c r="V562" s="14"/>
      <c r="W562" s="14"/>
      <c r="X562" s="30"/>
      <c r="Y562" s="30"/>
      <c r="Z562" s="64"/>
      <c r="AA562" s="64"/>
      <c r="AB562" s="79"/>
      <c r="AC562" s="12"/>
      <c r="AD562" s="79"/>
      <c r="AE562" s="79"/>
      <c r="AF562" s="68"/>
      <c r="AG562" s="75"/>
      <c r="AH562" s="75" t="str">
        <f>IF(Table13[[#This Row],[value Type]]="","",VLOOKUP(Table13[[#This Row],[AddrTypeI]],Table22[],2,FALSE))</f>
        <v/>
      </c>
      <c r="AI562" s="68"/>
      <c r="AJ562" s="68"/>
      <c r="AK562" s="68"/>
      <c r="AL562" s="24"/>
      <c r="AM562" s="24"/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551</v>
      </c>
      <c r="H563" s="15"/>
      <c r="I563" s="29" t="s">
        <v>552</v>
      </c>
      <c r="J563" s="15" t="s">
        <v>747</v>
      </c>
      <c r="K563" s="15" t="s">
        <v>52</v>
      </c>
      <c r="L563" s="14">
        <v>1</v>
      </c>
      <c r="M563" s="35">
        <v>0</v>
      </c>
      <c r="N563" s="15" t="s">
        <v>400</v>
      </c>
      <c r="O563" s="25" t="s">
        <v>527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232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1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0x000000E8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553</v>
      </c>
      <c r="H564" s="15"/>
      <c r="I564" s="29" t="s">
        <v>554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236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0x000000EC</v>
      </c>
    </row>
    <row r="565" spans="2:39" s="6" customFormat="1" x14ac:dyDescent="0.3">
      <c r="B565" s="14">
        <v>0</v>
      </c>
      <c r="C565" s="14" t="s">
        <v>1</v>
      </c>
      <c r="D565" s="14" t="s">
        <v>388</v>
      </c>
      <c r="E565" s="24" t="s">
        <v>349</v>
      </c>
      <c r="F565" s="24">
        <v>1</v>
      </c>
      <c r="G565" s="14" t="s">
        <v>555</v>
      </c>
      <c r="H565" s="15"/>
      <c r="I565" s="29" t="s">
        <v>556</v>
      </c>
      <c r="J565" s="15" t="s">
        <v>747</v>
      </c>
      <c r="K565" s="15" t="s">
        <v>52</v>
      </c>
      <c r="L565" s="14">
        <v>32</v>
      </c>
      <c r="M565" s="35">
        <v>0</v>
      </c>
      <c r="N565" s="15" t="s">
        <v>400</v>
      </c>
      <c r="O565" s="25" t="s">
        <v>402</v>
      </c>
      <c r="P565" s="25">
        <v>1</v>
      </c>
      <c r="Q565" s="26" t="s">
        <v>80</v>
      </c>
      <c r="R565" s="27" t="s">
        <v>410</v>
      </c>
      <c r="S565" s="27" t="s">
        <v>405</v>
      </c>
      <c r="T565" s="27">
        <v>0</v>
      </c>
      <c r="U565" s="28"/>
      <c r="V565" s="14"/>
      <c r="W565" s="14"/>
      <c r="X565" s="30" t="str">
        <f>IF(Table13[[#This Row],[value Type]]="","",VLOOKUP(Table13[[#This Row],[value Type]],Table2915[],2,FALSE))</f>
        <v>longout</v>
      </c>
      <c r="Y565" s="30" t="str">
        <f>IF(Table13[[#This Row],[value Type]]="","",VLOOKUP(Table13[[#This Row],[value Type]],Table2915[],3,FALSE))</f>
        <v>asynParamInt32</v>
      </c>
      <c r="Z565" s="64" t="str">
        <f>IF(Table13[[#This Row],[value Type]]="","",VLOOKUP(Table13[[#This Row],[value Type]],Table2915[],4,FALSE))</f>
        <v>"asynInt32"</v>
      </c>
      <c r="AA565" s="64" t="str">
        <f>IF(Table13[[#This Row],[value Type]]="","",    IF(Table13[[#This Row],[IP MAX]]="","","@"  )     )</f>
        <v>@</v>
      </c>
      <c r="AB565" s="79" t="str">
        <f>IF(Table13[[#This Row],[value Type]]="","",VLOOKUP(Table13[[#This Row],[value Type]],Table2915[],5,FALSE))</f>
        <v xml:space="preserve"> </v>
      </c>
      <c r="AC5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5" s="79">
        <f>IF(Table13[[#This Row],[value Type]]="","",VLOOKUP(Table13[[#This Row],[IP]],Table51117[],2,FALSE))</f>
        <v>2</v>
      </c>
      <c r="AE565" s="79" t="str">
        <f>IF(Table13[[#This Row],[value Type]]="","",    IF(Table13[[#This Row],[IP MAX]]="","0","@"  )     )</f>
        <v>@</v>
      </c>
      <c r="AF565" s="68">
        <f>IF(Table13[[#This Row],[value Type]]="","",VLOOKUP(Table13[[#This Row],[Acc Type]],Table2[],2,FALSE))</f>
        <v>0</v>
      </c>
      <c r="AG565" s="75">
        <f>IF(Table13[[#This Row],[value Type]]="","",4*HEX2DEC(Table13[[#This Row],[Addr'[HEX']]]))</f>
        <v>240</v>
      </c>
      <c r="AH565" s="75">
        <f>IF(Table13[[#This Row],[value Type]]="","",VLOOKUP(Table13[[#This Row],[AddrTypeI]],Table22[],2,FALSE))</f>
        <v>0</v>
      </c>
      <c r="AI565" s="68">
        <f>IF(Table13[[#This Row],[value Type]]="","",VLOOKUP(Table13[[#This Row],[DataType]],Table351218[],2,FALSE))</f>
        <v>0</v>
      </c>
      <c r="AJ565" s="68">
        <f>IF(Table13[[#This Row],[value Type]]="","",Table13[[#This Row],[DataWidth]])</f>
        <v>32</v>
      </c>
      <c r="AK565" s="68">
        <f>IF(Table13[[#This Row],[value Type]]="","", Table13[[#This Row],[DataOffset]])</f>
        <v>0</v>
      </c>
      <c r="AL565" s="24"/>
      <c r="AM565" s="24" t="str">
        <f>IF(Table13[[#This Row],[value Type]]="","", "0x"&amp;DEC2HEX(Table13[[#This Row],[ADDR_Offset]],8) )</f>
        <v>0x000000F0</v>
      </c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557</v>
      </c>
      <c r="H566" s="15"/>
      <c r="I566" s="29" t="s">
        <v>558</v>
      </c>
      <c r="J566" s="15" t="s">
        <v>747</v>
      </c>
      <c r="K566" s="15" t="s">
        <v>52</v>
      </c>
      <c r="L566" s="14">
        <v>32</v>
      </c>
      <c r="M566" s="35">
        <v>0</v>
      </c>
      <c r="N566" s="15" t="s">
        <v>400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244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32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0x000000F4</v>
      </c>
    </row>
    <row r="567" spans="2:39" s="6" customFormat="1" x14ac:dyDescent="0.3">
      <c r="B567" s="14">
        <v>0</v>
      </c>
      <c r="C567" s="14"/>
      <c r="D567" s="14"/>
      <c r="E567" s="24"/>
      <c r="F567" s="24"/>
      <c r="G567" s="14"/>
      <c r="H567" s="15"/>
      <c r="I567" s="29"/>
      <c r="J567" s="15" t="s">
        <v>747</v>
      </c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 t="str">
        <f>IF(Table13[[#This Row],[value Type]]="","",VLOOKUP(Table13[[#This Row],[AddrTypeI]],Table22[],2,FALSE))</f>
        <v/>
      </c>
      <c r="AI567" s="68"/>
      <c r="AJ567" s="68"/>
      <c r="AK567" s="68"/>
      <c r="AL567" s="24"/>
      <c r="AM567" s="24"/>
    </row>
    <row r="568" spans="2:39" s="6" customFormat="1" x14ac:dyDescent="0.3">
      <c r="B568" s="14">
        <v>0</v>
      </c>
      <c r="C568" s="14" t="s">
        <v>1</v>
      </c>
      <c r="D568" s="14" t="s">
        <v>388</v>
      </c>
      <c r="E568" s="24" t="s">
        <v>349</v>
      </c>
      <c r="F568" s="24">
        <v>1</v>
      </c>
      <c r="G568" s="14" t="s">
        <v>508</v>
      </c>
      <c r="H568" s="15"/>
      <c r="I568" s="29" t="s">
        <v>509</v>
      </c>
      <c r="J568" s="15" t="s">
        <v>747</v>
      </c>
      <c r="K568" s="15" t="s">
        <v>52</v>
      </c>
      <c r="L568" s="14">
        <v>16</v>
      </c>
      <c r="M568" s="35">
        <v>0</v>
      </c>
      <c r="N568" s="15" t="s">
        <v>457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/>
      <c r="V568" s="14"/>
      <c r="W568" s="14"/>
      <c r="X568" s="30" t="str">
        <f>IF(Table13[[#This Row],[value Type]]="","",VLOOKUP(Table13[[#This Row],[value Type]],Table2915[],2,FALSE))</f>
        <v>longout</v>
      </c>
      <c r="Y568" s="30" t="str">
        <f>IF(Table13[[#This Row],[value Type]]="","",VLOOKUP(Table13[[#This Row],[value Type]],Table2915[],3,FALSE))</f>
        <v>asynParamInt32</v>
      </c>
      <c r="Z568" s="64" t="str">
        <f>IF(Table13[[#This Row],[value Type]]="","",VLOOKUP(Table13[[#This Row],[value Type]],Table2915[],4,FALSE))</f>
        <v>"asynInt32"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 xml:space="preserve"> 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248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0</v>
      </c>
      <c r="AJ568" s="68">
        <f>IF(Table13[[#This Row],[value Type]]="","",Table13[[#This Row],[DataWidth]])</f>
        <v>16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0x000000F8</v>
      </c>
    </row>
    <row r="569" spans="2:39" s="6" customFormat="1" x14ac:dyDescent="0.3">
      <c r="B569" s="14"/>
      <c r="C569" s="14"/>
      <c r="D569" s="14"/>
      <c r="E569" s="24"/>
      <c r="F569" s="24"/>
      <c r="G569" s="14"/>
      <c r="H569" s="15"/>
      <c r="I569" s="29"/>
      <c r="J569" s="15"/>
      <c r="K569" s="15"/>
      <c r="L569" s="14"/>
      <c r="M569" s="35"/>
      <c r="N569" s="15"/>
      <c r="O569" s="25"/>
      <c r="P569" s="25"/>
      <c r="Q569" s="26"/>
      <c r="R569" s="27"/>
      <c r="S569" s="27"/>
      <c r="T569" s="27"/>
      <c r="U569" s="28"/>
      <c r="V569" s="14"/>
      <c r="W569" s="14"/>
      <c r="X569" s="30"/>
      <c r="Y569" s="30"/>
      <c r="Z569" s="64"/>
      <c r="AA569" s="64"/>
      <c r="AB569" s="79"/>
      <c r="AC569" s="12"/>
      <c r="AD569" s="79"/>
      <c r="AE569" s="79"/>
      <c r="AF569" s="68"/>
      <c r="AG569" s="75"/>
      <c r="AH569" s="75"/>
      <c r="AI569" s="68"/>
      <c r="AJ569" s="68"/>
      <c r="AK569" s="68"/>
      <c r="AL569" s="24"/>
      <c r="AM569" s="24"/>
    </row>
    <row r="570" spans="2:39" s="6" customFormat="1" x14ac:dyDescent="0.3">
      <c r="B570" s="12">
        <v>5400</v>
      </c>
      <c r="C570" s="14" t="s">
        <v>1</v>
      </c>
      <c r="D570" s="14" t="s">
        <v>388</v>
      </c>
      <c r="E570" s="24" t="s">
        <v>349</v>
      </c>
      <c r="F570" s="24">
        <v>1</v>
      </c>
      <c r="G570" s="14" t="s">
        <v>77</v>
      </c>
      <c r="H570" s="15" t="s">
        <v>54</v>
      </c>
      <c r="I570" s="101" t="str">
        <f>DEC2HEX(HEX2DEC(Table13[[#This Row],[Index]])/4+Table13[[#This Row],[SUB]],4)</f>
        <v>1500</v>
      </c>
      <c r="J570" s="15" t="s">
        <v>747</v>
      </c>
      <c r="K570" s="15" t="s">
        <v>52</v>
      </c>
      <c r="L570" s="14">
        <v>32</v>
      </c>
      <c r="M570" s="35">
        <v>0</v>
      </c>
      <c r="N570" s="15" t="s">
        <v>400</v>
      </c>
      <c r="O570" s="25" t="s">
        <v>402</v>
      </c>
      <c r="P570" s="25">
        <v>1</v>
      </c>
      <c r="Q570" s="26" t="s">
        <v>80</v>
      </c>
      <c r="R570" s="27" t="s">
        <v>410</v>
      </c>
      <c r="S570" s="27" t="s">
        <v>405</v>
      </c>
      <c r="T570" s="27">
        <v>0</v>
      </c>
      <c r="U570" s="28"/>
      <c r="V570" s="14"/>
      <c r="W570" s="14"/>
      <c r="X570" s="30" t="str">
        <f>IF(Table13[[#This Row],[value Type]]="","",VLOOKUP(Table13[[#This Row],[value Type]],Table2915[],2,FALSE))</f>
        <v>longout</v>
      </c>
      <c r="Y570" s="30" t="str">
        <f>IF(Table13[[#This Row],[value Type]]="","",VLOOKUP(Table13[[#This Row],[value Type]],Table2915[],3,FALSE))</f>
        <v>asynParamInt32</v>
      </c>
      <c r="Z570" s="64" t="str">
        <f>IF(Table13[[#This Row],[value Type]]="","",VLOOKUP(Table13[[#This Row],[value Type]],Table2915[],4,FALSE))</f>
        <v>"asynInt32"</v>
      </c>
      <c r="AA570" s="64" t="str">
        <f>IF(Table13[[#This Row],[value Type]]="","",    IF(Table13[[#This Row],[IP MAX]]="","","@"  )     )</f>
        <v>@</v>
      </c>
      <c r="AB570" s="79" t="str">
        <f>IF(Table13[[#This Row],[value Type]]="","",VLOOKUP(Table13[[#This Row],[value Type]],Table2915[],5,FALSE))</f>
        <v xml:space="preserve"> </v>
      </c>
      <c r="AC5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70" s="79">
        <f>IF(Table13[[#This Row],[value Type]]="","",VLOOKUP(Table13[[#This Row],[IP]],Table51117[],2,FALSE))</f>
        <v>2</v>
      </c>
      <c r="AE570" s="79" t="str">
        <f>IF(Table13[[#This Row],[value Type]]="","",    IF(Table13[[#This Row],[IP MAX]]="","0","@"  )     )</f>
        <v>@</v>
      </c>
      <c r="AF570" s="68">
        <f>IF(Table13[[#This Row],[value Type]]="","",VLOOKUP(Table13[[#This Row],[Acc Type]],Table2[],2,FALSE))</f>
        <v>0</v>
      </c>
      <c r="AG570" s="75">
        <f>IF(Table13[[#This Row],[value Type]]="","",4*HEX2DEC(Table13[[#This Row],[Addr'[HEX']]]))</f>
        <v>21504</v>
      </c>
      <c r="AH570" s="75">
        <f>IF(Table13[[#This Row],[value Type]]="","",VLOOKUP(Table13[[#This Row],[AddrTypeI]],Table22[],2,FALSE))</f>
        <v>0</v>
      </c>
      <c r="AI570" s="68">
        <f>IF(Table13[[#This Row],[value Type]]="","",VLOOKUP(Table13[[#This Row],[DataType]],Table351218[],2,FALSE))</f>
        <v>0</v>
      </c>
      <c r="AJ570" s="68">
        <f>IF(Table13[[#This Row],[value Type]]="","",Table13[[#This Row],[DataWidth]])</f>
        <v>32</v>
      </c>
      <c r="AK570" s="68">
        <f>IF(Table13[[#This Row],[value Type]]="","", Table13[[#This Row],[DataOffset]])</f>
        <v>0</v>
      </c>
      <c r="AL570" s="24"/>
      <c r="AM570" s="24" t="str">
        <f>IF(Table13[[#This Row],[value Type]]="","", "0x"&amp;DEC2HEX(Table13[[#This Row],[ADDR_Offset]],8) )</f>
        <v>0x00005400</v>
      </c>
    </row>
    <row r="571" spans="2:39" s="6" customFormat="1" x14ac:dyDescent="0.3">
      <c r="B571" s="12">
        <f>B570</f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19</v>
      </c>
      <c r="I571" s="101" t="str">
        <f>DEC2HEX(HEX2DEC(Table13[[#This Row],[Index]])/4+Table13[[#This Row],[SUB]],4)</f>
        <v>1501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402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21508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0x00005404</v>
      </c>
    </row>
    <row r="572" spans="2:39" s="6" customFormat="1" x14ac:dyDescent="0.3">
      <c r="B572" s="12">
        <f t="shared" ref="B572:B601" si="6">B571</f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6</v>
      </c>
      <c r="I572" s="101" t="str">
        <f>DEC2HEX(HEX2DEC(Table13[[#This Row],[Index]])/4+Table13[[#This Row],[SUB]],4)</f>
        <v>1502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400</v>
      </c>
      <c r="O572" s="25" t="s">
        <v>402</v>
      </c>
      <c r="P572" s="25">
        <v>1</v>
      </c>
      <c r="Q572" s="26" t="s">
        <v>80</v>
      </c>
      <c r="R572" s="27" t="s">
        <v>410</v>
      </c>
      <c r="S572" s="27" t="s">
        <v>405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21512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0x00005408</v>
      </c>
    </row>
    <row r="573" spans="2:39" s="6" customFormat="1" x14ac:dyDescent="0.3">
      <c r="B573" s="12">
        <f t="shared" si="6"/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7</v>
      </c>
      <c r="I573" s="101" t="str">
        <f>DEC2HEX(HEX2DEC(Table13[[#This Row],[Index]])/4+Table13[[#This Row],[SUB]],4)</f>
        <v>1503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400</v>
      </c>
      <c r="O573" s="25" t="s">
        <v>402</v>
      </c>
      <c r="P573" s="25">
        <v>1</v>
      </c>
      <c r="Q573" s="26" t="s">
        <v>80</v>
      </c>
      <c r="R573" s="27" t="s">
        <v>410</v>
      </c>
      <c r="S573" s="27" t="s">
        <v>405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21516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0x0000540C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8</v>
      </c>
      <c r="I574" s="101" t="str">
        <f>DEC2HEX(HEX2DEC(Table13[[#This Row],[Index]])/4+Table13[[#This Row],[SUB]],4)</f>
        <v>1504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400</v>
      </c>
      <c r="O574" s="25" t="s">
        <v>402</v>
      </c>
      <c r="P574" s="25">
        <v>1</v>
      </c>
      <c r="Q574" s="26" t="s">
        <v>80</v>
      </c>
      <c r="R574" s="27" t="s">
        <v>410</v>
      </c>
      <c r="S574" s="27" t="s">
        <v>405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21520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0x00005410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9</v>
      </c>
      <c r="I575" s="101" t="str">
        <f>DEC2HEX(HEX2DEC(Table13[[#This Row],[Index]])/4+Table13[[#This Row],[SUB]],4)</f>
        <v>1505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400</v>
      </c>
      <c r="O575" s="25" t="s">
        <v>402</v>
      </c>
      <c r="P575" s="25">
        <v>1</v>
      </c>
      <c r="Q575" s="26" t="s">
        <v>80</v>
      </c>
      <c r="R575" s="27" t="s">
        <v>461</v>
      </c>
      <c r="S575" s="27" t="s">
        <v>405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21524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0x00005414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10</v>
      </c>
      <c r="I576" s="101" t="str">
        <f>DEC2HEX(HEX2DEC(Table13[[#This Row],[Index]])/4+Table13[[#This Row],[SUB]],4)</f>
        <v>1506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400</v>
      </c>
      <c r="O576" s="25" t="s">
        <v>402</v>
      </c>
      <c r="P576" s="25">
        <v>1</v>
      </c>
      <c r="Q576" s="26" t="s">
        <v>80</v>
      </c>
      <c r="R576" s="27" t="s">
        <v>410</v>
      </c>
      <c r="S576" s="27" t="s">
        <v>405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21528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0x00005418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11</v>
      </c>
      <c r="I577" s="101" t="str">
        <f>DEC2HEX(HEX2DEC(Table13[[#This Row],[Index]])/4+Table13[[#This Row],[SUB]],4)</f>
        <v>1507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400</v>
      </c>
      <c r="O577" s="25" t="s">
        <v>402</v>
      </c>
      <c r="P577" s="25">
        <v>1</v>
      </c>
      <c r="Q577" s="26" t="s">
        <v>80</v>
      </c>
      <c r="R577" s="27" t="s">
        <v>410</v>
      </c>
      <c r="S577" s="27" t="s">
        <v>405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21532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0x0000541C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12</v>
      </c>
      <c r="I578" s="101" t="str">
        <f>DEC2HEX(HEX2DEC(Table13[[#This Row],[Index]])/4+Table13[[#This Row],[SUB]],4)</f>
        <v>1508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400</v>
      </c>
      <c r="O578" s="25" t="s">
        <v>402</v>
      </c>
      <c r="P578" s="25">
        <v>1</v>
      </c>
      <c r="Q578" s="26" t="s">
        <v>80</v>
      </c>
      <c r="R578" s="27" t="s">
        <v>410</v>
      </c>
      <c r="S578" s="27" t="s">
        <v>405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21536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0x00005420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13</v>
      </c>
      <c r="I579" s="101" t="str">
        <f>DEC2HEX(HEX2DEC(Table13[[#This Row],[Index]])/4+Table13[[#This Row],[SUB]],4)</f>
        <v>1509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400</v>
      </c>
      <c r="O579" s="25" t="s">
        <v>402</v>
      </c>
      <c r="P579" s="25">
        <v>1</v>
      </c>
      <c r="Q579" s="26" t="s">
        <v>80</v>
      </c>
      <c r="R579" s="27" t="s">
        <v>410</v>
      </c>
      <c r="S579" s="27" t="s">
        <v>405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21540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0x00005424</v>
      </c>
    </row>
    <row r="580" spans="2:39" s="6" customFormat="1" x14ac:dyDescent="0.3">
      <c r="B580" s="12">
        <f t="shared" si="6"/>
        <v>5400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77</v>
      </c>
      <c r="H580" s="15" t="s">
        <v>20</v>
      </c>
      <c r="I580" s="101" t="str">
        <f>DEC2HEX(HEX2DEC(Table13[[#This Row],[Index]])/4+Table13[[#This Row],[SUB]],4)</f>
        <v>150A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400</v>
      </c>
      <c r="O580" s="25" t="s">
        <v>402</v>
      </c>
      <c r="P580" s="25">
        <v>1</v>
      </c>
      <c r="Q580" s="26" t="s">
        <v>80</v>
      </c>
      <c r="R580" s="27" t="s">
        <v>410</v>
      </c>
      <c r="S580" s="27" t="s">
        <v>405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21544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0x00005428</v>
      </c>
    </row>
    <row r="581" spans="2:39" s="6" customFormat="1" x14ac:dyDescent="0.3">
      <c r="B581" s="12">
        <f t="shared" si="6"/>
        <v>5400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77</v>
      </c>
      <c r="H581" s="15" t="s">
        <v>21</v>
      </c>
      <c r="I581" s="101" t="str">
        <f>DEC2HEX(HEX2DEC(Table13[[#This Row],[Index]])/4+Table13[[#This Row],[SUB]],4)</f>
        <v>150B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400</v>
      </c>
      <c r="O581" s="25" t="s">
        <v>402</v>
      </c>
      <c r="P581" s="25">
        <v>1</v>
      </c>
      <c r="Q581" s="26" t="s">
        <v>80</v>
      </c>
      <c r="R581" s="27" t="s">
        <v>410</v>
      </c>
      <c r="S581" s="27" t="s">
        <v>405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21548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0x0000542C</v>
      </c>
    </row>
    <row r="582" spans="2:39" s="6" customFormat="1" x14ac:dyDescent="0.3">
      <c r="B582" s="12">
        <f t="shared" si="6"/>
        <v>5400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77</v>
      </c>
      <c r="H582" s="15" t="s">
        <v>22</v>
      </c>
      <c r="I582" s="101" t="str">
        <f>DEC2HEX(HEX2DEC(Table13[[#This Row],[Index]])/4+Table13[[#This Row],[SUB]],4)</f>
        <v>150C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400</v>
      </c>
      <c r="O582" s="25" t="s">
        <v>402</v>
      </c>
      <c r="P582" s="25">
        <v>1</v>
      </c>
      <c r="Q582" s="26" t="s">
        <v>80</v>
      </c>
      <c r="R582" s="27" t="s">
        <v>460</v>
      </c>
      <c r="S582" s="27" t="s">
        <v>405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21552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0x00005430</v>
      </c>
    </row>
    <row r="583" spans="2:39" s="6" customFormat="1" x14ac:dyDescent="0.3">
      <c r="B583" s="12">
        <f t="shared" si="6"/>
        <v>5400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77</v>
      </c>
      <c r="H583" s="15" t="s">
        <v>23</v>
      </c>
      <c r="I583" s="101" t="str">
        <f>DEC2HEX(HEX2DEC(Table13[[#This Row],[Index]])/4+Table13[[#This Row],[SUB]],4)</f>
        <v>150D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402</v>
      </c>
      <c r="P583" s="25">
        <v>1</v>
      </c>
      <c r="Q583" s="26" t="s">
        <v>80</v>
      </c>
      <c r="R583" s="27" t="s">
        <v>410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21556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0x00005434</v>
      </c>
    </row>
    <row r="584" spans="2:39" s="6" customFormat="1" x14ac:dyDescent="0.3">
      <c r="B584" s="12">
        <f t="shared" si="6"/>
        <v>5400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77</v>
      </c>
      <c r="H584" s="15" t="s">
        <v>24</v>
      </c>
      <c r="I584" s="101" t="str">
        <f>DEC2HEX(HEX2DEC(Table13[[#This Row],[Index]])/4+Table13[[#This Row],[SUB]],4)</f>
        <v>150E</v>
      </c>
      <c r="J584" s="15" t="s">
        <v>747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402</v>
      </c>
      <c r="P584" s="25">
        <v>1</v>
      </c>
      <c r="Q584" s="26" t="s">
        <v>80</v>
      </c>
      <c r="R584" s="27" t="s">
        <v>410</v>
      </c>
      <c r="S584" s="27" t="s">
        <v>405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21560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0x00005438</v>
      </c>
    </row>
    <row r="585" spans="2:39" s="6" customFormat="1" x14ac:dyDescent="0.3">
      <c r="B585" s="12">
        <f t="shared" si="6"/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25</v>
      </c>
      <c r="I585" s="101" t="str">
        <f>DEC2HEX(HEX2DEC(Table13[[#This Row],[Index]])/4+Table13[[#This Row],[SUB]],4)</f>
        <v>150F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21564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0x0000543C</v>
      </c>
    </row>
    <row r="586" spans="2:39" s="6" customFormat="1" x14ac:dyDescent="0.3">
      <c r="B586" s="12">
        <f t="shared" si="6"/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26</v>
      </c>
      <c r="I586" s="101" t="str">
        <f>DEC2HEX(HEX2DEC(Table13[[#This Row],[Index]])/4+Table13[[#This Row],[SUB]],4)</f>
        <v>1510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21568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0x00005440</v>
      </c>
    </row>
    <row r="587" spans="2:39" s="6" customFormat="1" x14ac:dyDescent="0.3">
      <c r="B587" s="12">
        <f t="shared" si="6"/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27</v>
      </c>
      <c r="I587" s="101" t="str">
        <f>DEC2HEX(HEX2DEC(Table13[[#This Row],[Index]])/4+Table13[[#This Row],[SUB]],4)</f>
        <v>1511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460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21572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0x00005444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28</v>
      </c>
      <c r="I588" s="101" t="str">
        <f>DEC2HEX(HEX2DEC(Table13[[#This Row],[Index]])/4+Table13[[#This Row],[SUB]],4)</f>
        <v>1512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410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21576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0x00005448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29</v>
      </c>
      <c r="I589" s="101" t="str">
        <f>DEC2HEX(HEX2DEC(Table13[[#This Row],[Index]])/4+Table13[[#This Row],[SUB]],4)</f>
        <v>1513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527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21580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0x0000544C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30</v>
      </c>
      <c r="I590" s="101" t="str">
        <f>DEC2HEX(HEX2DEC(Table13[[#This Row],[Index]])/4+Table13[[#This Row],[SUB]],4)</f>
        <v>1514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402</v>
      </c>
      <c r="P590" s="25">
        <v>1</v>
      </c>
      <c r="Q590" s="26" t="s">
        <v>80</v>
      </c>
      <c r="R590" s="27" t="s">
        <v>410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21584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0x00005450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31</v>
      </c>
      <c r="I591" s="101" t="str">
        <f>DEC2HEX(HEX2DEC(Table13[[#This Row],[Index]])/4+Table13[[#This Row],[SUB]],4)</f>
        <v>1515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527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21588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0x00005454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32</v>
      </c>
      <c r="I592" s="101" t="str">
        <f>DEC2HEX(HEX2DEC(Table13[[#This Row],[Index]])/4+Table13[[#This Row],[SUB]],4)</f>
        <v>1516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453</v>
      </c>
      <c r="O592" s="25" t="s">
        <v>527</v>
      </c>
      <c r="P592" s="25">
        <v>1</v>
      </c>
      <c r="Q592" s="26" t="s">
        <v>80</v>
      </c>
      <c r="R592" s="27" t="s">
        <v>460</v>
      </c>
      <c r="S592" s="27" t="s">
        <v>522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21592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0x00005458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33</v>
      </c>
      <c r="I593" s="101" t="str">
        <f>DEC2HEX(HEX2DEC(Table13[[#This Row],[Index]])/4+Table13[[#This Row],[SUB]],4)</f>
        <v>1517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400</v>
      </c>
      <c r="O593" s="25" t="s">
        <v>454</v>
      </c>
      <c r="P593" s="25">
        <v>1</v>
      </c>
      <c r="Q593" s="26" t="s">
        <v>80</v>
      </c>
      <c r="R593" s="27" t="s">
        <v>410</v>
      </c>
      <c r="S593" s="27" t="s">
        <v>405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21596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0x0000545C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34</v>
      </c>
      <c r="I594" s="101" t="str">
        <f>DEC2HEX(HEX2DEC(Table13[[#This Row],[Index]])/4+Table13[[#This Row],[SUB]],4)</f>
        <v>1518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463</v>
      </c>
      <c r="O594" s="25" t="s">
        <v>454</v>
      </c>
      <c r="P594" s="25">
        <v>1</v>
      </c>
      <c r="Q594" s="26" t="s">
        <v>80</v>
      </c>
      <c r="R594" s="27" t="s">
        <v>461</v>
      </c>
      <c r="S594" s="27" t="s">
        <v>239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21600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0x00005460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35</v>
      </c>
      <c r="I595" s="101" t="str">
        <f>DEC2HEX(HEX2DEC(Table13[[#This Row],[Index]])/4+Table13[[#This Row],[SUB]],4)</f>
        <v>1519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96</v>
      </c>
      <c r="P595" s="25">
        <v>1</v>
      </c>
      <c r="Q595" s="26" t="s">
        <v>80</v>
      </c>
      <c r="R595" s="27" t="s">
        <v>277</v>
      </c>
      <c r="S595" s="27" t="s">
        <v>476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21604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0x00005464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36</v>
      </c>
      <c r="I596" s="101" t="str">
        <f>DEC2HEX(HEX2DEC(Table13[[#This Row],[Index]])/4+Table13[[#This Row],[SUB]],4)</f>
        <v>151A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454</v>
      </c>
      <c r="P596" s="25">
        <v>1</v>
      </c>
      <c r="Q596" s="26" t="s">
        <v>80</v>
      </c>
      <c r="R596" s="27" t="s">
        <v>277</v>
      </c>
      <c r="S596" s="27" t="s">
        <v>476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21608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0x00005468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37</v>
      </c>
      <c r="I597" s="101" t="str">
        <f>DEC2HEX(HEX2DEC(Table13[[#This Row],[Index]])/4+Table13[[#This Row],[SUB]],4)</f>
        <v>151B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463</v>
      </c>
      <c r="O597" s="25" t="s">
        <v>454</v>
      </c>
      <c r="P597" s="25">
        <v>1</v>
      </c>
      <c r="Q597" s="26" t="s">
        <v>80</v>
      </c>
      <c r="R597" s="27" t="s">
        <v>410</v>
      </c>
      <c r="S597" s="27" t="s">
        <v>476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21612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0x0000546C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38</v>
      </c>
      <c r="I598" s="101" t="str">
        <f>DEC2HEX(HEX2DEC(Table13[[#This Row],[Index]])/4+Table13[[#This Row],[SUB]],4)</f>
        <v>151C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275</v>
      </c>
      <c r="O598" s="25" t="s">
        <v>96</v>
      </c>
      <c r="P598" s="25">
        <v>1</v>
      </c>
      <c r="Q598" s="26" t="s">
        <v>80</v>
      </c>
      <c r="R598" s="27" t="s">
        <v>277</v>
      </c>
      <c r="S598" s="27" t="s">
        <v>476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21616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0x00005470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39</v>
      </c>
      <c r="I599" s="101" t="str">
        <f>DEC2HEX(HEX2DEC(Table13[[#This Row],[Index]])/4+Table13[[#This Row],[SUB]],4)</f>
        <v>151D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463</v>
      </c>
      <c r="O599" s="25" t="s">
        <v>454</v>
      </c>
      <c r="P599" s="25">
        <v>1</v>
      </c>
      <c r="Q599" s="26" t="s">
        <v>80</v>
      </c>
      <c r="R599" s="27" t="s">
        <v>461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21620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0x00005474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40</v>
      </c>
      <c r="I600" s="101" t="str">
        <f>DEC2HEX(HEX2DEC(Table13[[#This Row],[Index]])/4+Table13[[#This Row],[SUB]],4)</f>
        <v>151E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461</v>
      </c>
      <c r="S600" s="27" t="s">
        <v>239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21624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0x00005478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41</v>
      </c>
      <c r="I601" s="101" t="str">
        <f>DEC2HEX(HEX2DEC(Table13[[#This Row],[Index]])/4+Table13[[#This Row],[SUB]],4)</f>
        <v>151F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463</v>
      </c>
      <c r="O601" s="25" t="s">
        <v>454</v>
      </c>
      <c r="P601" s="25">
        <v>1</v>
      </c>
      <c r="Q601" s="26" t="s">
        <v>80</v>
      </c>
      <c r="R601" s="27" t="s">
        <v>461</v>
      </c>
      <c r="S601" s="27" t="s">
        <v>476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21628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0x0000547C</v>
      </c>
    </row>
    <row r="602" spans="2:39" s="6" customFormat="1" x14ac:dyDescent="0.3">
      <c r="B602" s="14"/>
      <c r="C602" s="14"/>
      <c r="D602" s="14"/>
      <c r="E602" s="24"/>
      <c r="F602" s="24"/>
      <c r="G602" s="14"/>
      <c r="H602" s="15"/>
      <c r="I602" s="29"/>
      <c r="J602" s="15" t="s">
        <v>747</v>
      </c>
      <c r="K602" s="15"/>
      <c r="L602" s="14"/>
      <c r="M602" s="35"/>
      <c r="N602" s="15"/>
      <c r="O602" s="25"/>
      <c r="P602" s="25"/>
      <c r="Q602" s="26" t="s">
        <v>80</v>
      </c>
      <c r="R602" s="27" t="s">
        <v>277</v>
      </c>
      <c r="S602" s="27"/>
      <c r="T602" s="27"/>
      <c r="U602" s="28"/>
      <c r="V602" s="14"/>
      <c r="W602" s="14"/>
      <c r="X602" s="30" t="str">
        <f>IF(Table13[[#This Row],[value Type]]="","",VLOOKUP(Table13[[#This Row],[value Type]],Table2915[],2,FALSE))</f>
        <v/>
      </c>
      <c r="Y602" s="30" t="str">
        <f>IF(Table13[[#This Row],[value Type]]="","",VLOOKUP(Table13[[#This Row],[value Type]],Table2915[],3,FALSE))</f>
        <v/>
      </c>
      <c r="Z602" s="64" t="str">
        <f>IF(Table13[[#This Row],[value Type]]="","",VLOOKUP(Table13[[#This Row],[value Type]],Table2915[],4,FALSE))</f>
        <v/>
      </c>
      <c r="AA602" s="64" t="str">
        <f>IF(Table13[[#This Row],[value Type]]="","",    IF(Table13[[#This Row],[IP MAX]]="","","@"  )     )</f>
        <v/>
      </c>
      <c r="AB602" s="79" t="str">
        <f>IF(Table13[[#This Row],[value Type]]="","",VLOOKUP(Table13[[#This Row],[value Type]],Table2915[],5,FALSE))</f>
        <v/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02" s="79" t="str">
        <f>IF(Table13[[#This Row],[value Type]]="","",VLOOKUP(Table13[[#This Row],[IP]],Table51117[],2,FALSE))</f>
        <v/>
      </c>
      <c r="AE602" s="79" t="str">
        <f>IF(Table13[[#This Row],[value Type]]="","",    IF(Table13[[#This Row],[IP MAX]]="","0","@"  )     )</f>
        <v/>
      </c>
      <c r="AF602" s="68" t="str">
        <f>IF(Table13[[#This Row],[value Type]]="","",VLOOKUP(Table13[[#This Row],[Acc Type]],Table2[],2,FALSE))</f>
        <v/>
      </c>
      <c r="AG602" s="75" t="str">
        <f>IF(Table13[[#This Row],[value Type]]="","",4*HEX2DEC(Table13[[#This Row],[Addr'[HEX']]]))</f>
        <v/>
      </c>
      <c r="AH602" s="75" t="str">
        <f>IF(Table13[[#This Row],[value Type]]="","",VLOOKUP(Table13[[#This Row],[AddrTypeI]],Table22[],2,FALSE))</f>
        <v/>
      </c>
      <c r="AI602" s="68" t="str">
        <f>IF(Table13[[#This Row],[value Type]]="","",VLOOKUP(Table13[[#This Row],[DataType]],Table351218[],2,FALSE))</f>
        <v/>
      </c>
      <c r="AJ602" s="68" t="str">
        <f>IF(Table13[[#This Row],[value Type]]="","",Table13[[#This Row],[DataWidth]])</f>
        <v/>
      </c>
      <c r="AK602" s="68" t="str">
        <f>IF(Table13[[#This Row],[value Type]]="","", Table13[[#This Row],[DataOffset]])</f>
        <v/>
      </c>
      <c r="AL602" s="24"/>
      <c r="AM602" s="24" t="str">
        <f>IF(Table13[[#This Row],[value Type]]="","", "0x"&amp;DEC2HEX(Table13[[#This Row],[ADDR_Offset]],8) )</f>
        <v/>
      </c>
    </row>
    <row r="603" spans="2:39" s="6" customFormat="1" x14ac:dyDescent="0.3">
      <c r="B603" s="12">
        <v>5480</v>
      </c>
      <c r="C603" s="14" t="s">
        <v>1</v>
      </c>
      <c r="D603" s="14" t="s">
        <v>388</v>
      </c>
      <c r="E603" s="24" t="s">
        <v>349</v>
      </c>
      <c r="F603" s="24">
        <v>1</v>
      </c>
      <c r="G603" s="14" t="s">
        <v>78</v>
      </c>
      <c r="H603" s="15" t="s">
        <v>54</v>
      </c>
      <c r="I603" s="101" t="str">
        <f>DEC2HEX(HEX2DEC(Table13[[#This Row],[Index]])/4+Table13[[#This Row],[SUB]],4)</f>
        <v>1520</v>
      </c>
      <c r="J603" s="15" t="s">
        <v>747</v>
      </c>
      <c r="K603" s="15" t="s">
        <v>52</v>
      </c>
      <c r="L603" s="14">
        <v>32</v>
      </c>
      <c r="M603" s="35">
        <v>0</v>
      </c>
      <c r="N603" s="15" t="s">
        <v>463</v>
      </c>
      <c r="O603" s="25" t="s">
        <v>454</v>
      </c>
      <c r="P603" s="25">
        <v>1</v>
      </c>
      <c r="Q603" s="26" t="s">
        <v>80</v>
      </c>
      <c r="R603" s="27" t="s">
        <v>461</v>
      </c>
      <c r="S603" s="27" t="s">
        <v>476</v>
      </c>
      <c r="T603" s="27">
        <v>0</v>
      </c>
      <c r="U603" s="28"/>
      <c r="V603" s="14"/>
      <c r="W603" s="14"/>
      <c r="X603" s="30" t="str">
        <f>IF(Table13[[#This Row],[value Type]]="","",VLOOKUP(Table13[[#This Row],[value Type]],Table2915[],2,FALSE))</f>
        <v>longout</v>
      </c>
      <c r="Y603" s="30" t="str">
        <f>IF(Table13[[#This Row],[value Type]]="","",VLOOKUP(Table13[[#This Row],[value Type]],Table2915[],3,FALSE))</f>
        <v>asynParamInt32</v>
      </c>
      <c r="Z603" s="64" t="str">
        <f>IF(Table13[[#This Row],[value Type]]="","",VLOOKUP(Table13[[#This Row],[value Type]],Table2915[],4,FALSE))</f>
        <v>"asynInt32"</v>
      </c>
      <c r="AA603" s="64" t="str">
        <f>IF(Table13[[#This Row],[value Type]]="","",    IF(Table13[[#This Row],[IP MAX]]="","","@"  )     )</f>
        <v>@</v>
      </c>
      <c r="AB603" s="79" t="str">
        <f>IF(Table13[[#This Row],[value Type]]="","",VLOOKUP(Table13[[#This Row],[value Type]],Table2915[],5,FALSE))</f>
        <v xml:space="preserve"> </v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03" s="79">
        <f>IF(Table13[[#This Row],[value Type]]="","",VLOOKUP(Table13[[#This Row],[IP]],Table51117[],2,FALSE))</f>
        <v>2</v>
      </c>
      <c r="AE603" s="79" t="str">
        <f>IF(Table13[[#This Row],[value Type]]="","",    IF(Table13[[#This Row],[IP MAX]]="","0","@"  )     )</f>
        <v>@</v>
      </c>
      <c r="AF603" s="68">
        <f>IF(Table13[[#This Row],[value Type]]="","",VLOOKUP(Table13[[#This Row],[Acc Type]],Table2[],2,FALSE))</f>
        <v>0</v>
      </c>
      <c r="AG603" s="75">
        <f>IF(Table13[[#This Row],[value Type]]="","",4*HEX2DEC(Table13[[#This Row],[Addr'[HEX']]]))</f>
        <v>21632</v>
      </c>
      <c r="AH603" s="75">
        <f>IF(Table13[[#This Row],[value Type]]="","",VLOOKUP(Table13[[#This Row],[AddrTypeI]],Table22[],2,FALSE))</f>
        <v>0</v>
      </c>
      <c r="AI603" s="68">
        <f>IF(Table13[[#This Row],[value Type]]="","",VLOOKUP(Table13[[#This Row],[DataType]],Table351218[],2,FALSE))</f>
        <v>0</v>
      </c>
      <c r="AJ603" s="68">
        <f>IF(Table13[[#This Row],[value Type]]="","",Table13[[#This Row],[DataWidth]])</f>
        <v>32</v>
      </c>
      <c r="AK603" s="68">
        <f>IF(Table13[[#This Row],[value Type]]="","", Table13[[#This Row],[DataOffset]])</f>
        <v>0</v>
      </c>
      <c r="AL603" s="24"/>
      <c r="AM603" s="24" t="str">
        <f>IF(Table13[[#This Row],[value Type]]="","", "0x"&amp;DEC2HEX(Table13[[#This Row],[ADDR_Offset]],8) )</f>
        <v>0x00005480</v>
      </c>
    </row>
    <row r="604" spans="2:39" s="6" customFormat="1" x14ac:dyDescent="0.3">
      <c r="B604" s="12">
        <f t="shared" ref="B604:B634" si="7">B603</f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19</v>
      </c>
      <c r="I604" s="101" t="str">
        <f>DEC2HEX(HEX2DEC(Table13[[#This Row],[Index]])/4+Table13[[#This Row],[SUB]],4)</f>
        <v>1521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275</v>
      </c>
      <c r="O604" s="25" t="s">
        <v>402</v>
      </c>
      <c r="P604" s="25">
        <v>1</v>
      </c>
      <c r="Q604" s="26" t="s">
        <v>80</v>
      </c>
      <c r="R604" s="27" t="s">
        <v>461</v>
      </c>
      <c r="S604" s="27" t="s">
        <v>476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21636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0x00005484</v>
      </c>
    </row>
    <row r="605" spans="2:39" s="6" customFormat="1" x14ac:dyDescent="0.3">
      <c r="B605" s="12">
        <f t="shared" si="7"/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6</v>
      </c>
      <c r="I605" s="101" t="str">
        <f>DEC2HEX(HEX2DEC(Table13[[#This Row],[Index]])/4+Table13[[#This Row],[SUB]],4)</f>
        <v>1522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400</v>
      </c>
      <c r="O605" s="25" t="s">
        <v>454</v>
      </c>
      <c r="P605" s="25">
        <v>1</v>
      </c>
      <c r="Q605" s="26" t="s">
        <v>80</v>
      </c>
      <c r="R605" s="27" t="s">
        <v>410</v>
      </c>
      <c r="S605" s="27" t="s">
        <v>405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21640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0x00005488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7</v>
      </c>
      <c r="I606" s="101" t="str">
        <f>DEC2HEX(HEX2DEC(Table13[[#This Row],[Index]])/4+Table13[[#This Row],[SUB]],4)</f>
        <v>1523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454</v>
      </c>
      <c r="P606" s="25">
        <v>1</v>
      </c>
      <c r="Q606" s="26" t="s">
        <v>80</v>
      </c>
      <c r="R606" s="27" t="s">
        <v>410</v>
      </c>
      <c r="S606" s="27" t="s">
        <v>476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21644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0x0000548C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8</v>
      </c>
      <c r="I607" s="101" t="str">
        <f>DEC2HEX(HEX2DEC(Table13[[#This Row],[Index]])/4+Table13[[#This Row],[SUB]],4)</f>
        <v>1524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463</v>
      </c>
      <c r="O607" s="25" t="s">
        <v>454</v>
      </c>
      <c r="P607" s="25">
        <v>1</v>
      </c>
      <c r="Q607" s="26" t="s">
        <v>80</v>
      </c>
      <c r="R607" s="27" t="s">
        <v>410</v>
      </c>
      <c r="S607" s="27" t="s">
        <v>405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21648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0x00005490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9</v>
      </c>
      <c r="I608" s="101" t="str">
        <f>DEC2HEX(HEX2DEC(Table13[[#This Row],[Index]])/4+Table13[[#This Row],[SUB]],4)</f>
        <v>1525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400</v>
      </c>
      <c r="O608" s="25" t="s">
        <v>402</v>
      </c>
      <c r="P608" s="25">
        <v>1</v>
      </c>
      <c r="Q608" s="26" t="s">
        <v>80</v>
      </c>
      <c r="R608" s="27" t="s">
        <v>461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21652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0x00005494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10</v>
      </c>
      <c r="I609" s="101" t="str">
        <f>DEC2HEX(HEX2DEC(Table13[[#This Row],[Index]])/4+Table13[[#This Row],[SUB]],4)</f>
        <v>1526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463</v>
      </c>
      <c r="O609" s="25" t="s">
        <v>402</v>
      </c>
      <c r="P609" s="25">
        <v>1</v>
      </c>
      <c r="Q609" s="26" t="s">
        <v>80</v>
      </c>
      <c r="R609" s="27" t="s">
        <v>461</v>
      </c>
      <c r="S609" s="27" t="s">
        <v>476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21656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0x00005498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11</v>
      </c>
      <c r="I610" s="101" t="str">
        <f>DEC2HEX(HEX2DEC(Table13[[#This Row],[Index]])/4+Table13[[#This Row],[SUB]],4)</f>
        <v>1527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275</v>
      </c>
      <c r="O610" s="25" t="s">
        <v>454</v>
      </c>
      <c r="P610" s="25">
        <v>1</v>
      </c>
      <c r="Q610" s="26" t="s">
        <v>80</v>
      </c>
      <c r="R610" s="27" t="s">
        <v>461</v>
      </c>
      <c r="S610" s="27" t="s">
        <v>405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21660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0x0000549C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12</v>
      </c>
      <c r="I611" s="101" t="str">
        <f>DEC2HEX(HEX2DEC(Table13[[#This Row],[Index]])/4+Table13[[#This Row],[SUB]],4)</f>
        <v>1528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400</v>
      </c>
      <c r="O611" s="25" t="s">
        <v>454</v>
      </c>
      <c r="P611" s="25">
        <v>1</v>
      </c>
      <c r="Q611" s="26" t="s">
        <v>80</v>
      </c>
      <c r="R611" s="27" t="s">
        <v>410</v>
      </c>
      <c r="S611" s="27" t="s">
        <v>405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21664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0x000054A0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13</v>
      </c>
      <c r="I612" s="101" t="str">
        <f>DEC2HEX(HEX2DEC(Table13[[#This Row],[Index]])/4+Table13[[#This Row],[SUB]],4)</f>
        <v>1529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275</v>
      </c>
      <c r="O612" s="25" t="s">
        <v>402</v>
      </c>
      <c r="P612" s="25">
        <v>1</v>
      </c>
      <c r="Q612" s="26" t="s">
        <v>80</v>
      </c>
      <c r="R612" s="27" t="s">
        <v>461</v>
      </c>
      <c r="S612" s="27" t="s">
        <v>405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21668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0x000054A4</v>
      </c>
    </row>
    <row r="613" spans="2:39" s="6" customFormat="1" x14ac:dyDescent="0.3">
      <c r="B613" s="12">
        <f t="shared" si="7"/>
        <v>5480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78</v>
      </c>
      <c r="H613" s="15" t="s">
        <v>20</v>
      </c>
      <c r="I613" s="101" t="str">
        <f>DEC2HEX(HEX2DEC(Table13[[#This Row],[Index]])/4+Table13[[#This Row],[SUB]],4)</f>
        <v>152A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400</v>
      </c>
      <c r="O613" s="25" t="s">
        <v>96</v>
      </c>
      <c r="P613" s="25">
        <v>1</v>
      </c>
      <c r="Q613" s="26" t="s">
        <v>80</v>
      </c>
      <c r="R613" s="27" t="s">
        <v>410</v>
      </c>
      <c r="S613" s="27" t="s">
        <v>405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21672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0x000054A8</v>
      </c>
    </row>
    <row r="614" spans="2:39" s="6" customFormat="1" x14ac:dyDescent="0.3">
      <c r="B614" s="12">
        <f t="shared" si="7"/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78</v>
      </c>
      <c r="H614" s="15" t="s">
        <v>21</v>
      </c>
      <c r="I614" s="101" t="str">
        <f>DEC2HEX(HEX2DEC(Table13[[#This Row],[Index]])/4+Table13[[#This Row],[SUB]],4)</f>
        <v>152B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400</v>
      </c>
      <c r="O614" s="25" t="s">
        <v>402</v>
      </c>
      <c r="P614" s="25">
        <v>1</v>
      </c>
      <c r="Q614" s="26" t="s">
        <v>80</v>
      </c>
      <c r="R614" s="27" t="s">
        <v>410</v>
      </c>
      <c r="S614" s="27" t="s">
        <v>405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21676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0x000054AC</v>
      </c>
    </row>
    <row r="615" spans="2:39" s="6" customFormat="1" x14ac:dyDescent="0.3">
      <c r="B615" s="12">
        <f t="shared" si="7"/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78</v>
      </c>
      <c r="H615" s="15" t="s">
        <v>22</v>
      </c>
      <c r="I615" s="101" t="str">
        <f>DEC2HEX(HEX2DEC(Table13[[#This Row],[Index]])/4+Table13[[#This Row],[SUB]],4)</f>
        <v>152C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463</v>
      </c>
      <c r="O615" s="25" t="s">
        <v>402</v>
      </c>
      <c r="P615" s="25">
        <v>1</v>
      </c>
      <c r="Q615" s="26" t="s">
        <v>80</v>
      </c>
      <c r="R615" s="27" t="s">
        <v>461</v>
      </c>
      <c r="S615" s="27" t="s">
        <v>476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21680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0x000054B0</v>
      </c>
    </row>
    <row r="616" spans="2:39" s="6" customFormat="1" x14ac:dyDescent="0.3">
      <c r="B616" s="12">
        <f t="shared" si="7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78</v>
      </c>
      <c r="H616" s="15" t="s">
        <v>23</v>
      </c>
      <c r="I616" s="101" t="str">
        <f>DEC2HEX(HEX2DEC(Table13[[#This Row],[Index]])/4+Table13[[#This Row],[SUB]],4)</f>
        <v>152D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454</v>
      </c>
      <c r="P616" s="25">
        <v>1</v>
      </c>
      <c r="Q616" s="26" t="s">
        <v>80</v>
      </c>
      <c r="R616" s="27" t="s">
        <v>410</v>
      </c>
      <c r="S616" s="27" t="s">
        <v>405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21684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0x000054B4</v>
      </c>
    </row>
    <row r="617" spans="2:39" s="6" customFormat="1" x14ac:dyDescent="0.3">
      <c r="B617" s="12">
        <f t="shared" si="7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78</v>
      </c>
      <c r="H617" s="15" t="s">
        <v>24</v>
      </c>
      <c r="I617" s="101" t="str">
        <f>DEC2HEX(HEX2DEC(Table13[[#This Row],[Index]])/4+Table13[[#This Row],[SUB]],4)</f>
        <v>152E</v>
      </c>
      <c r="J617" s="15" t="s">
        <v>747</v>
      </c>
      <c r="K617" s="15" t="s">
        <v>52</v>
      </c>
      <c r="L617" s="14">
        <v>32</v>
      </c>
      <c r="M617" s="35">
        <v>0</v>
      </c>
      <c r="N617" s="15" t="s">
        <v>463</v>
      </c>
      <c r="O617" s="25" t="s">
        <v>454</v>
      </c>
      <c r="P617" s="25">
        <v>1</v>
      </c>
      <c r="Q617" s="26" t="s">
        <v>80</v>
      </c>
      <c r="R617" s="27" t="s">
        <v>410</v>
      </c>
      <c r="S617" s="27" t="s">
        <v>405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21688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32</v>
      </c>
      <c r="AK617" s="68">
        <f>IF(Table13[[#This Row],[value Type]]="","", Table13[[#This Row],[DataOffset]])</f>
        <v>0</v>
      </c>
      <c r="AL617" s="24"/>
      <c r="AM617" s="24" t="str">
        <f>IF(Table13[[#This Row],[value Type]]="","", "0x"&amp;DEC2HEX(Table13[[#This Row],[ADDR_Offset]],8) )</f>
        <v>0x000054B8</v>
      </c>
    </row>
    <row r="618" spans="2:39" s="6" customFormat="1" x14ac:dyDescent="0.3">
      <c r="B618" s="12">
        <f t="shared" si="7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25</v>
      </c>
      <c r="I618" s="101" t="str">
        <f>DEC2HEX(HEX2DEC(Table13[[#This Row],[Index]])/4+Table13[[#This Row],[SUB]],4)</f>
        <v>152F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402</v>
      </c>
      <c r="P618" s="25">
        <v>1</v>
      </c>
      <c r="Q618" s="26" t="s">
        <v>80</v>
      </c>
      <c r="R618" s="27" t="s">
        <v>461</v>
      </c>
      <c r="S618" s="27" t="s">
        <v>405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21692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0x000054BC</v>
      </c>
    </row>
    <row r="619" spans="2:39" s="6" customFormat="1" x14ac:dyDescent="0.3">
      <c r="B619" s="12">
        <f t="shared" si="7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26</v>
      </c>
      <c r="I619" s="101" t="str">
        <f>DEC2HEX(HEX2DEC(Table13[[#This Row],[Index]])/4+Table13[[#This Row],[SUB]],4)</f>
        <v>1530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400</v>
      </c>
      <c r="O619" s="25" t="s">
        <v>454</v>
      </c>
      <c r="P619" s="25">
        <v>1</v>
      </c>
      <c r="Q619" s="26" t="s">
        <v>80</v>
      </c>
      <c r="R619" s="27" t="s">
        <v>461</v>
      </c>
      <c r="S619" s="27" t="s">
        <v>405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21696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0x000054C0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27</v>
      </c>
      <c r="I620" s="101" t="str">
        <f>DEC2HEX(HEX2DEC(Table13[[#This Row],[Index]])/4+Table13[[#This Row],[SUB]],4)</f>
        <v>1531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463</v>
      </c>
      <c r="O620" s="25" t="s">
        <v>96</v>
      </c>
      <c r="P620" s="25">
        <v>1</v>
      </c>
      <c r="Q620" s="26" t="s">
        <v>80</v>
      </c>
      <c r="R620" s="27" t="s">
        <v>277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21700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0x000054C4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28</v>
      </c>
      <c r="I621" s="101" t="str">
        <f>DEC2HEX(HEX2DEC(Table13[[#This Row],[Index]])/4+Table13[[#This Row],[SUB]],4)</f>
        <v>1532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275</v>
      </c>
      <c r="O621" s="25" t="s">
        <v>402</v>
      </c>
      <c r="P621" s="25">
        <v>1</v>
      </c>
      <c r="Q621" s="26" t="s">
        <v>80</v>
      </c>
      <c r="R621" s="27" t="s">
        <v>410</v>
      </c>
      <c r="S621" s="27" t="s">
        <v>476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21704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0x000054C8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29</v>
      </c>
      <c r="I622" s="101" t="str">
        <f>DEC2HEX(HEX2DEC(Table13[[#This Row],[Index]])/4+Table13[[#This Row],[SUB]],4)</f>
        <v>1533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463</v>
      </c>
      <c r="O622" s="25" t="s">
        <v>454</v>
      </c>
      <c r="P622" s="25">
        <v>1</v>
      </c>
      <c r="Q622" s="26" t="s">
        <v>80</v>
      </c>
      <c r="R622" s="27" t="s">
        <v>277</v>
      </c>
      <c r="S622" s="27" t="s">
        <v>405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21708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0x000054CC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30</v>
      </c>
      <c r="I623" s="101" t="str">
        <f>DEC2HEX(HEX2DEC(Table13[[#This Row],[Index]])/4+Table13[[#This Row],[SUB]],4)</f>
        <v>1534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275</v>
      </c>
      <c r="O623" s="25" t="s">
        <v>96</v>
      </c>
      <c r="P623" s="25">
        <v>1</v>
      </c>
      <c r="Q623" s="26" t="s">
        <v>80</v>
      </c>
      <c r="R623" s="27" t="s">
        <v>461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21712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0x000054D0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31</v>
      </c>
      <c r="I624" s="101" t="str">
        <f>DEC2HEX(HEX2DEC(Table13[[#This Row],[Index]])/4+Table13[[#This Row],[SUB]],4)</f>
        <v>1535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275</v>
      </c>
      <c r="O624" s="25" t="s">
        <v>454</v>
      </c>
      <c r="P624" s="25">
        <v>1</v>
      </c>
      <c r="Q624" s="26" t="s">
        <v>80</v>
      </c>
      <c r="R624" s="27" t="s">
        <v>277</v>
      </c>
      <c r="S624" s="27" t="s">
        <v>405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21716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0x000054D4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32</v>
      </c>
      <c r="I625" s="101" t="str">
        <f>DEC2HEX(HEX2DEC(Table13[[#This Row],[Index]])/4+Table13[[#This Row],[SUB]],4)</f>
        <v>1536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463</v>
      </c>
      <c r="O625" s="25" t="s">
        <v>454</v>
      </c>
      <c r="P625" s="25">
        <v>1</v>
      </c>
      <c r="Q625" s="26" t="s">
        <v>80</v>
      </c>
      <c r="R625" s="27" t="s">
        <v>410</v>
      </c>
      <c r="S625" s="27" t="s">
        <v>476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21720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0x000054D8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33</v>
      </c>
      <c r="I626" s="101" t="str">
        <f>DEC2HEX(HEX2DEC(Table13[[#This Row],[Index]])/4+Table13[[#This Row],[SUB]],4)</f>
        <v>1537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463</v>
      </c>
      <c r="O626" s="25" t="s">
        <v>402</v>
      </c>
      <c r="P626" s="25">
        <v>1</v>
      </c>
      <c r="Q626" s="26" t="s">
        <v>80</v>
      </c>
      <c r="R626" s="27" t="s">
        <v>410</v>
      </c>
      <c r="S626" s="27" t="s">
        <v>405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21724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0x000054DC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34</v>
      </c>
      <c r="I627" s="101" t="str">
        <f>DEC2HEX(HEX2DEC(Table13[[#This Row],[Index]])/4+Table13[[#This Row],[SUB]],4)</f>
        <v>1538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400</v>
      </c>
      <c r="O627" s="25" t="s">
        <v>454</v>
      </c>
      <c r="P627" s="25">
        <v>1</v>
      </c>
      <c r="Q627" s="26" t="s">
        <v>80</v>
      </c>
      <c r="R627" s="27" t="s">
        <v>410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21728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0x000054E0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35</v>
      </c>
      <c r="I628" s="101" t="str">
        <f>DEC2HEX(HEX2DEC(Table13[[#This Row],[Index]])/4+Table13[[#This Row],[SUB]],4)</f>
        <v>1539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463</v>
      </c>
      <c r="O628" s="25" t="s">
        <v>454</v>
      </c>
      <c r="P628" s="25">
        <v>1</v>
      </c>
      <c r="Q628" s="26" t="s">
        <v>80</v>
      </c>
      <c r="R628" s="27" t="s">
        <v>461</v>
      </c>
      <c r="S628" s="27" t="s">
        <v>239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21732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0x000054E4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36</v>
      </c>
      <c r="I629" s="101" t="str">
        <f>DEC2HEX(HEX2DEC(Table13[[#This Row],[Index]])/4+Table13[[#This Row],[SUB]],4)</f>
        <v>153A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463</v>
      </c>
      <c r="O629" s="25" t="s">
        <v>454</v>
      </c>
      <c r="P629" s="25">
        <v>1</v>
      </c>
      <c r="Q629" s="26" t="s">
        <v>80</v>
      </c>
      <c r="R629" s="27" t="s">
        <v>461</v>
      </c>
      <c r="S629" s="27" t="s">
        <v>476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21736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0x000054E8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37</v>
      </c>
      <c r="I630" s="101" t="str">
        <f>DEC2HEX(HEX2DEC(Table13[[#This Row],[Index]])/4+Table13[[#This Row],[SUB]],4)</f>
        <v>153B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402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21740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0x000054EC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38</v>
      </c>
      <c r="I631" s="101" t="str">
        <f>DEC2HEX(HEX2DEC(Table13[[#This Row],[Index]])/4+Table13[[#This Row],[SUB]],4)</f>
        <v>153C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454</v>
      </c>
      <c r="P631" s="25">
        <v>1</v>
      </c>
      <c r="Q631" s="26" t="s">
        <v>80</v>
      </c>
      <c r="R631" s="27" t="s">
        <v>461</v>
      </c>
      <c r="S631" s="27" t="s">
        <v>476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21744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0x000054F0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39</v>
      </c>
      <c r="I632" s="101" t="str">
        <f>DEC2HEX(HEX2DEC(Table13[[#This Row],[Index]])/4+Table13[[#This Row],[SUB]],4)</f>
        <v>153D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402</v>
      </c>
      <c r="P632" s="25">
        <v>1</v>
      </c>
      <c r="Q632" s="26" t="s">
        <v>80</v>
      </c>
      <c r="R632" s="27" t="s">
        <v>461</v>
      </c>
      <c r="S632" s="27" t="s">
        <v>405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21748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0x000054F4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40</v>
      </c>
      <c r="I633" s="101" t="str">
        <f>DEC2HEX(HEX2DEC(Table13[[#This Row],[Index]])/4+Table13[[#This Row],[SUB]],4)</f>
        <v>153E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410</v>
      </c>
      <c r="S633" s="27" t="s">
        <v>476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21752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0x000054F8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41</v>
      </c>
      <c r="I634" s="101" t="str">
        <f>DEC2HEX(HEX2DEC(Table13[[#This Row],[Index]])/4+Table13[[#This Row],[SUB]],4)</f>
        <v>153F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275</v>
      </c>
      <c r="O634" s="25" t="s">
        <v>96</v>
      </c>
      <c r="P634" s="25">
        <v>1</v>
      </c>
      <c r="Q634" s="26" t="s">
        <v>80</v>
      </c>
      <c r="R634" s="27" t="s">
        <v>410</v>
      </c>
      <c r="S634" s="27" t="s">
        <v>476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21756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0x000054FC</v>
      </c>
    </row>
    <row r="635" spans="2:39" s="6" customFormat="1" x14ac:dyDescent="0.3">
      <c r="B635" s="14"/>
      <c r="C635" s="14"/>
      <c r="D635" s="14"/>
      <c r="E635" s="24"/>
      <c r="F635" s="24"/>
      <c r="G635" s="14"/>
      <c r="H635" s="15"/>
      <c r="I635" s="29"/>
      <c r="J635" s="15"/>
      <c r="K635" s="15"/>
      <c r="L635" s="14"/>
      <c r="M635" s="35"/>
      <c r="N635" s="15"/>
      <c r="O635" s="25"/>
      <c r="P635" s="25"/>
      <c r="Q635" s="26"/>
      <c r="R635" s="27"/>
      <c r="S635" s="27"/>
      <c r="T635" s="27"/>
      <c r="U635" s="28"/>
      <c r="V635" s="14"/>
      <c r="W635" s="14"/>
      <c r="X635" s="30"/>
      <c r="Y635" s="30"/>
      <c r="Z635" s="64"/>
      <c r="AA635" s="64"/>
      <c r="AB635" s="79"/>
      <c r="AC635" s="12"/>
      <c r="AD635" s="79"/>
      <c r="AE635" s="79"/>
      <c r="AF635" s="68"/>
      <c r="AG635" s="75"/>
      <c r="AH635" s="75"/>
      <c r="AI635" s="68"/>
      <c r="AJ635" s="68"/>
      <c r="AK635" s="68"/>
      <c r="AL635" s="24"/>
      <c r="AM635" s="24"/>
    </row>
    <row r="636" spans="2:39" s="6" customFormat="1" x14ac:dyDescent="0.3">
      <c r="B636" s="12">
        <v>4100</v>
      </c>
      <c r="C636" s="14" t="s">
        <v>2</v>
      </c>
      <c r="D636" s="14" t="s">
        <v>380</v>
      </c>
      <c r="E636" s="24" t="s">
        <v>349</v>
      </c>
      <c r="F636" s="24">
        <v>1</v>
      </c>
      <c r="G636" s="14" t="s">
        <v>896</v>
      </c>
      <c r="H636" s="15" t="s">
        <v>54</v>
      </c>
      <c r="I636" s="101" t="str">
        <f>DEC2HEX(HEX2DEC(Table13[[#This Row],[Index]])/4+Table13[[#This Row],[SUB]],4)</f>
        <v>1040</v>
      </c>
      <c r="J636" s="15" t="s">
        <v>747</v>
      </c>
      <c r="K636" s="15" t="s">
        <v>891</v>
      </c>
      <c r="L636" s="14">
        <v>32</v>
      </c>
      <c r="M636" s="35">
        <v>0</v>
      </c>
      <c r="N636" s="15" t="s">
        <v>105</v>
      </c>
      <c r="O636" s="25" t="s">
        <v>96</v>
      </c>
      <c r="P636" s="25">
        <v>1</v>
      </c>
      <c r="Q636" s="26" t="s">
        <v>80</v>
      </c>
      <c r="R636" s="27" t="s">
        <v>93</v>
      </c>
      <c r="S636" s="27" t="s">
        <v>239</v>
      </c>
      <c r="T636" s="27">
        <v>0</v>
      </c>
      <c r="U636" s="28"/>
      <c r="V636" s="14"/>
      <c r="W636" s="14"/>
      <c r="X636" s="30" t="str">
        <f>IF(Table13[[#This Row],[value Type]]="","",VLOOKUP(Table13[[#This Row],[value Type]],Table2915[],2,FALSE))</f>
        <v>stringout</v>
      </c>
      <c r="Y636" s="30" t="str">
        <f>IF(Table13[[#This Row],[value Type]]="","",VLOOKUP(Table13[[#This Row],[value Type]],Table2915[],3,FALSE))</f>
        <v>asynParamOctet</v>
      </c>
      <c r="Z636" s="64" t="str">
        <f>IF(Table13[[#This Row],[value Type]]="","",VLOOKUP(Table13[[#This Row],[value Type]],Table2915[],4,FALSE))</f>
        <v xml:space="preserve"> </v>
      </c>
      <c r="AA636" s="64" t="str">
        <f>IF(Table13[[#This Row],[value Type]]="","",    IF(Table13[[#This Row],[IP MAX]]="","","@"  )     )</f>
        <v>@</v>
      </c>
      <c r="AB636" s="79" t="str">
        <f>IF(Table13[[#This Row],[value Type]]="","",VLOOKUP(Table13[[#This Row],[value Type]],Table2915[],5,FALSE))</f>
        <v xml:space="preserve"> </v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xIPx_EVR@_PORTFREQ_0</v>
      </c>
      <c r="AD636" s="79">
        <f>IF(Table13[[#This Row],[value Type]]="","",VLOOKUP(Table13[[#This Row],[IP]],Table51117[],2,FALSE))</f>
        <v>2</v>
      </c>
      <c r="AE636" s="79" t="str">
        <f>IF(Table13[[#This Row],[value Type]]="","",    IF(Table13[[#This Row],[IP MAX]]="","0","@"  )     )</f>
        <v>@</v>
      </c>
      <c r="AF636" s="68">
        <f>IF(Table13[[#This Row],[value Type]]="","",VLOOKUP(Table13[[#This Row],[Acc Type]],Table2[],2,FALSE))</f>
        <v>1</v>
      </c>
      <c r="AG636" s="75">
        <f>IF(Table13[[#This Row],[value Type]]="","",4*HEX2DEC(Table13[[#This Row],[Addr'[HEX']]]))</f>
        <v>16640</v>
      </c>
      <c r="AH636" s="75">
        <f>IF(Table13[[#This Row],[value Type]]="","",VLOOKUP(Table13[[#This Row],[AddrTypeI]],Table22[],2,FALSE))</f>
        <v>0</v>
      </c>
      <c r="AI636" s="68">
        <f>IF(Table13[[#This Row],[value Type]]="","",VLOOKUP(Table13[[#This Row],[DataType]],Table351218[],2,FALSE))</f>
        <v>11</v>
      </c>
      <c r="AJ636" s="68">
        <f>IF(Table13[[#This Row],[value Type]]="","",Table13[[#This Row],[DataWidth]])</f>
        <v>32</v>
      </c>
      <c r="AK636" s="68">
        <f>IF(Table13[[#This Row],[value Type]]="","", Table13[[#This Row],[DataOffset]])</f>
        <v>0</v>
      </c>
      <c r="AL636" s="24"/>
      <c r="AM636" s="24" t="str">
        <f>IF(Table13[[#This Row],[value Type]]="","", "0x"&amp;DEC2HEX(Table13[[#This Row],[ADDR_Offset]],8) )</f>
        <v>0x00004100</v>
      </c>
    </row>
    <row r="637" spans="2:39" s="6" customFormat="1" x14ac:dyDescent="0.3">
      <c r="B637" s="12">
        <f t="shared" ref="B637:B667" si="8">B636</f>
        <v>4100</v>
      </c>
      <c r="C637" s="14" t="s">
        <v>2</v>
      </c>
      <c r="D637" s="14" t="s">
        <v>380</v>
      </c>
      <c r="E637" s="24" t="s">
        <v>349</v>
      </c>
      <c r="F637" s="24">
        <v>1</v>
      </c>
      <c r="G637" s="14" t="s">
        <v>896</v>
      </c>
      <c r="H637" s="15" t="s">
        <v>19</v>
      </c>
      <c r="I637" s="101" t="str">
        <f>DEC2HEX(HEX2DEC(Table13[[#This Row],[Index]])/4+Table13[[#This Row],[SUB]],4)</f>
        <v>1041</v>
      </c>
      <c r="J637" s="15" t="s">
        <v>747</v>
      </c>
      <c r="K637" s="15" t="s">
        <v>891</v>
      </c>
      <c r="L637" s="14">
        <v>32</v>
      </c>
      <c r="M637" s="35">
        <v>0</v>
      </c>
      <c r="N637" s="15" t="s">
        <v>105</v>
      </c>
      <c r="O637" s="25" t="s">
        <v>96</v>
      </c>
      <c r="P637" s="25">
        <v>1</v>
      </c>
      <c r="Q637" s="26" t="s">
        <v>80</v>
      </c>
      <c r="R637" s="27" t="s">
        <v>93</v>
      </c>
      <c r="S637" s="27" t="s">
        <v>239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stringout</v>
      </c>
      <c r="Y637" s="30" t="str">
        <f>IF(Table13[[#This Row],[value Type]]="","",VLOOKUP(Table13[[#This Row],[value Type]],Table2915[],3,FALSE))</f>
        <v>asynParamOctet</v>
      </c>
      <c r="Z637" s="64" t="str">
        <f>IF(Table13[[#This Row],[value Type]]="","",VLOOKUP(Table13[[#This Row],[value Type]],Table2915[],4,FALSE))</f>
        <v xml:space="preserve"> 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1</v>
      </c>
      <c r="AG637" s="75">
        <f>IF(Table13[[#This Row],[value Type]]="","",4*HEX2DEC(Table13[[#This Row],[Addr'[HEX']]]))</f>
        <v>16644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11</v>
      </c>
      <c r="AJ637" s="68">
        <f>IF(Table13[[#This Row],[value Type]]="","",Table13[[#This Row],[DataWidth]])</f>
        <v>32</v>
      </c>
      <c r="AK637" s="68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0x00004104</v>
      </c>
    </row>
    <row r="638" spans="2:39" s="6" customFormat="1" x14ac:dyDescent="0.3">
      <c r="B638" s="12">
        <f t="shared" si="8"/>
        <v>4100</v>
      </c>
      <c r="C638" s="14" t="s">
        <v>2</v>
      </c>
      <c r="D638" s="14" t="s">
        <v>380</v>
      </c>
      <c r="E638" s="24" t="s">
        <v>349</v>
      </c>
      <c r="F638" s="24">
        <v>1</v>
      </c>
      <c r="G638" s="14" t="s">
        <v>896</v>
      </c>
      <c r="H638" s="15" t="s">
        <v>6</v>
      </c>
      <c r="I638" s="101" t="str">
        <f>DEC2HEX(HEX2DEC(Table13[[#This Row],[Index]])/4+Table13[[#This Row],[SUB]],4)</f>
        <v>1042</v>
      </c>
      <c r="J638" s="15" t="s">
        <v>747</v>
      </c>
      <c r="K638" s="15" t="s">
        <v>891</v>
      </c>
      <c r="L638" s="14">
        <v>32</v>
      </c>
      <c r="M638" s="35">
        <v>0</v>
      </c>
      <c r="N638" s="15" t="s">
        <v>105</v>
      </c>
      <c r="O638" s="25" t="s">
        <v>96</v>
      </c>
      <c r="P638" s="25">
        <v>1</v>
      </c>
      <c r="Q638" s="26" t="s">
        <v>80</v>
      </c>
      <c r="R638" s="27" t="s">
        <v>93</v>
      </c>
      <c r="S638" s="27" t="s">
        <v>239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stringout</v>
      </c>
      <c r="Y638" s="30" t="str">
        <f>IF(Table13[[#This Row],[value Type]]="","",VLOOKUP(Table13[[#This Row],[value Type]],Table2915[],3,FALSE))</f>
        <v>asynParamOctet</v>
      </c>
      <c r="Z638" s="64" t="str">
        <f>IF(Table13[[#This Row],[value Type]]="","",VLOOKUP(Table13[[#This Row],[value Type]],Table2915[],4,FALSE))</f>
        <v xml:space="preserve"> 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1</v>
      </c>
      <c r="AG638" s="75">
        <f>IF(Table13[[#This Row],[value Type]]="","",4*HEX2DEC(Table13[[#This Row],[Addr'[HEX']]]))</f>
        <v>16648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11</v>
      </c>
      <c r="AJ638" s="68">
        <f>IF(Table13[[#This Row],[value Type]]="","",Table13[[#This Row],[DataWidth]])</f>
        <v>32</v>
      </c>
      <c r="AK638" s="68">
        <f>IF(Table13[[#This Row],[value Type]]="","", Table13[[#This Row],[DataOffset]])</f>
        <v>0</v>
      </c>
      <c r="AL638" s="24"/>
      <c r="AM638" s="24" t="str">
        <f>IF(Table13[[#This Row],[value Type]]="","", "0x"&amp;DEC2HEX(Table13[[#This Row],[ADDR_Offset]],8) )</f>
        <v>0x00004108</v>
      </c>
    </row>
    <row r="639" spans="2:39" s="6" customFormat="1" x14ac:dyDescent="0.3">
      <c r="B639" s="12">
        <f t="shared" si="8"/>
        <v>4100</v>
      </c>
      <c r="C639" s="14" t="s">
        <v>2</v>
      </c>
      <c r="D639" s="14" t="s">
        <v>380</v>
      </c>
      <c r="E639" s="24" t="s">
        <v>349</v>
      </c>
      <c r="F639" s="24">
        <v>1</v>
      </c>
      <c r="G639" s="14" t="s">
        <v>896</v>
      </c>
      <c r="H639" s="15" t="s">
        <v>7</v>
      </c>
      <c r="I639" s="101" t="str">
        <f>DEC2HEX(HEX2DEC(Table13[[#This Row],[Index]])/4+Table13[[#This Row],[SUB]],4)</f>
        <v>1043</v>
      </c>
      <c r="J639" s="15" t="s">
        <v>747</v>
      </c>
      <c r="K639" s="15" t="s">
        <v>891</v>
      </c>
      <c r="L639" s="14">
        <v>32</v>
      </c>
      <c r="M639" s="35">
        <v>0</v>
      </c>
      <c r="N639" s="15" t="s">
        <v>105</v>
      </c>
      <c r="O639" s="25" t="s">
        <v>96</v>
      </c>
      <c r="P639" s="25">
        <v>1</v>
      </c>
      <c r="Q639" s="26" t="s">
        <v>80</v>
      </c>
      <c r="R639" s="27" t="s">
        <v>93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stringout</v>
      </c>
      <c r="Y639" s="30" t="str">
        <f>IF(Table13[[#This Row],[value Type]]="","",VLOOKUP(Table13[[#This Row],[value Type]],Table2915[],3,FALSE))</f>
        <v>asynParamOctet</v>
      </c>
      <c r="Z639" s="64" t="str">
        <f>IF(Table13[[#This Row],[value Type]]="","",VLOOKUP(Table13[[#This Row],[value Type]],Table2915[],4,FALSE))</f>
        <v xml:space="preserve"> 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1</v>
      </c>
      <c r="AG639" s="75">
        <f>IF(Table13[[#This Row],[value Type]]="","",4*HEX2DEC(Table13[[#This Row],[Addr'[HEX']]]))</f>
        <v>16652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11</v>
      </c>
      <c r="AJ639" s="68">
        <f>IF(Table13[[#This Row],[value Type]]="","",Table13[[#This Row],[DataWidth]])</f>
        <v>32</v>
      </c>
      <c r="AK639" s="68">
        <f>IF(Table13[[#This Row],[value Type]]="","", Table13[[#This Row],[DataOffset]])</f>
        <v>0</v>
      </c>
      <c r="AL639" s="24"/>
      <c r="AM639" s="24" t="str">
        <f>IF(Table13[[#This Row],[value Type]]="","", "0x"&amp;DEC2HEX(Table13[[#This Row],[ADDR_Offset]],8) )</f>
        <v>0x0000410C</v>
      </c>
    </row>
    <row r="640" spans="2:39" s="6" customFormat="1" x14ac:dyDescent="0.3">
      <c r="B640" s="12">
        <f t="shared" si="8"/>
        <v>4100</v>
      </c>
      <c r="C640" s="14" t="s">
        <v>2</v>
      </c>
      <c r="D640" s="14" t="s">
        <v>380</v>
      </c>
      <c r="E640" s="24" t="s">
        <v>349</v>
      </c>
      <c r="F640" s="24">
        <v>1</v>
      </c>
      <c r="G640" s="14" t="s">
        <v>896</v>
      </c>
      <c r="H640" s="15" t="s">
        <v>8</v>
      </c>
      <c r="I640" s="101" t="str">
        <f>DEC2HEX(HEX2DEC(Table13[[#This Row],[Index]])/4+Table13[[#This Row],[SUB]],4)</f>
        <v>1044</v>
      </c>
      <c r="J640" s="15" t="s">
        <v>747</v>
      </c>
      <c r="K640" s="15" t="s">
        <v>891</v>
      </c>
      <c r="L640" s="14">
        <v>32</v>
      </c>
      <c r="M640" s="35">
        <v>0</v>
      </c>
      <c r="N640" s="15" t="s">
        <v>105</v>
      </c>
      <c r="O640" s="25" t="s">
        <v>96</v>
      </c>
      <c r="P640" s="25">
        <v>1</v>
      </c>
      <c r="Q640" s="26" t="s">
        <v>80</v>
      </c>
      <c r="R640" s="27" t="s">
        <v>93</v>
      </c>
      <c r="S640" s="27" t="s">
        <v>239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stringout</v>
      </c>
      <c r="Y640" s="30" t="str">
        <f>IF(Table13[[#This Row],[value Type]]="","",VLOOKUP(Table13[[#This Row],[value Type]],Table2915[],3,FALSE))</f>
        <v>asynParamOctet</v>
      </c>
      <c r="Z640" s="64" t="str">
        <f>IF(Table13[[#This Row],[value Type]]="","",VLOOKUP(Table13[[#This Row],[value Type]],Table2915[],4,FALSE))</f>
        <v xml:space="preserve"> 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xIPx_EVR@_PORTFREQ_4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1</v>
      </c>
      <c r="AG640" s="75">
        <f>IF(Table13[[#This Row],[value Type]]="","",4*HEX2DEC(Table13[[#This Row],[Addr'[HEX']]]))</f>
        <v>16656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11</v>
      </c>
      <c r="AJ640" s="68">
        <f>IF(Table13[[#This Row],[value Type]]="","",Table13[[#This Row],[DataWidth]])</f>
        <v>32</v>
      </c>
      <c r="AK640" s="68">
        <f>IF(Table13[[#This Row],[value Type]]="","", Table13[[#This Row],[DataOffset]])</f>
        <v>0</v>
      </c>
      <c r="AL640" s="24"/>
      <c r="AM640" s="24" t="str">
        <f>IF(Table13[[#This Row],[value Type]]="","", "0x"&amp;DEC2HEX(Table13[[#This Row],[ADDR_Offset]],8) )</f>
        <v>0x00004110</v>
      </c>
    </row>
    <row r="641" spans="2:39" s="6" customFormat="1" x14ac:dyDescent="0.3">
      <c r="B641" s="12">
        <f t="shared" si="8"/>
        <v>4100</v>
      </c>
      <c r="C641" s="14" t="s">
        <v>2</v>
      </c>
      <c r="D641" s="14" t="s">
        <v>380</v>
      </c>
      <c r="E641" s="24" t="s">
        <v>349</v>
      </c>
      <c r="F641" s="24">
        <v>1</v>
      </c>
      <c r="G641" s="14" t="s">
        <v>896</v>
      </c>
      <c r="H641" s="15" t="s">
        <v>9</v>
      </c>
      <c r="I641" s="101" t="str">
        <f>DEC2HEX(HEX2DEC(Table13[[#This Row],[Index]])/4+Table13[[#This Row],[SUB]],4)</f>
        <v>1045</v>
      </c>
      <c r="J641" s="15" t="s">
        <v>747</v>
      </c>
      <c r="K641" s="15" t="s">
        <v>891</v>
      </c>
      <c r="L641" s="14">
        <v>32</v>
      </c>
      <c r="M641" s="35">
        <v>0</v>
      </c>
      <c r="N641" s="15" t="s">
        <v>105</v>
      </c>
      <c r="O641" s="25" t="s">
        <v>96</v>
      </c>
      <c r="P641" s="25">
        <v>1</v>
      </c>
      <c r="Q641" s="26" t="s">
        <v>80</v>
      </c>
      <c r="R641" s="27" t="s">
        <v>93</v>
      </c>
      <c r="S641" s="27" t="s">
        <v>239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stringout</v>
      </c>
      <c r="Y641" s="30" t="str">
        <f>IF(Table13[[#This Row],[value Type]]="","",VLOOKUP(Table13[[#This Row],[value Type]],Table2915[],3,FALSE))</f>
        <v>asynParamOctet</v>
      </c>
      <c r="Z641" s="64" t="str">
        <f>IF(Table13[[#This Row],[value Type]]="","",VLOOKUP(Table13[[#This Row],[value Type]],Table2915[],4,FALSE))</f>
        <v xml:space="preserve"> 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xIPx_EVR@_PORTFREQ_5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1</v>
      </c>
      <c r="AG641" s="75">
        <f>IF(Table13[[#This Row],[value Type]]="","",4*HEX2DEC(Table13[[#This Row],[Addr'[HEX']]]))</f>
        <v>16660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11</v>
      </c>
      <c r="AJ641" s="68">
        <f>IF(Table13[[#This Row],[value Type]]="","",Table13[[#This Row],[DataWidth]])</f>
        <v>32</v>
      </c>
      <c r="AK641" s="68">
        <f>IF(Table13[[#This Row],[value Type]]="","", Table13[[#This Row],[DataOffset]])</f>
        <v>0</v>
      </c>
      <c r="AL641" s="24"/>
      <c r="AM641" s="24" t="str">
        <f>IF(Table13[[#This Row],[value Type]]="","", "0x"&amp;DEC2HEX(Table13[[#This Row],[ADDR_Offset]],8) )</f>
        <v>0x00004114</v>
      </c>
    </row>
    <row r="642" spans="2:39" s="6" customFormat="1" x14ac:dyDescent="0.3">
      <c r="B642" s="12">
        <f t="shared" si="8"/>
        <v>4100</v>
      </c>
      <c r="C642" s="14" t="s">
        <v>2</v>
      </c>
      <c r="D642" s="14" t="s">
        <v>380</v>
      </c>
      <c r="E642" s="24" t="s">
        <v>349</v>
      </c>
      <c r="F642" s="24">
        <v>1</v>
      </c>
      <c r="G642" s="14" t="s">
        <v>896</v>
      </c>
      <c r="H642" s="15" t="s">
        <v>10</v>
      </c>
      <c r="I642" s="101" t="str">
        <f>DEC2HEX(HEX2DEC(Table13[[#This Row],[Index]])/4+Table13[[#This Row],[SUB]],4)</f>
        <v>1046</v>
      </c>
      <c r="J642" s="15" t="s">
        <v>747</v>
      </c>
      <c r="K642" s="15" t="s">
        <v>891</v>
      </c>
      <c r="L642" s="14">
        <v>32</v>
      </c>
      <c r="M642" s="35">
        <v>0</v>
      </c>
      <c r="N642" s="15" t="s">
        <v>105</v>
      </c>
      <c r="O642" s="25" t="s">
        <v>96</v>
      </c>
      <c r="P642" s="25">
        <v>1</v>
      </c>
      <c r="Q642" s="26" t="s">
        <v>80</v>
      </c>
      <c r="R642" s="27" t="s">
        <v>93</v>
      </c>
      <c r="S642" s="27" t="s">
        <v>239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stringout</v>
      </c>
      <c r="Y642" s="30" t="str">
        <f>IF(Table13[[#This Row],[value Type]]="","",VLOOKUP(Table13[[#This Row],[value Type]],Table2915[],3,FALSE))</f>
        <v>asynParamOctet</v>
      </c>
      <c r="Z642" s="64" t="str">
        <f>IF(Table13[[#This Row],[value Type]]="","",VLOOKUP(Table13[[#This Row],[value Type]],Table2915[],4,FALSE))</f>
        <v xml:space="preserve"> 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xIPx_EVR@_PORTFREQ_6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1</v>
      </c>
      <c r="AG642" s="75">
        <f>IF(Table13[[#This Row],[value Type]]="","",4*HEX2DEC(Table13[[#This Row],[Addr'[HEX']]]))</f>
        <v>16664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11</v>
      </c>
      <c r="AJ642" s="68">
        <f>IF(Table13[[#This Row],[value Type]]="","",Table13[[#This Row],[DataWidth]])</f>
        <v>32</v>
      </c>
      <c r="AK642" s="68">
        <f>IF(Table13[[#This Row],[value Type]]="","", Table13[[#This Row],[DataOffset]])</f>
        <v>0</v>
      </c>
      <c r="AL642" s="24"/>
      <c r="AM642" s="24" t="str">
        <f>IF(Table13[[#This Row],[value Type]]="","", "0x"&amp;DEC2HEX(Table13[[#This Row],[ADDR_Offset]],8) )</f>
        <v>0x00004118</v>
      </c>
    </row>
    <row r="643" spans="2:39" s="6" customFormat="1" x14ac:dyDescent="0.3">
      <c r="B643" s="12">
        <f t="shared" si="8"/>
        <v>4100</v>
      </c>
      <c r="C643" s="14" t="s">
        <v>2</v>
      </c>
      <c r="D643" s="14" t="s">
        <v>380</v>
      </c>
      <c r="E643" s="24" t="s">
        <v>349</v>
      </c>
      <c r="F643" s="24">
        <v>1</v>
      </c>
      <c r="G643" s="14" t="s">
        <v>896</v>
      </c>
      <c r="H643" s="15" t="s">
        <v>11</v>
      </c>
      <c r="I643" s="101" t="str">
        <f>DEC2HEX(HEX2DEC(Table13[[#This Row],[Index]])/4+Table13[[#This Row],[SUB]],4)</f>
        <v>1047</v>
      </c>
      <c r="J643" s="15" t="s">
        <v>747</v>
      </c>
      <c r="K643" s="15" t="s">
        <v>891</v>
      </c>
      <c r="L643" s="14">
        <v>32</v>
      </c>
      <c r="M643" s="35">
        <v>0</v>
      </c>
      <c r="N643" s="15" t="s">
        <v>105</v>
      </c>
      <c r="O643" s="25" t="s">
        <v>96</v>
      </c>
      <c r="P643" s="25">
        <v>1</v>
      </c>
      <c r="Q643" s="26" t="s">
        <v>80</v>
      </c>
      <c r="R643" s="27" t="s">
        <v>93</v>
      </c>
      <c r="S643" s="27" t="s">
        <v>239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stringout</v>
      </c>
      <c r="Y643" s="30" t="str">
        <f>IF(Table13[[#This Row],[value Type]]="","",VLOOKUP(Table13[[#This Row],[value Type]],Table2915[],3,FALSE))</f>
        <v>asynParamOctet</v>
      </c>
      <c r="Z643" s="64" t="str">
        <f>IF(Table13[[#This Row],[value Type]]="","",VLOOKUP(Table13[[#This Row],[value Type]],Table2915[],4,FALSE))</f>
        <v xml:space="preserve"> 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xIPx_EVR@_PORTFREQ_7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1</v>
      </c>
      <c r="AG643" s="75">
        <f>IF(Table13[[#This Row],[value Type]]="","",4*HEX2DEC(Table13[[#This Row],[Addr'[HEX']]]))</f>
        <v>16668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11</v>
      </c>
      <c r="AJ643" s="68">
        <f>IF(Table13[[#This Row],[value Type]]="","",Table13[[#This Row],[DataWidth]])</f>
        <v>32</v>
      </c>
      <c r="AK643" s="68">
        <f>IF(Table13[[#This Row],[value Type]]="","", Table13[[#This Row],[DataOffset]])</f>
        <v>0</v>
      </c>
      <c r="AL643" s="24"/>
      <c r="AM643" s="24" t="str">
        <f>IF(Table13[[#This Row],[value Type]]="","", "0x"&amp;DEC2HEX(Table13[[#This Row],[ADDR_Offset]],8) )</f>
        <v>0x0000411C</v>
      </c>
    </row>
    <row r="644" spans="2:39" s="6" customFormat="1" x14ac:dyDescent="0.3">
      <c r="B644" s="12">
        <f t="shared" si="8"/>
        <v>4100</v>
      </c>
      <c r="C644" s="14" t="s">
        <v>2</v>
      </c>
      <c r="D644" s="14" t="s">
        <v>380</v>
      </c>
      <c r="E644" s="24" t="s">
        <v>349</v>
      </c>
      <c r="F644" s="24">
        <v>1</v>
      </c>
      <c r="G644" s="14" t="s">
        <v>896</v>
      </c>
      <c r="H644" s="15" t="s">
        <v>12</v>
      </c>
      <c r="I644" s="101" t="str">
        <f>DEC2HEX(HEX2DEC(Table13[[#This Row],[Index]])/4+Table13[[#This Row],[SUB]],4)</f>
        <v>1048</v>
      </c>
      <c r="J644" s="15" t="s">
        <v>747</v>
      </c>
      <c r="K644" s="15" t="s">
        <v>891</v>
      </c>
      <c r="L644" s="14">
        <v>32</v>
      </c>
      <c r="M644" s="35">
        <v>0</v>
      </c>
      <c r="N644" s="15" t="s">
        <v>105</v>
      </c>
      <c r="O644" s="25" t="s">
        <v>96</v>
      </c>
      <c r="P644" s="25">
        <v>1</v>
      </c>
      <c r="Q644" s="26" t="s">
        <v>80</v>
      </c>
      <c r="R644" s="27" t="s">
        <v>93</v>
      </c>
      <c r="S644" s="27" t="s">
        <v>239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stringout</v>
      </c>
      <c r="Y644" s="30" t="str">
        <f>IF(Table13[[#This Row],[value Type]]="","",VLOOKUP(Table13[[#This Row],[value Type]],Table2915[],3,FALSE))</f>
        <v>asynParamOctet</v>
      </c>
      <c r="Z644" s="64" t="str">
        <f>IF(Table13[[#This Row],[value Type]]="","",VLOOKUP(Table13[[#This Row],[value Type]],Table2915[],4,FALSE))</f>
        <v xml:space="preserve"> 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xIPx_EVR@_PORTFREQ_8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1</v>
      </c>
      <c r="AG644" s="75">
        <f>IF(Table13[[#This Row],[value Type]]="","",4*HEX2DEC(Table13[[#This Row],[Addr'[HEX']]]))</f>
        <v>16672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11</v>
      </c>
      <c r="AJ644" s="68">
        <f>IF(Table13[[#This Row],[value Type]]="","",Table13[[#This Row],[DataWidth]])</f>
        <v>32</v>
      </c>
      <c r="AK644" s="68">
        <f>IF(Table13[[#This Row],[value Type]]="","", Table13[[#This Row],[DataOffset]])</f>
        <v>0</v>
      </c>
      <c r="AL644" s="24"/>
      <c r="AM644" s="24" t="str">
        <f>IF(Table13[[#This Row],[value Type]]="","", "0x"&amp;DEC2HEX(Table13[[#This Row],[ADDR_Offset]],8) )</f>
        <v>0x00004120</v>
      </c>
    </row>
    <row r="645" spans="2:39" s="6" customFormat="1" x14ac:dyDescent="0.3">
      <c r="B645" s="12">
        <f t="shared" si="8"/>
        <v>4100</v>
      </c>
      <c r="C645" s="14" t="s">
        <v>2</v>
      </c>
      <c r="D645" s="14" t="s">
        <v>380</v>
      </c>
      <c r="E645" s="24" t="s">
        <v>349</v>
      </c>
      <c r="F645" s="24">
        <v>1</v>
      </c>
      <c r="G645" s="14" t="s">
        <v>896</v>
      </c>
      <c r="H645" s="15" t="s">
        <v>13</v>
      </c>
      <c r="I645" s="101" t="str">
        <f>DEC2HEX(HEX2DEC(Table13[[#This Row],[Index]])/4+Table13[[#This Row],[SUB]],4)</f>
        <v>1049</v>
      </c>
      <c r="J645" s="15" t="s">
        <v>747</v>
      </c>
      <c r="K645" s="15" t="s">
        <v>891</v>
      </c>
      <c r="L645" s="14">
        <v>32</v>
      </c>
      <c r="M645" s="35">
        <v>0</v>
      </c>
      <c r="N645" s="15" t="s">
        <v>105</v>
      </c>
      <c r="O645" s="25" t="s">
        <v>96</v>
      </c>
      <c r="P645" s="25">
        <v>1</v>
      </c>
      <c r="Q645" s="26" t="s">
        <v>80</v>
      </c>
      <c r="R645" s="27" t="s">
        <v>93</v>
      </c>
      <c r="S645" s="27" t="s">
        <v>239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stringout</v>
      </c>
      <c r="Y645" s="30" t="str">
        <f>IF(Table13[[#This Row],[value Type]]="","",VLOOKUP(Table13[[#This Row],[value Type]],Table2915[],3,FALSE))</f>
        <v>asynParamOctet</v>
      </c>
      <c r="Z645" s="64" t="str">
        <f>IF(Table13[[#This Row],[value Type]]="","",VLOOKUP(Table13[[#This Row],[value Type]],Table2915[],4,FALSE))</f>
        <v xml:space="preserve"> 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xIPx_EVR@_PORTFREQ_9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1</v>
      </c>
      <c r="AG645" s="75">
        <f>IF(Table13[[#This Row],[value Type]]="","",4*HEX2DEC(Table13[[#This Row],[Addr'[HEX']]]))</f>
        <v>16676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11</v>
      </c>
      <c r="AJ645" s="68">
        <f>IF(Table13[[#This Row],[value Type]]="","",Table13[[#This Row],[DataWidth]])</f>
        <v>32</v>
      </c>
      <c r="AK645" s="68">
        <f>IF(Table13[[#This Row],[value Type]]="","", Table13[[#This Row],[DataOffset]])</f>
        <v>0</v>
      </c>
      <c r="AL645" s="24"/>
      <c r="AM645" s="24" t="str">
        <f>IF(Table13[[#This Row],[value Type]]="","", "0x"&amp;DEC2HEX(Table13[[#This Row],[ADDR_Offset]],8) )</f>
        <v>0x00004124</v>
      </c>
    </row>
    <row r="646" spans="2:39" s="6" customFormat="1" x14ac:dyDescent="0.3">
      <c r="B646" s="12">
        <f t="shared" si="8"/>
        <v>4100</v>
      </c>
      <c r="C646" s="14" t="s">
        <v>2</v>
      </c>
      <c r="D646" s="14" t="s">
        <v>380</v>
      </c>
      <c r="E646" s="24" t="s">
        <v>349</v>
      </c>
      <c r="F646" s="24">
        <v>1</v>
      </c>
      <c r="G646" s="14" t="s">
        <v>896</v>
      </c>
      <c r="H646" s="15" t="s">
        <v>20</v>
      </c>
      <c r="I646" s="101" t="str">
        <f>DEC2HEX(HEX2DEC(Table13[[#This Row],[Index]])/4+Table13[[#This Row],[SUB]],4)</f>
        <v>104A</v>
      </c>
      <c r="J646" s="15" t="s">
        <v>747</v>
      </c>
      <c r="K646" s="15" t="s">
        <v>891</v>
      </c>
      <c r="L646" s="14">
        <v>32</v>
      </c>
      <c r="M646" s="35">
        <v>0</v>
      </c>
      <c r="N646" s="15" t="s">
        <v>105</v>
      </c>
      <c r="O646" s="25" t="s">
        <v>96</v>
      </c>
      <c r="P646" s="25">
        <v>1</v>
      </c>
      <c r="Q646" s="26" t="s">
        <v>80</v>
      </c>
      <c r="R646" s="27" t="s">
        <v>93</v>
      </c>
      <c r="S646" s="27" t="s">
        <v>239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stringout</v>
      </c>
      <c r="Y646" s="30" t="str">
        <f>IF(Table13[[#This Row],[value Type]]="","",VLOOKUP(Table13[[#This Row],[value Type]],Table2915[],3,FALSE))</f>
        <v>asynParamOctet</v>
      </c>
      <c r="Z646" s="64" t="str">
        <f>IF(Table13[[#This Row],[value Type]]="","",VLOOKUP(Table13[[#This Row],[value Type]],Table2915[],4,FALSE))</f>
        <v xml:space="preserve"> 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xIPx_EVR@_PORTFREQ_10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1</v>
      </c>
      <c r="AG646" s="75">
        <f>IF(Table13[[#This Row],[value Type]]="","",4*HEX2DEC(Table13[[#This Row],[Addr'[HEX']]]))</f>
        <v>16680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11</v>
      </c>
      <c r="AJ646" s="68">
        <f>IF(Table13[[#This Row],[value Type]]="","",Table13[[#This Row],[DataWidth]])</f>
        <v>32</v>
      </c>
      <c r="AK646" s="68">
        <f>IF(Table13[[#This Row],[value Type]]="","", Table13[[#This Row],[DataOffset]])</f>
        <v>0</v>
      </c>
      <c r="AL646" s="24"/>
      <c r="AM646" s="24" t="str">
        <f>IF(Table13[[#This Row],[value Type]]="","", "0x"&amp;DEC2HEX(Table13[[#This Row],[ADDR_Offset]],8) )</f>
        <v>0x00004128</v>
      </c>
    </row>
    <row r="647" spans="2:39" s="6" customFormat="1" x14ac:dyDescent="0.3">
      <c r="B647" s="12">
        <f t="shared" si="8"/>
        <v>4100</v>
      </c>
      <c r="C647" s="14" t="s">
        <v>2</v>
      </c>
      <c r="D647" s="14" t="s">
        <v>380</v>
      </c>
      <c r="E647" s="24" t="s">
        <v>349</v>
      </c>
      <c r="F647" s="24">
        <v>1</v>
      </c>
      <c r="G647" s="14" t="s">
        <v>896</v>
      </c>
      <c r="H647" s="15" t="s">
        <v>21</v>
      </c>
      <c r="I647" s="101" t="str">
        <f>DEC2HEX(HEX2DEC(Table13[[#This Row],[Index]])/4+Table13[[#This Row],[SUB]],4)</f>
        <v>104B</v>
      </c>
      <c r="J647" s="15" t="s">
        <v>747</v>
      </c>
      <c r="K647" s="15" t="s">
        <v>891</v>
      </c>
      <c r="L647" s="14">
        <v>32</v>
      </c>
      <c r="M647" s="35">
        <v>0</v>
      </c>
      <c r="N647" s="15" t="s">
        <v>105</v>
      </c>
      <c r="O647" s="25" t="s">
        <v>96</v>
      </c>
      <c r="P647" s="25">
        <v>1</v>
      </c>
      <c r="Q647" s="26" t="s">
        <v>80</v>
      </c>
      <c r="R647" s="27" t="s">
        <v>93</v>
      </c>
      <c r="S647" s="27" t="s">
        <v>239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stringout</v>
      </c>
      <c r="Y647" s="30" t="str">
        <f>IF(Table13[[#This Row],[value Type]]="","",VLOOKUP(Table13[[#This Row],[value Type]],Table2915[],3,FALSE))</f>
        <v>asynParamOctet</v>
      </c>
      <c r="Z647" s="64" t="str">
        <f>IF(Table13[[#This Row],[value Type]]="","",VLOOKUP(Table13[[#This Row],[value Type]],Table2915[],4,FALSE))</f>
        <v xml:space="preserve"> 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xIPx_EVR@_PORTFREQ_11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1</v>
      </c>
      <c r="AG647" s="75">
        <f>IF(Table13[[#This Row],[value Type]]="","",4*HEX2DEC(Table13[[#This Row],[Addr'[HEX']]]))</f>
        <v>16684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11</v>
      </c>
      <c r="AJ647" s="68">
        <f>IF(Table13[[#This Row],[value Type]]="","",Table13[[#This Row],[DataWidth]])</f>
        <v>32</v>
      </c>
      <c r="AK647" s="68">
        <f>IF(Table13[[#This Row],[value Type]]="","", Table13[[#This Row],[DataOffset]])</f>
        <v>0</v>
      </c>
      <c r="AL647" s="24"/>
      <c r="AM647" s="24" t="str">
        <f>IF(Table13[[#This Row],[value Type]]="","", "0x"&amp;DEC2HEX(Table13[[#This Row],[ADDR_Offset]],8) )</f>
        <v>0x0000412C</v>
      </c>
    </row>
    <row r="648" spans="2:39" s="6" customFormat="1" x14ac:dyDescent="0.3">
      <c r="B648" s="12">
        <f t="shared" si="8"/>
        <v>4100</v>
      </c>
      <c r="C648" s="14" t="s">
        <v>2</v>
      </c>
      <c r="D648" s="14" t="s">
        <v>380</v>
      </c>
      <c r="E648" s="24" t="s">
        <v>349</v>
      </c>
      <c r="F648" s="24">
        <v>1</v>
      </c>
      <c r="G648" s="14" t="s">
        <v>896</v>
      </c>
      <c r="H648" s="15" t="s">
        <v>22</v>
      </c>
      <c r="I648" s="101" t="str">
        <f>DEC2HEX(HEX2DEC(Table13[[#This Row],[Index]])/4+Table13[[#This Row],[SUB]],4)</f>
        <v>104C</v>
      </c>
      <c r="J648" s="15" t="s">
        <v>747</v>
      </c>
      <c r="K648" s="15" t="s">
        <v>891</v>
      </c>
      <c r="L648" s="14">
        <v>32</v>
      </c>
      <c r="M648" s="35">
        <v>0</v>
      </c>
      <c r="N648" s="15" t="s">
        <v>105</v>
      </c>
      <c r="O648" s="25" t="s">
        <v>96</v>
      </c>
      <c r="P648" s="25">
        <v>1</v>
      </c>
      <c r="Q648" s="26" t="s">
        <v>80</v>
      </c>
      <c r="R648" s="27" t="s">
        <v>93</v>
      </c>
      <c r="S648" s="27" t="s">
        <v>239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stringout</v>
      </c>
      <c r="Y648" s="30" t="str">
        <f>IF(Table13[[#This Row],[value Type]]="","",VLOOKUP(Table13[[#This Row],[value Type]],Table2915[],3,FALSE))</f>
        <v>asynParamOctet</v>
      </c>
      <c r="Z648" s="64" t="str">
        <f>IF(Table13[[#This Row],[value Type]]="","",VLOOKUP(Table13[[#This Row],[value Type]],Table2915[],4,FALSE))</f>
        <v xml:space="preserve"> 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xIPx_EVR@_PORTFREQ_12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1</v>
      </c>
      <c r="AG648" s="75">
        <f>IF(Table13[[#This Row],[value Type]]="","",4*HEX2DEC(Table13[[#This Row],[Addr'[HEX']]]))</f>
        <v>16688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11</v>
      </c>
      <c r="AJ648" s="68">
        <f>IF(Table13[[#This Row],[value Type]]="","",Table13[[#This Row],[DataWidth]])</f>
        <v>32</v>
      </c>
      <c r="AK648" s="68">
        <f>IF(Table13[[#This Row],[value Type]]="","", Table13[[#This Row],[DataOffset]])</f>
        <v>0</v>
      </c>
      <c r="AL648" s="24"/>
      <c r="AM648" s="24" t="str">
        <f>IF(Table13[[#This Row],[value Type]]="","", "0x"&amp;DEC2HEX(Table13[[#This Row],[ADDR_Offset]],8) )</f>
        <v>0x00004130</v>
      </c>
    </row>
    <row r="649" spans="2:39" s="6" customFormat="1" x14ac:dyDescent="0.3">
      <c r="B649" s="12">
        <f t="shared" si="8"/>
        <v>4100</v>
      </c>
      <c r="C649" s="14" t="s">
        <v>2</v>
      </c>
      <c r="D649" s="14" t="s">
        <v>380</v>
      </c>
      <c r="E649" s="24" t="s">
        <v>349</v>
      </c>
      <c r="F649" s="24">
        <v>1</v>
      </c>
      <c r="G649" s="14" t="s">
        <v>896</v>
      </c>
      <c r="H649" s="15" t="s">
        <v>23</v>
      </c>
      <c r="I649" s="101" t="str">
        <f>DEC2HEX(HEX2DEC(Table13[[#This Row],[Index]])/4+Table13[[#This Row],[SUB]],4)</f>
        <v>104D</v>
      </c>
      <c r="J649" s="15" t="s">
        <v>747</v>
      </c>
      <c r="K649" s="15" t="s">
        <v>891</v>
      </c>
      <c r="L649" s="14">
        <v>32</v>
      </c>
      <c r="M649" s="35">
        <v>0</v>
      </c>
      <c r="N649" s="15" t="s">
        <v>105</v>
      </c>
      <c r="O649" s="25" t="s">
        <v>96</v>
      </c>
      <c r="P649" s="25">
        <v>1</v>
      </c>
      <c r="Q649" s="26" t="s">
        <v>80</v>
      </c>
      <c r="R649" s="27" t="s">
        <v>93</v>
      </c>
      <c r="S649" s="27" t="s">
        <v>239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stringout</v>
      </c>
      <c r="Y649" s="30" t="str">
        <f>IF(Table13[[#This Row],[value Type]]="","",VLOOKUP(Table13[[#This Row],[value Type]],Table2915[],3,FALSE))</f>
        <v>asynParamOctet</v>
      </c>
      <c r="Z649" s="64" t="str">
        <f>IF(Table13[[#This Row],[value Type]]="","",VLOOKUP(Table13[[#This Row],[value Type]],Table2915[],4,FALSE))</f>
        <v xml:space="preserve"> 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xIPx_EVR@_PORTFREQ_13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1</v>
      </c>
      <c r="AG649" s="75">
        <f>IF(Table13[[#This Row],[value Type]]="","",4*HEX2DEC(Table13[[#This Row],[Addr'[HEX']]]))</f>
        <v>16692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11</v>
      </c>
      <c r="AJ649" s="68">
        <f>IF(Table13[[#This Row],[value Type]]="","",Table13[[#This Row],[DataWidth]])</f>
        <v>32</v>
      </c>
      <c r="AK649" s="68">
        <f>IF(Table13[[#This Row],[value Type]]="","", Table13[[#This Row],[DataOffset]])</f>
        <v>0</v>
      </c>
      <c r="AL649" s="24"/>
      <c r="AM649" s="24" t="str">
        <f>IF(Table13[[#This Row],[value Type]]="","", "0x"&amp;DEC2HEX(Table13[[#This Row],[ADDR_Offset]],8) )</f>
        <v>0x00004134</v>
      </c>
    </row>
    <row r="650" spans="2:39" s="6" customFormat="1" x14ac:dyDescent="0.3">
      <c r="B650" s="12">
        <f t="shared" si="8"/>
        <v>4100</v>
      </c>
      <c r="C650" s="14" t="s">
        <v>2</v>
      </c>
      <c r="D650" s="14" t="s">
        <v>380</v>
      </c>
      <c r="E650" s="24" t="s">
        <v>349</v>
      </c>
      <c r="F650" s="24">
        <v>1</v>
      </c>
      <c r="G650" s="14" t="s">
        <v>896</v>
      </c>
      <c r="H650" s="15" t="s">
        <v>24</v>
      </c>
      <c r="I650" s="101" t="str">
        <f>DEC2HEX(HEX2DEC(Table13[[#This Row],[Index]])/4+Table13[[#This Row],[SUB]],4)</f>
        <v>104E</v>
      </c>
      <c r="J650" s="15" t="s">
        <v>747</v>
      </c>
      <c r="K650" s="15" t="s">
        <v>891</v>
      </c>
      <c r="L650" s="14">
        <v>32</v>
      </c>
      <c r="M650" s="35">
        <v>0</v>
      </c>
      <c r="N650" s="15" t="s">
        <v>105</v>
      </c>
      <c r="O650" s="25" t="s">
        <v>96</v>
      </c>
      <c r="P650" s="25">
        <v>1</v>
      </c>
      <c r="Q650" s="26" t="s">
        <v>80</v>
      </c>
      <c r="R650" s="27" t="s">
        <v>93</v>
      </c>
      <c r="S650" s="27" t="s">
        <v>239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stringout</v>
      </c>
      <c r="Y650" s="30" t="str">
        <f>IF(Table13[[#This Row],[value Type]]="","",VLOOKUP(Table13[[#This Row],[value Type]],Table2915[],3,FALSE))</f>
        <v>asynParamOctet</v>
      </c>
      <c r="Z650" s="64" t="str">
        <f>IF(Table13[[#This Row],[value Type]]="","",VLOOKUP(Table13[[#This Row],[value Type]],Table2915[],4,FALSE))</f>
        <v xml:space="preserve"> 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xIPx_EVR@_PORTFREQ_14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1</v>
      </c>
      <c r="AG650" s="75">
        <f>IF(Table13[[#This Row],[value Type]]="","",4*HEX2DEC(Table13[[#This Row],[Addr'[HEX']]]))</f>
        <v>16696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11</v>
      </c>
      <c r="AJ650" s="68">
        <f>IF(Table13[[#This Row],[value Type]]="","",Table13[[#This Row],[DataWidth]])</f>
        <v>32</v>
      </c>
      <c r="AK650" s="68">
        <f>IF(Table13[[#This Row],[value Type]]="","", Table13[[#This Row],[DataOffset]])</f>
        <v>0</v>
      </c>
      <c r="AL650" s="24"/>
      <c r="AM650" s="24" t="str">
        <f>IF(Table13[[#This Row],[value Type]]="","", "0x"&amp;DEC2HEX(Table13[[#This Row],[ADDR_Offset]],8) )</f>
        <v>0x00004138</v>
      </c>
    </row>
    <row r="651" spans="2:39" s="6" customFormat="1" x14ac:dyDescent="0.3">
      <c r="B651" s="12">
        <f t="shared" si="8"/>
        <v>4100</v>
      </c>
      <c r="C651" s="14" t="s">
        <v>2</v>
      </c>
      <c r="D651" s="14" t="s">
        <v>380</v>
      </c>
      <c r="E651" s="24" t="s">
        <v>349</v>
      </c>
      <c r="F651" s="24">
        <v>1</v>
      </c>
      <c r="G651" s="14" t="s">
        <v>896</v>
      </c>
      <c r="H651" s="15" t="s">
        <v>25</v>
      </c>
      <c r="I651" s="101" t="str">
        <f>DEC2HEX(HEX2DEC(Table13[[#This Row],[Index]])/4+Table13[[#This Row],[SUB]],4)</f>
        <v>104F</v>
      </c>
      <c r="J651" s="15" t="s">
        <v>747</v>
      </c>
      <c r="K651" s="15" t="s">
        <v>891</v>
      </c>
      <c r="L651" s="14">
        <v>32</v>
      </c>
      <c r="M651" s="35">
        <v>0</v>
      </c>
      <c r="N651" s="15" t="s">
        <v>105</v>
      </c>
      <c r="O651" s="25" t="s">
        <v>96</v>
      </c>
      <c r="P651" s="25">
        <v>1</v>
      </c>
      <c r="Q651" s="26" t="s">
        <v>80</v>
      </c>
      <c r="R651" s="27" t="s">
        <v>93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stringout</v>
      </c>
      <c r="Y651" s="30" t="str">
        <f>IF(Table13[[#This Row],[value Type]]="","",VLOOKUP(Table13[[#This Row],[value Type]],Table2915[],3,FALSE))</f>
        <v>asynParamOctet</v>
      </c>
      <c r="Z651" s="64" t="str">
        <f>IF(Table13[[#This Row],[value Type]]="","",VLOOKUP(Table13[[#This Row],[value Type]],Table2915[],4,FALSE))</f>
        <v xml:space="preserve"> 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xIPx_EVR@_PORTFREQ_15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1</v>
      </c>
      <c r="AG651" s="75">
        <f>IF(Table13[[#This Row],[value Type]]="","",4*HEX2DEC(Table13[[#This Row],[Addr'[HEX']]]))</f>
        <v>16700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11</v>
      </c>
      <c r="AJ651" s="68">
        <f>IF(Table13[[#This Row],[value Type]]="","",Table13[[#This Row],[DataWidth]])</f>
        <v>32</v>
      </c>
      <c r="AK651" s="68">
        <f>IF(Table13[[#This Row],[value Type]]="","", Table13[[#This Row],[DataOffset]])</f>
        <v>0</v>
      </c>
      <c r="AL651" s="24"/>
      <c r="AM651" s="24" t="str">
        <f>IF(Table13[[#This Row],[value Type]]="","", "0x"&amp;DEC2HEX(Table13[[#This Row],[ADDR_Offset]],8) )</f>
        <v>0x0000413C</v>
      </c>
    </row>
    <row r="652" spans="2:39" s="6" customFormat="1" x14ac:dyDescent="0.3">
      <c r="B652" s="12">
        <f t="shared" si="8"/>
        <v>4100</v>
      </c>
      <c r="C652" s="14" t="s">
        <v>2</v>
      </c>
      <c r="D652" s="14" t="s">
        <v>380</v>
      </c>
      <c r="E652" s="24" t="s">
        <v>349</v>
      </c>
      <c r="F652" s="24">
        <v>1</v>
      </c>
      <c r="G652" s="14" t="s">
        <v>896</v>
      </c>
      <c r="H652" s="15" t="s">
        <v>26</v>
      </c>
      <c r="I652" s="101" t="str">
        <f>DEC2HEX(HEX2DEC(Table13[[#This Row],[Index]])/4+Table13[[#This Row],[SUB]],4)</f>
        <v>1050</v>
      </c>
      <c r="J652" s="15" t="s">
        <v>747</v>
      </c>
      <c r="K652" s="15" t="s">
        <v>891</v>
      </c>
      <c r="L652" s="14">
        <v>32</v>
      </c>
      <c r="M652" s="35">
        <v>0</v>
      </c>
      <c r="N652" s="15" t="s">
        <v>105</v>
      </c>
      <c r="O652" s="25" t="s">
        <v>96</v>
      </c>
      <c r="P652" s="25">
        <v>1</v>
      </c>
      <c r="Q652" s="26" t="s">
        <v>80</v>
      </c>
      <c r="R652" s="27" t="s">
        <v>93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stringout</v>
      </c>
      <c r="Y652" s="30" t="str">
        <f>IF(Table13[[#This Row],[value Type]]="","",VLOOKUP(Table13[[#This Row],[value Type]],Table2915[],3,FALSE))</f>
        <v>asynParamOctet</v>
      </c>
      <c r="Z652" s="64" t="str">
        <f>IF(Table13[[#This Row],[value Type]]="","",VLOOKUP(Table13[[#This Row],[value Type]],Table2915[],4,FALSE))</f>
        <v xml:space="preserve"> 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xIPx_EVR@_PORTFREQ_16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1</v>
      </c>
      <c r="AG652" s="75">
        <f>IF(Table13[[#This Row],[value Type]]="","",4*HEX2DEC(Table13[[#This Row],[Addr'[HEX']]]))</f>
        <v>16704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11</v>
      </c>
      <c r="AJ652" s="68">
        <f>IF(Table13[[#This Row],[value Type]]="","",Table13[[#This Row],[DataWidth]])</f>
        <v>32</v>
      </c>
      <c r="AK652" s="68">
        <f>IF(Table13[[#This Row],[value Type]]="","", Table13[[#This Row],[DataOffset]])</f>
        <v>0</v>
      </c>
      <c r="AL652" s="24"/>
      <c r="AM652" s="24" t="str">
        <f>IF(Table13[[#This Row],[value Type]]="","", "0x"&amp;DEC2HEX(Table13[[#This Row],[ADDR_Offset]],8) )</f>
        <v>0x00004140</v>
      </c>
    </row>
    <row r="653" spans="2:39" s="6" customFormat="1" x14ac:dyDescent="0.3">
      <c r="B653" s="12">
        <f t="shared" si="8"/>
        <v>4100</v>
      </c>
      <c r="C653" s="14" t="s">
        <v>2</v>
      </c>
      <c r="D653" s="14" t="s">
        <v>380</v>
      </c>
      <c r="E653" s="24" t="s">
        <v>349</v>
      </c>
      <c r="F653" s="24">
        <v>1</v>
      </c>
      <c r="G653" s="14" t="s">
        <v>896</v>
      </c>
      <c r="H653" s="15" t="s">
        <v>27</v>
      </c>
      <c r="I653" s="101" t="str">
        <f>DEC2HEX(HEX2DEC(Table13[[#This Row],[Index]])/4+Table13[[#This Row],[SUB]],4)</f>
        <v>1051</v>
      </c>
      <c r="J653" s="15" t="s">
        <v>747</v>
      </c>
      <c r="K653" s="15" t="s">
        <v>891</v>
      </c>
      <c r="L653" s="14">
        <v>32</v>
      </c>
      <c r="M653" s="35">
        <v>0</v>
      </c>
      <c r="N653" s="15" t="s">
        <v>105</v>
      </c>
      <c r="O653" s="25" t="s">
        <v>96</v>
      </c>
      <c r="P653" s="25">
        <v>1</v>
      </c>
      <c r="Q653" s="26" t="s">
        <v>80</v>
      </c>
      <c r="R653" s="27" t="s">
        <v>93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stringout</v>
      </c>
      <c r="Y653" s="30" t="str">
        <f>IF(Table13[[#This Row],[value Type]]="","",VLOOKUP(Table13[[#This Row],[value Type]],Table2915[],3,FALSE))</f>
        <v>asynParamOctet</v>
      </c>
      <c r="Z653" s="64" t="str">
        <f>IF(Table13[[#This Row],[value Type]]="","",VLOOKUP(Table13[[#This Row],[value Type]],Table2915[],4,FALSE))</f>
        <v xml:space="preserve"> 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xIPx_EVR@_PORTFREQ_17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1</v>
      </c>
      <c r="AG653" s="75">
        <f>IF(Table13[[#This Row],[value Type]]="","",4*HEX2DEC(Table13[[#This Row],[Addr'[HEX']]]))</f>
        <v>16708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11</v>
      </c>
      <c r="AJ653" s="68">
        <f>IF(Table13[[#This Row],[value Type]]="","",Table13[[#This Row],[DataWidth]])</f>
        <v>32</v>
      </c>
      <c r="AK653" s="68">
        <f>IF(Table13[[#This Row],[value Type]]="","", Table13[[#This Row],[DataOffset]])</f>
        <v>0</v>
      </c>
      <c r="AL653" s="24"/>
      <c r="AM653" s="24" t="str">
        <f>IF(Table13[[#This Row],[value Type]]="","", "0x"&amp;DEC2HEX(Table13[[#This Row],[ADDR_Offset]],8) )</f>
        <v>0x00004144</v>
      </c>
    </row>
    <row r="654" spans="2:39" s="6" customFormat="1" x14ac:dyDescent="0.3">
      <c r="B654" s="12">
        <f t="shared" si="8"/>
        <v>4100</v>
      </c>
      <c r="C654" s="14" t="s">
        <v>2</v>
      </c>
      <c r="D654" s="14" t="s">
        <v>380</v>
      </c>
      <c r="E654" s="24" t="s">
        <v>349</v>
      </c>
      <c r="F654" s="24">
        <v>1</v>
      </c>
      <c r="G654" s="14" t="s">
        <v>896</v>
      </c>
      <c r="H654" s="15" t="s">
        <v>28</v>
      </c>
      <c r="I654" s="101" t="str">
        <f>DEC2HEX(HEX2DEC(Table13[[#This Row],[Index]])/4+Table13[[#This Row],[SUB]],4)</f>
        <v>1052</v>
      </c>
      <c r="J654" s="15" t="s">
        <v>747</v>
      </c>
      <c r="K654" s="15" t="s">
        <v>891</v>
      </c>
      <c r="L654" s="14">
        <v>32</v>
      </c>
      <c r="M654" s="35">
        <v>0</v>
      </c>
      <c r="N654" s="15" t="s">
        <v>105</v>
      </c>
      <c r="O654" s="25" t="s">
        <v>96</v>
      </c>
      <c r="P654" s="25">
        <v>1</v>
      </c>
      <c r="Q654" s="26" t="s">
        <v>80</v>
      </c>
      <c r="R654" s="27" t="s">
        <v>93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stringout</v>
      </c>
      <c r="Y654" s="30" t="str">
        <f>IF(Table13[[#This Row],[value Type]]="","",VLOOKUP(Table13[[#This Row],[value Type]],Table2915[],3,FALSE))</f>
        <v>asynParamOctet</v>
      </c>
      <c r="Z654" s="64" t="str">
        <f>IF(Table13[[#This Row],[value Type]]="","",VLOOKUP(Table13[[#This Row],[value Type]],Table2915[],4,FALSE))</f>
        <v xml:space="preserve"> 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xIPx_EVR@_PORTFREQ_18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1</v>
      </c>
      <c r="AG654" s="75">
        <f>IF(Table13[[#This Row],[value Type]]="","",4*HEX2DEC(Table13[[#This Row],[Addr'[HEX']]]))</f>
        <v>16712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11</v>
      </c>
      <c r="AJ654" s="68">
        <f>IF(Table13[[#This Row],[value Type]]="","",Table13[[#This Row],[DataWidth]])</f>
        <v>32</v>
      </c>
      <c r="AK654" s="68">
        <f>IF(Table13[[#This Row],[value Type]]="","", Table13[[#This Row],[DataOffset]])</f>
        <v>0</v>
      </c>
      <c r="AL654" s="24"/>
      <c r="AM654" s="24" t="str">
        <f>IF(Table13[[#This Row],[value Type]]="","", "0x"&amp;DEC2HEX(Table13[[#This Row],[ADDR_Offset]],8) )</f>
        <v>0x00004148</v>
      </c>
    </row>
    <row r="655" spans="2:39" s="6" customFormat="1" x14ac:dyDescent="0.3">
      <c r="B655" s="12">
        <f t="shared" si="8"/>
        <v>4100</v>
      </c>
      <c r="C655" s="14" t="s">
        <v>2</v>
      </c>
      <c r="D655" s="14" t="s">
        <v>380</v>
      </c>
      <c r="E655" s="24" t="s">
        <v>349</v>
      </c>
      <c r="F655" s="24">
        <v>1</v>
      </c>
      <c r="G655" s="14" t="s">
        <v>896</v>
      </c>
      <c r="H655" s="15" t="s">
        <v>29</v>
      </c>
      <c r="I655" s="101" t="str">
        <f>DEC2HEX(HEX2DEC(Table13[[#This Row],[Index]])/4+Table13[[#This Row],[SUB]],4)</f>
        <v>1053</v>
      </c>
      <c r="J655" s="15" t="s">
        <v>747</v>
      </c>
      <c r="K655" s="15" t="s">
        <v>891</v>
      </c>
      <c r="L655" s="14">
        <v>32</v>
      </c>
      <c r="M655" s="35">
        <v>0</v>
      </c>
      <c r="N655" s="15" t="s">
        <v>105</v>
      </c>
      <c r="O655" s="25" t="s">
        <v>96</v>
      </c>
      <c r="P655" s="25">
        <v>1</v>
      </c>
      <c r="Q655" s="26" t="s">
        <v>80</v>
      </c>
      <c r="R655" s="27" t="s">
        <v>93</v>
      </c>
      <c r="S655" s="27" t="s">
        <v>239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stringout</v>
      </c>
      <c r="Y655" s="30" t="str">
        <f>IF(Table13[[#This Row],[value Type]]="","",VLOOKUP(Table13[[#This Row],[value Type]],Table2915[],3,FALSE))</f>
        <v>asynParamOctet</v>
      </c>
      <c r="Z655" s="64" t="str">
        <f>IF(Table13[[#This Row],[value Type]]="","",VLOOKUP(Table13[[#This Row],[value Type]],Table2915[],4,FALSE))</f>
        <v xml:space="preserve"> 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xIPx_EVR@_PORTFREQ_19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1</v>
      </c>
      <c r="AG655" s="75">
        <f>IF(Table13[[#This Row],[value Type]]="","",4*HEX2DEC(Table13[[#This Row],[Addr'[HEX']]]))</f>
        <v>16716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11</v>
      </c>
      <c r="AJ655" s="68">
        <f>IF(Table13[[#This Row],[value Type]]="","",Table13[[#This Row],[DataWidth]])</f>
        <v>32</v>
      </c>
      <c r="AK655" s="68">
        <f>IF(Table13[[#This Row],[value Type]]="","", Table13[[#This Row],[DataOffset]])</f>
        <v>0</v>
      </c>
      <c r="AL655" s="24"/>
      <c r="AM655" s="24" t="str">
        <f>IF(Table13[[#This Row],[value Type]]="","", "0x"&amp;DEC2HEX(Table13[[#This Row],[ADDR_Offset]],8) )</f>
        <v>0x0000414C</v>
      </c>
    </row>
    <row r="656" spans="2:39" s="6" customFormat="1" x14ac:dyDescent="0.3">
      <c r="B656" s="12">
        <f t="shared" si="8"/>
        <v>4100</v>
      </c>
      <c r="C656" s="14" t="s">
        <v>2</v>
      </c>
      <c r="D656" s="14" t="s">
        <v>380</v>
      </c>
      <c r="E656" s="24" t="s">
        <v>349</v>
      </c>
      <c r="F656" s="24">
        <v>1</v>
      </c>
      <c r="G656" s="14" t="s">
        <v>896</v>
      </c>
      <c r="H656" s="15" t="s">
        <v>30</v>
      </c>
      <c r="I656" s="101" t="str">
        <f>DEC2HEX(HEX2DEC(Table13[[#This Row],[Index]])/4+Table13[[#This Row],[SUB]],4)</f>
        <v>1054</v>
      </c>
      <c r="J656" s="15" t="s">
        <v>747</v>
      </c>
      <c r="K656" s="15" t="s">
        <v>891</v>
      </c>
      <c r="L656" s="14">
        <v>32</v>
      </c>
      <c r="M656" s="35">
        <v>0</v>
      </c>
      <c r="N656" s="15" t="s">
        <v>105</v>
      </c>
      <c r="O656" s="25" t="s">
        <v>96</v>
      </c>
      <c r="P656" s="25">
        <v>1</v>
      </c>
      <c r="Q656" s="26" t="s">
        <v>80</v>
      </c>
      <c r="R656" s="27" t="s">
        <v>93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stringout</v>
      </c>
      <c r="Y656" s="30" t="str">
        <f>IF(Table13[[#This Row],[value Type]]="","",VLOOKUP(Table13[[#This Row],[value Type]],Table2915[],3,FALSE))</f>
        <v>asynParamOctet</v>
      </c>
      <c r="Z656" s="64" t="str">
        <f>IF(Table13[[#This Row],[value Type]]="","",VLOOKUP(Table13[[#This Row],[value Type]],Table2915[],4,FALSE))</f>
        <v xml:space="preserve"> 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xIPx_EVR@_PORTFREQ_20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1</v>
      </c>
      <c r="AG656" s="75">
        <f>IF(Table13[[#This Row],[value Type]]="","",4*HEX2DEC(Table13[[#This Row],[Addr'[HEX']]]))</f>
        <v>16720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11</v>
      </c>
      <c r="AJ656" s="68">
        <f>IF(Table13[[#This Row],[value Type]]="","",Table13[[#This Row],[DataWidth]])</f>
        <v>32</v>
      </c>
      <c r="AK656" s="68">
        <f>IF(Table13[[#This Row],[value Type]]="","", Table13[[#This Row],[DataOffset]])</f>
        <v>0</v>
      </c>
      <c r="AL656" s="24"/>
      <c r="AM656" s="24" t="str">
        <f>IF(Table13[[#This Row],[value Type]]="","", "0x"&amp;DEC2HEX(Table13[[#This Row],[ADDR_Offset]],8) )</f>
        <v>0x00004150</v>
      </c>
    </row>
    <row r="657" spans="2:39" s="6" customFormat="1" x14ac:dyDescent="0.3">
      <c r="B657" s="12">
        <f t="shared" si="8"/>
        <v>4100</v>
      </c>
      <c r="C657" s="14" t="s">
        <v>2</v>
      </c>
      <c r="D657" s="14" t="s">
        <v>380</v>
      </c>
      <c r="E657" s="24" t="s">
        <v>349</v>
      </c>
      <c r="F657" s="24">
        <v>1</v>
      </c>
      <c r="G657" s="14" t="s">
        <v>896</v>
      </c>
      <c r="H657" s="15" t="s">
        <v>31</v>
      </c>
      <c r="I657" s="101" t="str">
        <f>DEC2HEX(HEX2DEC(Table13[[#This Row],[Index]])/4+Table13[[#This Row],[SUB]],4)</f>
        <v>1055</v>
      </c>
      <c r="J657" s="15" t="s">
        <v>747</v>
      </c>
      <c r="K657" s="15" t="s">
        <v>891</v>
      </c>
      <c r="L657" s="14">
        <v>32</v>
      </c>
      <c r="M657" s="35">
        <v>0</v>
      </c>
      <c r="N657" s="15" t="s">
        <v>105</v>
      </c>
      <c r="O657" s="25" t="s">
        <v>96</v>
      </c>
      <c r="P657" s="25">
        <v>1</v>
      </c>
      <c r="Q657" s="26" t="s">
        <v>80</v>
      </c>
      <c r="R657" s="27" t="s">
        <v>93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stringout</v>
      </c>
      <c r="Y657" s="30" t="str">
        <f>IF(Table13[[#This Row],[value Type]]="","",VLOOKUP(Table13[[#This Row],[value Type]],Table2915[],3,FALSE))</f>
        <v>asynParamOctet</v>
      </c>
      <c r="Z657" s="64" t="str">
        <f>IF(Table13[[#This Row],[value Type]]="","",VLOOKUP(Table13[[#This Row],[value Type]],Table2915[],4,FALSE))</f>
        <v xml:space="preserve"> 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xIPx_EVR@_PORTFREQ_21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1</v>
      </c>
      <c r="AG657" s="75">
        <f>IF(Table13[[#This Row],[value Type]]="","",4*HEX2DEC(Table13[[#This Row],[Addr'[HEX']]]))</f>
        <v>16724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11</v>
      </c>
      <c r="AJ657" s="68">
        <f>IF(Table13[[#This Row],[value Type]]="","",Table13[[#This Row],[DataWidth]])</f>
        <v>32</v>
      </c>
      <c r="AK657" s="68">
        <f>IF(Table13[[#This Row],[value Type]]="","", Table13[[#This Row],[DataOffset]])</f>
        <v>0</v>
      </c>
      <c r="AL657" s="24"/>
      <c r="AM657" s="24" t="str">
        <f>IF(Table13[[#This Row],[value Type]]="","", "0x"&amp;DEC2HEX(Table13[[#This Row],[ADDR_Offset]],8) )</f>
        <v>0x00004154</v>
      </c>
    </row>
    <row r="658" spans="2:39" s="6" customFormat="1" x14ac:dyDescent="0.3">
      <c r="B658" s="12">
        <f t="shared" si="8"/>
        <v>4100</v>
      </c>
      <c r="C658" s="14" t="s">
        <v>2</v>
      </c>
      <c r="D658" s="14" t="s">
        <v>380</v>
      </c>
      <c r="E658" s="24" t="s">
        <v>349</v>
      </c>
      <c r="F658" s="24">
        <v>1</v>
      </c>
      <c r="G658" s="14" t="s">
        <v>896</v>
      </c>
      <c r="H658" s="15" t="s">
        <v>32</v>
      </c>
      <c r="I658" s="101" t="str">
        <f>DEC2HEX(HEX2DEC(Table13[[#This Row],[Index]])/4+Table13[[#This Row],[SUB]],4)</f>
        <v>1056</v>
      </c>
      <c r="J658" s="15" t="s">
        <v>747</v>
      </c>
      <c r="K658" s="15" t="s">
        <v>891</v>
      </c>
      <c r="L658" s="14">
        <v>32</v>
      </c>
      <c r="M658" s="35">
        <v>0</v>
      </c>
      <c r="N658" s="15" t="s">
        <v>105</v>
      </c>
      <c r="O658" s="25" t="s">
        <v>96</v>
      </c>
      <c r="P658" s="25">
        <v>1</v>
      </c>
      <c r="Q658" s="26" t="s">
        <v>80</v>
      </c>
      <c r="R658" s="27" t="s">
        <v>93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stringout</v>
      </c>
      <c r="Y658" s="30" t="str">
        <f>IF(Table13[[#This Row],[value Type]]="","",VLOOKUP(Table13[[#This Row],[value Type]],Table2915[],3,FALSE))</f>
        <v>asynParamOctet</v>
      </c>
      <c r="Z658" s="64" t="str">
        <f>IF(Table13[[#This Row],[value Type]]="","",VLOOKUP(Table13[[#This Row],[value Type]],Table2915[],4,FALSE))</f>
        <v xml:space="preserve"> 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xIPx_EVR@_PORTFREQ_22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1</v>
      </c>
      <c r="AG658" s="75">
        <f>IF(Table13[[#This Row],[value Type]]="","",4*HEX2DEC(Table13[[#This Row],[Addr'[HEX']]]))</f>
        <v>16728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11</v>
      </c>
      <c r="AJ658" s="68">
        <f>IF(Table13[[#This Row],[value Type]]="","",Table13[[#This Row],[DataWidth]])</f>
        <v>32</v>
      </c>
      <c r="AK658" s="68">
        <f>IF(Table13[[#This Row],[value Type]]="","", Table13[[#This Row],[DataOffset]])</f>
        <v>0</v>
      </c>
      <c r="AL658" s="24"/>
      <c r="AM658" s="24" t="str">
        <f>IF(Table13[[#This Row],[value Type]]="","", "0x"&amp;DEC2HEX(Table13[[#This Row],[ADDR_Offset]],8) )</f>
        <v>0x00004158</v>
      </c>
    </row>
    <row r="659" spans="2:39" s="6" customFormat="1" x14ac:dyDescent="0.3">
      <c r="B659" s="12">
        <f t="shared" si="8"/>
        <v>4100</v>
      </c>
      <c r="C659" s="14" t="s">
        <v>2</v>
      </c>
      <c r="D659" s="14" t="s">
        <v>380</v>
      </c>
      <c r="E659" s="24" t="s">
        <v>349</v>
      </c>
      <c r="F659" s="24">
        <v>1</v>
      </c>
      <c r="G659" s="14" t="s">
        <v>896</v>
      </c>
      <c r="H659" s="15" t="s">
        <v>33</v>
      </c>
      <c r="I659" s="101" t="str">
        <f>DEC2HEX(HEX2DEC(Table13[[#This Row],[Index]])/4+Table13[[#This Row],[SUB]],4)</f>
        <v>1057</v>
      </c>
      <c r="J659" s="15" t="s">
        <v>747</v>
      </c>
      <c r="K659" s="15" t="s">
        <v>891</v>
      </c>
      <c r="L659" s="14">
        <v>32</v>
      </c>
      <c r="M659" s="35">
        <v>0</v>
      </c>
      <c r="N659" s="15" t="s">
        <v>105</v>
      </c>
      <c r="O659" s="25" t="s">
        <v>96</v>
      </c>
      <c r="P659" s="25">
        <v>1</v>
      </c>
      <c r="Q659" s="26" t="s">
        <v>80</v>
      </c>
      <c r="R659" s="27" t="s">
        <v>93</v>
      </c>
      <c r="S659" s="27" t="s">
        <v>239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stringout</v>
      </c>
      <c r="Y659" s="30" t="str">
        <f>IF(Table13[[#This Row],[value Type]]="","",VLOOKUP(Table13[[#This Row],[value Type]],Table2915[],3,FALSE))</f>
        <v>asynParamOctet</v>
      </c>
      <c r="Z659" s="64" t="str">
        <f>IF(Table13[[#This Row],[value Type]]="","",VLOOKUP(Table13[[#This Row],[value Type]],Table2915[],4,FALSE))</f>
        <v xml:space="preserve"> 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xIPx_EVR@_PORTFREQ_23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1</v>
      </c>
      <c r="AG659" s="75">
        <f>IF(Table13[[#This Row],[value Type]]="","",4*HEX2DEC(Table13[[#This Row],[Addr'[HEX']]]))</f>
        <v>16732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11</v>
      </c>
      <c r="AJ659" s="68">
        <f>IF(Table13[[#This Row],[value Type]]="","",Table13[[#This Row],[DataWidth]])</f>
        <v>32</v>
      </c>
      <c r="AK659" s="68">
        <f>IF(Table13[[#This Row],[value Type]]="","", Table13[[#This Row],[DataOffset]])</f>
        <v>0</v>
      </c>
      <c r="AL659" s="24"/>
      <c r="AM659" s="24" t="str">
        <f>IF(Table13[[#This Row],[value Type]]="","", "0x"&amp;DEC2HEX(Table13[[#This Row],[ADDR_Offset]],8) )</f>
        <v>0x0000415C</v>
      </c>
    </row>
    <row r="660" spans="2:39" s="6" customFormat="1" x14ac:dyDescent="0.3">
      <c r="B660" s="12">
        <f t="shared" si="8"/>
        <v>4100</v>
      </c>
      <c r="C660" s="14" t="s">
        <v>2</v>
      </c>
      <c r="D660" s="14" t="s">
        <v>380</v>
      </c>
      <c r="E660" s="24" t="s">
        <v>349</v>
      </c>
      <c r="F660" s="24">
        <v>1</v>
      </c>
      <c r="G660" s="14" t="s">
        <v>896</v>
      </c>
      <c r="H660" s="15" t="s">
        <v>34</v>
      </c>
      <c r="I660" s="101" t="str">
        <f>DEC2HEX(HEX2DEC(Table13[[#This Row],[Index]])/4+Table13[[#This Row],[SUB]],4)</f>
        <v>1058</v>
      </c>
      <c r="J660" s="15" t="s">
        <v>747</v>
      </c>
      <c r="K660" s="15" t="s">
        <v>891</v>
      </c>
      <c r="L660" s="14">
        <v>32</v>
      </c>
      <c r="M660" s="35">
        <v>0</v>
      </c>
      <c r="N660" s="15" t="s">
        <v>105</v>
      </c>
      <c r="O660" s="25" t="s">
        <v>96</v>
      </c>
      <c r="P660" s="25">
        <v>1</v>
      </c>
      <c r="Q660" s="26" t="s">
        <v>80</v>
      </c>
      <c r="R660" s="27" t="s">
        <v>93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stringout</v>
      </c>
      <c r="Y660" s="30" t="str">
        <f>IF(Table13[[#This Row],[value Type]]="","",VLOOKUP(Table13[[#This Row],[value Type]],Table2915[],3,FALSE))</f>
        <v>asynParamOctet</v>
      </c>
      <c r="Z660" s="64" t="str">
        <f>IF(Table13[[#This Row],[value Type]]="","",VLOOKUP(Table13[[#This Row],[value Type]],Table2915[],4,FALSE))</f>
        <v xml:space="preserve"> 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xIPx_EVR@_PORTFREQ_24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1</v>
      </c>
      <c r="AG660" s="75">
        <f>IF(Table13[[#This Row],[value Type]]="","",4*HEX2DEC(Table13[[#This Row],[Addr'[HEX']]]))</f>
        <v>16736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11</v>
      </c>
      <c r="AJ660" s="68">
        <f>IF(Table13[[#This Row],[value Type]]="","",Table13[[#This Row],[DataWidth]])</f>
        <v>32</v>
      </c>
      <c r="AK660" s="68">
        <f>IF(Table13[[#This Row],[value Type]]="","", Table13[[#This Row],[DataOffset]])</f>
        <v>0</v>
      </c>
      <c r="AL660" s="24"/>
      <c r="AM660" s="24" t="str">
        <f>IF(Table13[[#This Row],[value Type]]="","", "0x"&amp;DEC2HEX(Table13[[#This Row],[ADDR_Offset]],8) )</f>
        <v>0x00004160</v>
      </c>
    </row>
    <row r="661" spans="2:39" s="6" customFormat="1" x14ac:dyDescent="0.3">
      <c r="B661" s="12">
        <f t="shared" si="8"/>
        <v>4100</v>
      </c>
      <c r="C661" s="14" t="s">
        <v>2</v>
      </c>
      <c r="D661" s="14" t="s">
        <v>380</v>
      </c>
      <c r="E661" s="24" t="s">
        <v>349</v>
      </c>
      <c r="F661" s="24">
        <v>1</v>
      </c>
      <c r="G661" s="14" t="s">
        <v>896</v>
      </c>
      <c r="H661" s="15" t="s">
        <v>35</v>
      </c>
      <c r="I661" s="101" t="str">
        <f>DEC2HEX(HEX2DEC(Table13[[#This Row],[Index]])/4+Table13[[#This Row],[SUB]],4)</f>
        <v>1059</v>
      </c>
      <c r="J661" s="15" t="s">
        <v>747</v>
      </c>
      <c r="K661" s="15" t="s">
        <v>891</v>
      </c>
      <c r="L661" s="14">
        <v>32</v>
      </c>
      <c r="M661" s="35">
        <v>0</v>
      </c>
      <c r="N661" s="15" t="s">
        <v>105</v>
      </c>
      <c r="O661" s="25" t="s">
        <v>96</v>
      </c>
      <c r="P661" s="25">
        <v>1</v>
      </c>
      <c r="Q661" s="26" t="s">
        <v>80</v>
      </c>
      <c r="R661" s="27" t="s">
        <v>93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stringout</v>
      </c>
      <c r="Y661" s="30" t="str">
        <f>IF(Table13[[#This Row],[value Type]]="","",VLOOKUP(Table13[[#This Row],[value Type]],Table2915[],3,FALSE))</f>
        <v>asynParamOctet</v>
      </c>
      <c r="Z661" s="64" t="str">
        <f>IF(Table13[[#This Row],[value Type]]="","",VLOOKUP(Table13[[#This Row],[value Type]],Table2915[],4,FALSE))</f>
        <v xml:space="preserve"> 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xIPx_EVR@_PORTFREQ_25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1</v>
      </c>
      <c r="AG661" s="75">
        <f>IF(Table13[[#This Row],[value Type]]="","",4*HEX2DEC(Table13[[#This Row],[Addr'[HEX']]]))</f>
        <v>16740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11</v>
      </c>
      <c r="AJ661" s="68">
        <f>IF(Table13[[#This Row],[value Type]]="","",Table13[[#This Row],[DataWidth]])</f>
        <v>32</v>
      </c>
      <c r="AK661" s="68">
        <f>IF(Table13[[#This Row],[value Type]]="","", Table13[[#This Row],[DataOffset]])</f>
        <v>0</v>
      </c>
      <c r="AL661" s="24"/>
      <c r="AM661" s="24" t="str">
        <f>IF(Table13[[#This Row],[value Type]]="","", "0x"&amp;DEC2HEX(Table13[[#This Row],[ADDR_Offset]],8) )</f>
        <v>0x00004164</v>
      </c>
    </row>
    <row r="662" spans="2:39" s="6" customFormat="1" x14ac:dyDescent="0.3">
      <c r="B662" s="12">
        <f t="shared" si="8"/>
        <v>4100</v>
      </c>
      <c r="C662" s="14" t="s">
        <v>2</v>
      </c>
      <c r="D662" s="14" t="s">
        <v>380</v>
      </c>
      <c r="E662" s="24" t="s">
        <v>349</v>
      </c>
      <c r="F662" s="24">
        <v>1</v>
      </c>
      <c r="G662" s="14" t="s">
        <v>896</v>
      </c>
      <c r="H662" s="15" t="s">
        <v>36</v>
      </c>
      <c r="I662" s="101" t="str">
        <f>DEC2HEX(HEX2DEC(Table13[[#This Row],[Index]])/4+Table13[[#This Row],[SUB]],4)</f>
        <v>105A</v>
      </c>
      <c r="J662" s="15" t="s">
        <v>747</v>
      </c>
      <c r="K662" s="15" t="s">
        <v>891</v>
      </c>
      <c r="L662" s="14">
        <v>32</v>
      </c>
      <c r="M662" s="35">
        <v>0</v>
      </c>
      <c r="N662" s="15" t="s">
        <v>105</v>
      </c>
      <c r="O662" s="25" t="s">
        <v>96</v>
      </c>
      <c r="P662" s="25">
        <v>1</v>
      </c>
      <c r="Q662" s="26" t="s">
        <v>80</v>
      </c>
      <c r="R662" s="27" t="s">
        <v>93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stringout</v>
      </c>
      <c r="Y662" s="30" t="str">
        <f>IF(Table13[[#This Row],[value Type]]="","",VLOOKUP(Table13[[#This Row],[value Type]],Table2915[],3,FALSE))</f>
        <v>asynParamOctet</v>
      </c>
      <c r="Z662" s="64" t="str">
        <f>IF(Table13[[#This Row],[value Type]]="","",VLOOKUP(Table13[[#This Row],[value Type]],Table2915[],4,FALSE))</f>
        <v xml:space="preserve"> 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xIPx_EVR@_PORTFREQ_26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1</v>
      </c>
      <c r="AG662" s="75">
        <f>IF(Table13[[#This Row],[value Type]]="","",4*HEX2DEC(Table13[[#This Row],[Addr'[HEX']]]))</f>
        <v>16744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11</v>
      </c>
      <c r="AJ662" s="68">
        <f>IF(Table13[[#This Row],[value Type]]="","",Table13[[#This Row],[DataWidth]])</f>
        <v>32</v>
      </c>
      <c r="AK662" s="68">
        <f>IF(Table13[[#This Row],[value Type]]="","", Table13[[#This Row],[DataOffset]])</f>
        <v>0</v>
      </c>
      <c r="AL662" s="24"/>
      <c r="AM662" s="24" t="str">
        <f>IF(Table13[[#This Row],[value Type]]="","", "0x"&amp;DEC2HEX(Table13[[#This Row],[ADDR_Offset]],8) )</f>
        <v>0x00004168</v>
      </c>
    </row>
    <row r="663" spans="2:39" s="6" customFormat="1" x14ac:dyDescent="0.3">
      <c r="B663" s="12">
        <f t="shared" si="8"/>
        <v>4100</v>
      </c>
      <c r="C663" s="14" t="s">
        <v>2</v>
      </c>
      <c r="D663" s="14" t="s">
        <v>380</v>
      </c>
      <c r="E663" s="24" t="s">
        <v>349</v>
      </c>
      <c r="F663" s="24">
        <v>1</v>
      </c>
      <c r="G663" s="14" t="s">
        <v>896</v>
      </c>
      <c r="H663" s="15" t="s">
        <v>37</v>
      </c>
      <c r="I663" s="101" t="str">
        <f>DEC2HEX(HEX2DEC(Table13[[#This Row],[Index]])/4+Table13[[#This Row],[SUB]],4)</f>
        <v>105B</v>
      </c>
      <c r="J663" s="15" t="s">
        <v>747</v>
      </c>
      <c r="K663" s="15" t="s">
        <v>891</v>
      </c>
      <c r="L663" s="14">
        <v>32</v>
      </c>
      <c r="M663" s="35">
        <v>0</v>
      </c>
      <c r="N663" s="15" t="s">
        <v>105</v>
      </c>
      <c r="O663" s="25" t="s">
        <v>96</v>
      </c>
      <c r="P663" s="25">
        <v>1</v>
      </c>
      <c r="Q663" s="26" t="s">
        <v>80</v>
      </c>
      <c r="R663" s="27" t="s">
        <v>93</v>
      </c>
      <c r="S663" s="27" t="s">
        <v>239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stringout</v>
      </c>
      <c r="Y663" s="30" t="str">
        <f>IF(Table13[[#This Row],[value Type]]="","",VLOOKUP(Table13[[#This Row],[value Type]],Table2915[],3,FALSE))</f>
        <v>asynParamOctet</v>
      </c>
      <c r="Z663" s="64" t="str">
        <f>IF(Table13[[#This Row],[value Type]]="","",VLOOKUP(Table13[[#This Row],[value Type]],Table2915[],4,FALSE))</f>
        <v xml:space="preserve"> 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xIPx_EVR@_PORTFREQ_27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1</v>
      </c>
      <c r="AG663" s="75">
        <f>IF(Table13[[#This Row],[value Type]]="","",4*HEX2DEC(Table13[[#This Row],[Addr'[HEX']]]))</f>
        <v>16748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11</v>
      </c>
      <c r="AJ663" s="68">
        <f>IF(Table13[[#This Row],[value Type]]="","",Table13[[#This Row],[DataWidth]])</f>
        <v>32</v>
      </c>
      <c r="AK663" s="68">
        <f>IF(Table13[[#This Row],[value Type]]="","", Table13[[#This Row],[DataOffset]])</f>
        <v>0</v>
      </c>
      <c r="AL663" s="24"/>
      <c r="AM663" s="24" t="str">
        <f>IF(Table13[[#This Row],[value Type]]="","", "0x"&amp;DEC2HEX(Table13[[#This Row],[ADDR_Offset]],8) )</f>
        <v>0x0000416C</v>
      </c>
    </row>
    <row r="664" spans="2:39" s="6" customFormat="1" x14ac:dyDescent="0.3">
      <c r="B664" s="12">
        <f t="shared" si="8"/>
        <v>4100</v>
      </c>
      <c r="C664" s="14" t="s">
        <v>2</v>
      </c>
      <c r="D664" s="14" t="s">
        <v>380</v>
      </c>
      <c r="E664" s="24" t="s">
        <v>349</v>
      </c>
      <c r="F664" s="24">
        <v>1</v>
      </c>
      <c r="G664" s="14" t="s">
        <v>896</v>
      </c>
      <c r="H664" s="15" t="s">
        <v>38</v>
      </c>
      <c r="I664" s="101" t="str">
        <f>DEC2HEX(HEX2DEC(Table13[[#This Row],[Index]])/4+Table13[[#This Row],[SUB]],4)</f>
        <v>105C</v>
      </c>
      <c r="J664" s="15" t="s">
        <v>747</v>
      </c>
      <c r="K664" s="15" t="s">
        <v>891</v>
      </c>
      <c r="L664" s="14">
        <v>32</v>
      </c>
      <c r="M664" s="35">
        <v>0</v>
      </c>
      <c r="N664" s="15" t="s">
        <v>105</v>
      </c>
      <c r="O664" s="25" t="s">
        <v>96</v>
      </c>
      <c r="P664" s="25">
        <v>1</v>
      </c>
      <c r="Q664" s="26" t="s">
        <v>80</v>
      </c>
      <c r="R664" s="27" t="s">
        <v>93</v>
      </c>
      <c r="S664" s="27" t="s">
        <v>239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stringout</v>
      </c>
      <c r="Y664" s="30" t="str">
        <f>IF(Table13[[#This Row],[value Type]]="","",VLOOKUP(Table13[[#This Row],[value Type]],Table2915[],3,FALSE))</f>
        <v>asynParamOctet</v>
      </c>
      <c r="Z664" s="64" t="str">
        <f>IF(Table13[[#This Row],[value Type]]="","",VLOOKUP(Table13[[#This Row],[value Type]],Table2915[],4,FALSE))</f>
        <v xml:space="preserve"> 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xIPx_EVR@_PORTFREQ_28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1</v>
      </c>
      <c r="AG664" s="75">
        <f>IF(Table13[[#This Row],[value Type]]="","",4*HEX2DEC(Table13[[#This Row],[Addr'[HEX']]]))</f>
        <v>16752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11</v>
      </c>
      <c r="AJ664" s="68">
        <f>IF(Table13[[#This Row],[value Type]]="","",Table13[[#This Row],[DataWidth]])</f>
        <v>32</v>
      </c>
      <c r="AK664" s="68">
        <f>IF(Table13[[#This Row],[value Type]]="","", Table13[[#This Row],[DataOffset]])</f>
        <v>0</v>
      </c>
      <c r="AL664" s="24"/>
      <c r="AM664" s="24" t="str">
        <f>IF(Table13[[#This Row],[value Type]]="","", "0x"&amp;DEC2HEX(Table13[[#This Row],[ADDR_Offset]],8) )</f>
        <v>0x00004170</v>
      </c>
    </row>
    <row r="665" spans="2:39" s="6" customFormat="1" x14ac:dyDescent="0.3">
      <c r="B665" s="12">
        <f t="shared" si="8"/>
        <v>4100</v>
      </c>
      <c r="C665" s="14" t="s">
        <v>2</v>
      </c>
      <c r="D665" s="14" t="s">
        <v>380</v>
      </c>
      <c r="E665" s="24" t="s">
        <v>349</v>
      </c>
      <c r="F665" s="24">
        <v>1</v>
      </c>
      <c r="G665" s="14" t="s">
        <v>896</v>
      </c>
      <c r="H665" s="15" t="s">
        <v>39</v>
      </c>
      <c r="I665" s="101" t="str">
        <f>DEC2HEX(HEX2DEC(Table13[[#This Row],[Index]])/4+Table13[[#This Row],[SUB]],4)</f>
        <v>105D</v>
      </c>
      <c r="J665" s="15" t="s">
        <v>747</v>
      </c>
      <c r="K665" s="15" t="s">
        <v>891</v>
      </c>
      <c r="L665" s="14">
        <v>32</v>
      </c>
      <c r="M665" s="35">
        <v>0</v>
      </c>
      <c r="N665" s="15" t="s">
        <v>105</v>
      </c>
      <c r="O665" s="25" t="s">
        <v>96</v>
      </c>
      <c r="P665" s="25">
        <v>1</v>
      </c>
      <c r="Q665" s="26" t="s">
        <v>80</v>
      </c>
      <c r="R665" s="27" t="s">
        <v>93</v>
      </c>
      <c r="S665" s="27" t="s">
        <v>239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stringout</v>
      </c>
      <c r="Y665" s="30" t="str">
        <f>IF(Table13[[#This Row],[value Type]]="","",VLOOKUP(Table13[[#This Row],[value Type]],Table2915[],3,FALSE))</f>
        <v>asynParamOctet</v>
      </c>
      <c r="Z665" s="64" t="str">
        <f>IF(Table13[[#This Row],[value Type]]="","",VLOOKUP(Table13[[#This Row],[value Type]],Table2915[],4,FALSE))</f>
        <v xml:space="preserve"> 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xIPx_EVR@_PORTFREQ_29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1</v>
      </c>
      <c r="AG665" s="75">
        <f>IF(Table13[[#This Row],[value Type]]="","",4*HEX2DEC(Table13[[#This Row],[Addr'[HEX']]]))</f>
        <v>16756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11</v>
      </c>
      <c r="AJ665" s="68">
        <f>IF(Table13[[#This Row],[value Type]]="","",Table13[[#This Row],[DataWidth]])</f>
        <v>32</v>
      </c>
      <c r="AK665" s="68">
        <f>IF(Table13[[#This Row],[value Type]]="","", Table13[[#This Row],[DataOffset]])</f>
        <v>0</v>
      </c>
      <c r="AL665" s="24"/>
      <c r="AM665" s="24" t="str">
        <f>IF(Table13[[#This Row],[value Type]]="","", "0x"&amp;DEC2HEX(Table13[[#This Row],[ADDR_Offset]],8) )</f>
        <v>0x00004174</v>
      </c>
    </row>
    <row r="666" spans="2:39" s="6" customFormat="1" x14ac:dyDescent="0.3">
      <c r="B666" s="12">
        <f t="shared" si="8"/>
        <v>4100</v>
      </c>
      <c r="C666" s="14" t="s">
        <v>2</v>
      </c>
      <c r="D666" s="14" t="s">
        <v>380</v>
      </c>
      <c r="E666" s="24" t="s">
        <v>349</v>
      </c>
      <c r="F666" s="24">
        <v>1</v>
      </c>
      <c r="G666" s="14" t="s">
        <v>896</v>
      </c>
      <c r="H666" s="15" t="s">
        <v>40</v>
      </c>
      <c r="I666" s="101" t="str">
        <f>DEC2HEX(HEX2DEC(Table13[[#This Row],[Index]])/4+Table13[[#This Row],[SUB]],4)</f>
        <v>105E</v>
      </c>
      <c r="J666" s="15" t="s">
        <v>747</v>
      </c>
      <c r="K666" s="15" t="s">
        <v>891</v>
      </c>
      <c r="L666" s="14">
        <v>32</v>
      </c>
      <c r="M666" s="35">
        <v>0</v>
      </c>
      <c r="N666" s="15" t="s">
        <v>105</v>
      </c>
      <c r="O666" s="25" t="s">
        <v>96</v>
      </c>
      <c r="P666" s="25">
        <v>1</v>
      </c>
      <c r="Q666" s="26" t="s">
        <v>80</v>
      </c>
      <c r="R666" s="27" t="s">
        <v>93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stringout</v>
      </c>
      <c r="Y666" s="30" t="str">
        <f>IF(Table13[[#This Row],[value Type]]="","",VLOOKUP(Table13[[#This Row],[value Type]],Table2915[],3,FALSE))</f>
        <v>asynParamOctet</v>
      </c>
      <c r="Z666" s="64" t="str">
        <f>IF(Table13[[#This Row],[value Type]]="","",VLOOKUP(Table13[[#This Row],[value Type]],Table2915[],4,FALSE))</f>
        <v xml:space="preserve"> 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xIPx_EVR@_PORTFREQ_30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1</v>
      </c>
      <c r="AG666" s="75">
        <f>IF(Table13[[#This Row],[value Type]]="","",4*HEX2DEC(Table13[[#This Row],[Addr'[HEX']]]))</f>
        <v>16760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11</v>
      </c>
      <c r="AJ666" s="68">
        <f>IF(Table13[[#This Row],[value Type]]="","",Table13[[#This Row],[DataWidth]])</f>
        <v>32</v>
      </c>
      <c r="AK666" s="68">
        <f>IF(Table13[[#This Row],[value Type]]="","", Table13[[#This Row],[DataOffset]])</f>
        <v>0</v>
      </c>
      <c r="AL666" s="24"/>
      <c r="AM666" s="24" t="str">
        <f>IF(Table13[[#This Row],[value Type]]="","", "0x"&amp;DEC2HEX(Table13[[#This Row],[ADDR_Offset]],8) )</f>
        <v>0x00004178</v>
      </c>
    </row>
    <row r="667" spans="2:39" s="6" customFormat="1" x14ac:dyDescent="0.3">
      <c r="B667" s="12">
        <f t="shared" si="8"/>
        <v>4100</v>
      </c>
      <c r="C667" s="14" t="s">
        <v>2</v>
      </c>
      <c r="D667" s="14" t="s">
        <v>380</v>
      </c>
      <c r="E667" s="24" t="s">
        <v>349</v>
      </c>
      <c r="F667" s="24">
        <v>1</v>
      </c>
      <c r="G667" s="14" t="s">
        <v>896</v>
      </c>
      <c r="H667" s="15" t="s">
        <v>41</v>
      </c>
      <c r="I667" s="101" t="str">
        <f>DEC2HEX(HEX2DEC(Table13[[#This Row],[Index]])/4+Table13[[#This Row],[SUB]],4)</f>
        <v>105F</v>
      </c>
      <c r="J667" s="15" t="s">
        <v>747</v>
      </c>
      <c r="K667" s="15" t="s">
        <v>891</v>
      </c>
      <c r="L667" s="14">
        <v>32</v>
      </c>
      <c r="M667" s="35">
        <v>0</v>
      </c>
      <c r="N667" s="15" t="s">
        <v>105</v>
      </c>
      <c r="O667" s="25" t="s">
        <v>96</v>
      </c>
      <c r="P667" s="25">
        <v>1</v>
      </c>
      <c r="Q667" s="26" t="s">
        <v>80</v>
      </c>
      <c r="R667" s="27" t="s">
        <v>93</v>
      </c>
      <c r="S667" s="27" t="s">
        <v>239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stringout</v>
      </c>
      <c r="Y667" s="30" t="str">
        <f>IF(Table13[[#This Row],[value Type]]="","",VLOOKUP(Table13[[#This Row],[value Type]],Table2915[],3,FALSE))</f>
        <v>asynParamOctet</v>
      </c>
      <c r="Z667" s="64" t="str">
        <f>IF(Table13[[#This Row],[value Type]]="","",VLOOKUP(Table13[[#This Row],[value Type]],Table2915[],4,FALSE))</f>
        <v xml:space="preserve"> 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xIPx_EVR@_PORTFREQ_31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1</v>
      </c>
      <c r="AG667" s="75">
        <f>IF(Table13[[#This Row],[value Type]]="","",4*HEX2DEC(Table13[[#This Row],[Addr'[HEX']]]))</f>
        <v>16764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11</v>
      </c>
      <c r="AJ667" s="68">
        <f>IF(Table13[[#This Row],[value Type]]="","",Table13[[#This Row],[DataWidth]])</f>
        <v>32</v>
      </c>
      <c r="AK667" s="68">
        <f>IF(Table13[[#This Row],[value Type]]="","", Table13[[#This Row],[DataOffset]])</f>
        <v>0</v>
      </c>
      <c r="AL667" s="24"/>
      <c r="AM667" s="24" t="str">
        <f>IF(Table13[[#This Row],[value Type]]="","", "0x"&amp;DEC2HEX(Table13[[#This Row],[ADDR_Offset]],8) )</f>
        <v>0x0000417C</v>
      </c>
    </row>
    <row r="668" spans="2:39" s="6" customFormat="1" x14ac:dyDescent="0.3">
      <c r="B668" s="12">
        <v>4180</v>
      </c>
      <c r="C668" s="14" t="s">
        <v>2</v>
      </c>
      <c r="D668" s="14" t="s">
        <v>380</v>
      </c>
      <c r="E668" s="24" t="s">
        <v>349</v>
      </c>
      <c r="F668" s="24">
        <v>1</v>
      </c>
      <c r="G668" s="14" t="s">
        <v>897</v>
      </c>
      <c r="H668" s="15"/>
      <c r="I668" s="101" t="str">
        <f>DEC2HEX(HEX2DEC(Table13[[#This Row],[Index]])/4+Table13[[#This Row],[SUB]],4)</f>
        <v>1060</v>
      </c>
      <c r="J668" s="15" t="s">
        <v>747</v>
      </c>
      <c r="K668" s="15" t="s">
        <v>52</v>
      </c>
      <c r="L668" s="14">
        <v>32</v>
      </c>
      <c r="M668" s="35">
        <v>0</v>
      </c>
      <c r="N668" s="15" t="s">
        <v>105</v>
      </c>
      <c r="O668" s="25" t="s">
        <v>96</v>
      </c>
      <c r="P668" s="25">
        <v>1</v>
      </c>
      <c r="Q668" s="26" t="s">
        <v>80</v>
      </c>
      <c r="R668" s="27" t="s">
        <v>93</v>
      </c>
      <c r="S668" s="27" t="s">
        <v>239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stringout</v>
      </c>
      <c r="Y668" s="30" t="str">
        <f>IF(Table13[[#This Row],[value Type]]="","",VLOOKUP(Table13[[#This Row],[value Type]],Table2915[],3,FALSE))</f>
        <v>asynParamOctet</v>
      </c>
      <c r="Z668" s="64" t="str">
        <f>IF(Table13[[#This Row],[value Type]]="","",VLOOKUP(Table13[[#This Row],[value Type]],Table2915[],4,FALSE))</f>
        <v xml:space="preserve"> 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xIPx_EVR@_SET_PORT_FREQ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1</v>
      </c>
      <c r="AG668" s="75">
        <f>IF(Table13[[#This Row],[value Type]]="","",4*HEX2DEC(Table13[[#This Row],[Addr'[HEX']]]))</f>
        <v>16768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32</v>
      </c>
      <c r="AK668" s="68">
        <f>IF(Table13[[#This Row],[value Type]]="","", Table13[[#This Row],[DataOffset]])</f>
        <v>0</v>
      </c>
      <c r="AL668" s="24"/>
      <c r="AM668" s="24" t="str">
        <f>IF(Table13[[#This Row],[value Type]]="","", "0x"&amp;DEC2HEX(Table13[[#This Row],[ADDR_Offset]],8) )</f>
        <v>0x00004180</v>
      </c>
    </row>
    <row r="669" spans="2:39" s="6" customFormat="1" x14ac:dyDescent="0.3">
      <c r="B669" s="14"/>
      <c r="C669" s="14"/>
      <c r="D669" s="14"/>
      <c r="E669" s="24"/>
      <c r="F669" s="24"/>
      <c r="G669" s="14"/>
      <c r="H669" s="15"/>
      <c r="I669" s="29"/>
      <c r="J669" s="15"/>
      <c r="K669" s="15"/>
      <c r="L669" s="14"/>
      <c r="M669" s="35"/>
      <c r="N669" s="15"/>
      <c r="O669" s="88"/>
      <c r="P669" s="25"/>
      <c r="Q669" s="15"/>
      <c r="R669" s="26"/>
      <c r="S669" s="27"/>
      <c r="T669" s="27"/>
      <c r="U669" s="28"/>
      <c r="V669" s="14"/>
      <c r="W669" s="14"/>
      <c r="X669" s="30"/>
      <c r="Y669" s="30"/>
      <c r="Z669" s="64"/>
      <c r="AA669" s="64"/>
      <c r="AB669" s="79"/>
      <c r="AC669" s="12"/>
      <c r="AD669" s="84"/>
      <c r="AE669" s="79"/>
      <c r="AF669" s="68"/>
      <c r="AG669" s="75"/>
      <c r="AH669" s="75"/>
      <c r="AI669" s="81"/>
      <c r="AJ669" s="81"/>
      <c r="AK669" s="81"/>
      <c r="AL669" s="24"/>
      <c r="AM669" s="24"/>
    </row>
    <row r="670" spans="2:39" s="6" customFormat="1" x14ac:dyDescent="0.3">
      <c r="B670" s="12"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883</v>
      </c>
      <c r="H670" s="15" t="s">
        <v>276</v>
      </c>
      <c r="I670" s="29">
        <v>36</v>
      </c>
      <c r="J670" s="15" t="s">
        <v>747</v>
      </c>
      <c r="K670" s="15" t="s">
        <v>52</v>
      </c>
      <c r="L670" s="14">
        <v>1</v>
      </c>
      <c r="M670" s="35" t="s">
        <v>54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476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216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0</v>
      </c>
      <c r="AL670" s="24"/>
      <c r="AM670" s="24" t="str">
        <f>IF(Table13[[#This Row],[value Type]]="","", "0x"&amp;DEC2HEX(Table13[[#This Row],[ADDR_Offset]],8) )</f>
        <v>0x000000D8</v>
      </c>
    </row>
    <row r="671" spans="2:39" s="6" customFormat="1" x14ac:dyDescent="0.3">
      <c r="B671" s="12">
        <f t="shared" ref="B671:B701" si="9">B670</f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883</v>
      </c>
      <c r="H671" s="15" t="s">
        <v>19</v>
      </c>
      <c r="I671" s="29">
        <v>36</v>
      </c>
      <c r="J671" s="15" t="s">
        <v>747</v>
      </c>
      <c r="K671" s="15" t="s">
        <v>52</v>
      </c>
      <c r="L671" s="14">
        <v>1</v>
      </c>
      <c r="M671" s="35" t="s">
        <v>19</v>
      </c>
      <c r="N671" s="15" t="s">
        <v>275</v>
      </c>
      <c r="O671" s="25" t="s">
        <v>402</v>
      </c>
      <c r="P671" s="25">
        <v>1</v>
      </c>
      <c r="Q671" s="26" t="s">
        <v>80</v>
      </c>
      <c r="R671" s="27" t="s">
        <v>277</v>
      </c>
      <c r="S671" s="27" t="s">
        <v>476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216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1</v>
      </c>
      <c r="AL671" s="24"/>
      <c r="AM671" s="24" t="str">
        <f>IF(Table13[[#This Row],[value Type]]="","", "0x"&amp;DEC2HEX(Table13[[#This Row],[ADDR_Offset]],8) )</f>
        <v>0x000000D8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883</v>
      </c>
      <c r="H672" s="15" t="s">
        <v>6</v>
      </c>
      <c r="I672" s="29">
        <v>36</v>
      </c>
      <c r="J672" s="15" t="s">
        <v>747</v>
      </c>
      <c r="K672" s="15" t="s">
        <v>52</v>
      </c>
      <c r="L672" s="14">
        <v>1</v>
      </c>
      <c r="M672" s="35" t="s">
        <v>6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216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</v>
      </c>
      <c r="AL672" s="24"/>
      <c r="AM672" s="24" t="str">
        <f>IF(Table13[[#This Row],[value Type]]="","", "0x"&amp;DEC2HEX(Table13[[#This Row],[ADDR_Offset]],8) )</f>
        <v>0x000000D8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883</v>
      </c>
      <c r="H673" s="15" t="s">
        <v>7</v>
      </c>
      <c r="I673" s="29">
        <v>36</v>
      </c>
      <c r="J673" s="15" t="s">
        <v>747</v>
      </c>
      <c r="K673" s="15" t="s">
        <v>52</v>
      </c>
      <c r="L673" s="14">
        <v>1</v>
      </c>
      <c r="M673" s="35" t="s">
        <v>7</v>
      </c>
      <c r="N673" s="15" t="s">
        <v>275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216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3</v>
      </c>
      <c r="AL673" s="24"/>
      <c r="AM673" s="24" t="str">
        <f>IF(Table13[[#This Row],[value Type]]="","", "0x"&amp;DEC2HEX(Table13[[#This Row],[ADDR_Offset]],8) )</f>
        <v>0x000000D8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883</v>
      </c>
      <c r="H674" s="15" t="s">
        <v>8</v>
      </c>
      <c r="I674" s="29">
        <v>36</v>
      </c>
      <c r="J674" s="15" t="s">
        <v>747</v>
      </c>
      <c r="K674" s="15" t="s">
        <v>52</v>
      </c>
      <c r="L674" s="14">
        <v>1</v>
      </c>
      <c r="M674" s="35" t="s">
        <v>8</v>
      </c>
      <c r="N674" s="15" t="s">
        <v>463</v>
      </c>
      <c r="O674" s="25" t="s">
        <v>276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216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4</v>
      </c>
      <c r="AL674" s="24"/>
      <c r="AM674" s="24" t="str">
        <f>IF(Table13[[#This Row],[value Type]]="","", "0x"&amp;DEC2HEX(Table13[[#This Row],[ADDR_Offset]],8) )</f>
        <v>0x000000D8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883</v>
      </c>
      <c r="H675" s="15" t="s">
        <v>9</v>
      </c>
      <c r="I675" s="29">
        <v>36</v>
      </c>
      <c r="J675" s="15" t="s">
        <v>747</v>
      </c>
      <c r="K675" s="15" t="s">
        <v>52</v>
      </c>
      <c r="L675" s="14">
        <v>1</v>
      </c>
      <c r="M675" s="35" t="s">
        <v>9</v>
      </c>
      <c r="N675" s="15" t="s">
        <v>275</v>
      </c>
      <c r="O675" s="25" t="s">
        <v>402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216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5</v>
      </c>
      <c r="AL675" s="24"/>
      <c r="AM675" s="24" t="str">
        <f>IF(Table13[[#This Row],[value Type]]="","", "0x"&amp;DEC2HEX(Table13[[#This Row],[ADDR_Offset]],8) )</f>
        <v>0x000000D8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883</v>
      </c>
      <c r="H676" s="15" t="s">
        <v>10</v>
      </c>
      <c r="I676" s="29">
        <v>36</v>
      </c>
      <c r="J676" s="15" t="s">
        <v>747</v>
      </c>
      <c r="K676" s="15" t="s">
        <v>52</v>
      </c>
      <c r="L676" s="14">
        <v>1</v>
      </c>
      <c r="M676" s="35" t="s">
        <v>10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476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216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6</v>
      </c>
      <c r="AL676" s="24"/>
      <c r="AM676" s="24" t="str">
        <f>IF(Table13[[#This Row],[value Type]]="","", "0x"&amp;DEC2HEX(Table13[[#This Row],[ADDR_Offset]],8) )</f>
        <v>0x000000D8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883</v>
      </c>
      <c r="H677" s="15" t="s">
        <v>11</v>
      </c>
      <c r="I677" s="29">
        <v>36</v>
      </c>
      <c r="J677" s="15" t="s">
        <v>747</v>
      </c>
      <c r="K677" s="15" t="s">
        <v>52</v>
      </c>
      <c r="L677" s="14">
        <v>1</v>
      </c>
      <c r="M677" s="35" t="s">
        <v>11</v>
      </c>
      <c r="N677" s="15" t="s">
        <v>275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239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216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7</v>
      </c>
      <c r="AL677" s="24"/>
      <c r="AM677" s="24" t="str">
        <f>IF(Table13[[#This Row],[value Type]]="","", "0x"&amp;DEC2HEX(Table13[[#This Row],[ADDR_Offset]],8) )</f>
        <v>0x000000D8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883</v>
      </c>
      <c r="H678" s="15" t="s">
        <v>12</v>
      </c>
      <c r="I678" s="29">
        <v>36</v>
      </c>
      <c r="J678" s="15" t="s">
        <v>747</v>
      </c>
      <c r="K678" s="15" t="s">
        <v>52</v>
      </c>
      <c r="L678" s="14">
        <v>1</v>
      </c>
      <c r="M678" s="35" t="s">
        <v>12</v>
      </c>
      <c r="N678" s="15" t="s">
        <v>275</v>
      </c>
      <c r="O678" s="25" t="s">
        <v>276</v>
      </c>
      <c r="P678" s="25">
        <v>1</v>
      </c>
      <c r="Q678" s="26" t="s">
        <v>80</v>
      </c>
      <c r="R678" s="27" t="s">
        <v>277</v>
      </c>
      <c r="S678" s="27" t="s">
        <v>239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216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8</v>
      </c>
      <c r="AL678" s="24"/>
      <c r="AM678" s="24" t="str">
        <f>IF(Table13[[#This Row],[value Type]]="","", "0x"&amp;DEC2HEX(Table13[[#This Row],[ADDR_Offset]],8) )</f>
        <v>0x000000D8</v>
      </c>
    </row>
    <row r="679" spans="2:39" s="6" customFormat="1" x14ac:dyDescent="0.3">
      <c r="B679" s="12">
        <f t="shared" si="9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883</v>
      </c>
      <c r="H679" s="15" t="s">
        <v>13</v>
      </c>
      <c r="I679" s="29">
        <v>36</v>
      </c>
      <c r="J679" s="15" t="s">
        <v>747</v>
      </c>
      <c r="K679" s="15" t="s">
        <v>52</v>
      </c>
      <c r="L679" s="14">
        <v>1</v>
      </c>
      <c r="M679" s="35" t="s">
        <v>13</v>
      </c>
      <c r="N679" s="15" t="s">
        <v>275</v>
      </c>
      <c r="O679" s="25" t="s">
        <v>402</v>
      </c>
      <c r="P679" s="25">
        <v>1</v>
      </c>
      <c r="Q679" s="26" t="s">
        <v>80</v>
      </c>
      <c r="R679" s="27" t="s">
        <v>277</v>
      </c>
      <c r="S679" s="27" t="s">
        <v>239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216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9</v>
      </c>
      <c r="AL679" s="24"/>
      <c r="AM679" s="24" t="str">
        <f>IF(Table13[[#This Row],[value Type]]="","", "0x"&amp;DEC2HEX(Table13[[#This Row],[ADDR_Offset]],8) )</f>
        <v>0x000000D8</v>
      </c>
    </row>
    <row r="680" spans="2:39" s="6" customFormat="1" x14ac:dyDescent="0.3">
      <c r="B680" s="12">
        <f t="shared" si="9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883</v>
      </c>
      <c r="H680" s="15" t="s">
        <v>20</v>
      </c>
      <c r="I680" s="29">
        <v>36</v>
      </c>
      <c r="J680" s="15" t="s">
        <v>747</v>
      </c>
      <c r="K680" s="15" t="s">
        <v>52</v>
      </c>
      <c r="L680" s="14">
        <v>1</v>
      </c>
      <c r="M680" s="35" t="s">
        <v>20</v>
      </c>
      <c r="N680" s="15" t="s">
        <v>275</v>
      </c>
      <c r="O680" s="25" t="s">
        <v>96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216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10</v>
      </c>
      <c r="AL680" s="24"/>
      <c r="AM680" s="24" t="str">
        <f>IF(Table13[[#This Row],[value Type]]="","", "0x"&amp;DEC2HEX(Table13[[#This Row],[ADDR_Offset]],8) )</f>
        <v>0x000000D8</v>
      </c>
    </row>
    <row r="681" spans="2:39" s="6" customFormat="1" x14ac:dyDescent="0.3">
      <c r="B681" s="12">
        <f t="shared" si="9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883</v>
      </c>
      <c r="H681" s="15" t="s">
        <v>21</v>
      </c>
      <c r="I681" s="29">
        <v>36</v>
      </c>
      <c r="J681" s="15" t="s">
        <v>747</v>
      </c>
      <c r="K681" s="15" t="s">
        <v>52</v>
      </c>
      <c r="L681" s="14">
        <v>1</v>
      </c>
      <c r="M681" s="35" t="s">
        <v>21</v>
      </c>
      <c r="N681" s="15" t="s">
        <v>275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239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216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11</v>
      </c>
      <c r="AL681" s="24"/>
      <c r="AM681" s="24" t="str">
        <f>IF(Table13[[#This Row],[value Type]]="","", "0x"&amp;DEC2HEX(Table13[[#This Row],[ADDR_Offset]],8) )</f>
        <v>0x000000D8</v>
      </c>
    </row>
    <row r="682" spans="2:39" s="6" customFormat="1" x14ac:dyDescent="0.3">
      <c r="B682" s="12">
        <f t="shared" si="9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883</v>
      </c>
      <c r="H682" s="15" t="s">
        <v>22</v>
      </c>
      <c r="I682" s="29">
        <v>36</v>
      </c>
      <c r="J682" s="15" t="s">
        <v>747</v>
      </c>
      <c r="K682" s="15" t="s">
        <v>52</v>
      </c>
      <c r="L682" s="14">
        <v>1</v>
      </c>
      <c r="M682" s="35" t="s">
        <v>22</v>
      </c>
      <c r="N682" s="15" t="s">
        <v>463</v>
      </c>
      <c r="O682" s="25" t="s">
        <v>402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216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12</v>
      </c>
      <c r="AL682" s="24"/>
      <c r="AM682" s="24" t="str">
        <f>IF(Table13[[#This Row],[value Type]]="","", "0x"&amp;DEC2HEX(Table13[[#This Row],[ADDR_Offset]],8) )</f>
        <v>0x000000D8</v>
      </c>
    </row>
    <row r="683" spans="2:39" s="6" customFormat="1" x14ac:dyDescent="0.3">
      <c r="B683" s="12">
        <f t="shared" si="9"/>
        <v>5480</v>
      </c>
      <c r="C683" s="14" t="s">
        <v>1</v>
      </c>
      <c r="D683" s="14" t="s">
        <v>388</v>
      </c>
      <c r="E683" s="24" t="s">
        <v>349</v>
      </c>
      <c r="F683" s="24">
        <v>1</v>
      </c>
      <c r="G683" s="14" t="s">
        <v>883</v>
      </c>
      <c r="H683" s="15" t="s">
        <v>23</v>
      </c>
      <c r="I683" s="29">
        <v>36</v>
      </c>
      <c r="J683" s="15" t="s">
        <v>747</v>
      </c>
      <c r="K683" s="15" t="s">
        <v>52</v>
      </c>
      <c r="L683" s="14">
        <v>1</v>
      </c>
      <c r="M683" s="35" t="s">
        <v>23</v>
      </c>
      <c r="N683" s="15" t="s">
        <v>463</v>
      </c>
      <c r="O683" s="25" t="s">
        <v>276</v>
      </c>
      <c r="P683" s="25">
        <v>1</v>
      </c>
      <c r="Q683" s="26" t="s">
        <v>80</v>
      </c>
      <c r="R683" s="27" t="s">
        <v>277</v>
      </c>
      <c r="S683" s="27" t="s">
        <v>239</v>
      </c>
      <c r="T683" s="27">
        <v>0</v>
      </c>
      <c r="U683" s="28"/>
      <c r="V683" s="14"/>
      <c r="W683" s="14"/>
      <c r="X683" s="30" t="str">
        <f>IF(Table13[[#This Row],[value Type]]="","",VLOOKUP(Table13[[#This Row],[value Type]],Table2915[],2,FALSE))</f>
        <v>longout</v>
      </c>
      <c r="Y683" s="30" t="str">
        <f>IF(Table13[[#This Row],[value Type]]="","",VLOOKUP(Table13[[#This Row],[value Type]],Table2915[],3,FALSE))</f>
        <v>asynParamInt32</v>
      </c>
      <c r="Z683" s="64" t="str">
        <f>IF(Table13[[#This Row],[value Type]]="","",VLOOKUP(Table13[[#This Row],[value Type]],Table2915[],4,FALSE))</f>
        <v>"asynInt32"</v>
      </c>
      <c r="AA683" s="64" t="str">
        <f>IF(Table13[[#This Row],[value Type]]="","",    IF(Table13[[#This Row],[IP MAX]]="","","@"  )     )</f>
        <v>@</v>
      </c>
      <c r="AB683" s="79" t="str">
        <f>IF(Table13[[#This Row],[value Type]]="","",VLOOKUP(Table13[[#This Row],[value Type]],Table2915[],5,FALSE))</f>
        <v xml:space="preserve"> </v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83" s="79">
        <f>IF(Table13[[#This Row],[value Type]]="","",VLOOKUP(Table13[[#This Row],[IP]],Table51117[],2,FALSE))</f>
        <v>2</v>
      </c>
      <c r="AE683" s="79" t="str">
        <f>IF(Table13[[#This Row],[value Type]]="","",    IF(Table13[[#This Row],[IP MAX]]="","0","@"  )     )</f>
        <v>@</v>
      </c>
      <c r="AF683" s="68">
        <f>IF(Table13[[#This Row],[value Type]]="","",VLOOKUP(Table13[[#This Row],[Acc Type]],Table2[],2,FALSE))</f>
        <v>0</v>
      </c>
      <c r="AG683" s="75">
        <f>IF(Table13[[#This Row],[value Type]]="","",4*HEX2DEC(Table13[[#This Row],[Addr'[HEX']]]))</f>
        <v>216</v>
      </c>
      <c r="AH683" s="75">
        <f>IF(Table13[[#This Row],[value Type]]="","",VLOOKUP(Table13[[#This Row],[AddrTypeI]],Table22[],2,FALSE))</f>
        <v>0</v>
      </c>
      <c r="AI683" s="68">
        <f>IF(Table13[[#This Row],[value Type]]="","",VLOOKUP(Table13[[#This Row],[DataType]],Table351218[],2,FALSE))</f>
        <v>0</v>
      </c>
      <c r="AJ683" s="68">
        <f>IF(Table13[[#This Row],[value Type]]="","",Table13[[#This Row],[DataWidth]])</f>
        <v>1</v>
      </c>
      <c r="AK683" s="68" t="str">
        <f>IF(Table13[[#This Row],[value Type]]="","", Table13[[#This Row],[DataOffset]])</f>
        <v>13</v>
      </c>
      <c r="AL683" s="24"/>
      <c r="AM683" s="24" t="str">
        <f>IF(Table13[[#This Row],[value Type]]="","", "0x"&amp;DEC2HEX(Table13[[#This Row],[ADDR_Offset]],8) )</f>
        <v>0x000000D8</v>
      </c>
    </row>
    <row r="684" spans="2:39" s="6" customFormat="1" x14ac:dyDescent="0.3">
      <c r="B684" s="12">
        <f t="shared" si="9"/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883</v>
      </c>
      <c r="H684" s="15" t="s">
        <v>24</v>
      </c>
      <c r="I684" s="29">
        <v>36</v>
      </c>
      <c r="J684" s="15" t="s">
        <v>747</v>
      </c>
      <c r="K684" s="15" t="s">
        <v>52</v>
      </c>
      <c r="L684" s="14">
        <v>1</v>
      </c>
      <c r="M684" s="35" t="s">
        <v>24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239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216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14</v>
      </c>
      <c r="AL684" s="24"/>
      <c r="AM684" s="24" t="str">
        <f>IF(Table13[[#This Row],[value Type]]="","", "0x"&amp;DEC2HEX(Table13[[#This Row],[ADDR_Offset]],8) )</f>
        <v>0x000000D8</v>
      </c>
    </row>
    <row r="685" spans="2:39" s="6" customFormat="1" x14ac:dyDescent="0.3">
      <c r="B685" s="12">
        <f t="shared" si="9"/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883</v>
      </c>
      <c r="H685" s="15" t="s">
        <v>25</v>
      </c>
      <c r="I685" s="29">
        <v>36</v>
      </c>
      <c r="J685" s="15" t="s">
        <v>747</v>
      </c>
      <c r="K685" s="15" t="s">
        <v>52</v>
      </c>
      <c r="L685" s="14">
        <v>1</v>
      </c>
      <c r="M685" s="35" t="s">
        <v>25</v>
      </c>
      <c r="N685" s="15" t="s">
        <v>463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239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216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15</v>
      </c>
      <c r="AL685" s="24"/>
      <c r="AM685" s="24" t="str">
        <f>IF(Table13[[#This Row],[value Type]]="","", "0x"&amp;DEC2HEX(Table13[[#This Row],[ADDR_Offset]],8) )</f>
        <v>0x000000D8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883</v>
      </c>
      <c r="H686" s="15" t="s">
        <v>26</v>
      </c>
      <c r="I686" s="29">
        <v>36</v>
      </c>
      <c r="J686" s="15" t="s">
        <v>747</v>
      </c>
      <c r="K686" s="15" t="s">
        <v>52</v>
      </c>
      <c r="L686" s="14">
        <v>1</v>
      </c>
      <c r="M686" s="35" t="s">
        <v>26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216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16</v>
      </c>
      <c r="AL686" s="24"/>
      <c r="AM686" s="24" t="str">
        <f>IF(Table13[[#This Row],[value Type]]="","", "0x"&amp;DEC2HEX(Table13[[#This Row],[ADDR_Offset]],8) )</f>
        <v>0x000000D8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883</v>
      </c>
      <c r="H687" s="15" t="s">
        <v>27</v>
      </c>
      <c r="I687" s="29">
        <v>36</v>
      </c>
      <c r="J687" s="15" t="s">
        <v>747</v>
      </c>
      <c r="K687" s="15" t="s">
        <v>52</v>
      </c>
      <c r="L687" s="14">
        <v>1</v>
      </c>
      <c r="M687" s="35" t="s">
        <v>27</v>
      </c>
      <c r="N687" s="15" t="s">
        <v>463</v>
      </c>
      <c r="O687" s="25" t="s">
        <v>96</v>
      </c>
      <c r="P687" s="25">
        <v>1</v>
      </c>
      <c r="Q687" s="26" t="s">
        <v>80</v>
      </c>
      <c r="R687" s="27" t="s">
        <v>277</v>
      </c>
      <c r="S687" s="27" t="s">
        <v>239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216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17</v>
      </c>
      <c r="AL687" s="24"/>
      <c r="AM687" s="24" t="str">
        <f>IF(Table13[[#This Row],[value Type]]="","", "0x"&amp;DEC2HEX(Table13[[#This Row],[ADDR_Offset]],8) )</f>
        <v>0x000000D8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883</v>
      </c>
      <c r="H688" s="15" t="s">
        <v>28</v>
      </c>
      <c r="I688" s="29">
        <v>36</v>
      </c>
      <c r="J688" s="15" t="s">
        <v>747</v>
      </c>
      <c r="K688" s="15" t="s">
        <v>52</v>
      </c>
      <c r="L688" s="14">
        <v>1</v>
      </c>
      <c r="M688" s="35" t="s">
        <v>28</v>
      </c>
      <c r="N688" s="15" t="s">
        <v>275</v>
      </c>
      <c r="O688" s="25" t="s">
        <v>402</v>
      </c>
      <c r="P688" s="25">
        <v>1</v>
      </c>
      <c r="Q688" s="26" t="s">
        <v>80</v>
      </c>
      <c r="R688" s="27" t="s">
        <v>277</v>
      </c>
      <c r="S688" s="27" t="s">
        <v>476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216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18</v>
      </c>
      <c r="AL688" s="24"/>
      <c r="AM688" s="24" t="str">
        <f>IF(Table13[[#This Row],[value Type]]="","", "0x"&amp;DEC2HEX(Table13[[#This Row],[ADDR_Offset]],8) )</f>
        <v>0x000000D8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883</v>
      </c>
      <c r="H689" s="15" t="s">
        <v>29</v>
      </c>
      <c r="I689" s="29">
        <v>36</v>
      </c>
      <c r="J689" s="15" t="s">
        <v>747</v>
      </c>
      <c r="K689" s="15" t="s">
        <v>52</v>
      </c>
      <c r="L689" s="14">
        <v>1</v>
      </c>
      <c r="M689" s="35" t="s">
        <v>29</v>
      </c>
      <c r="N689" s="15" t="s">
        <v>463</v>
      </c>
      <c r="O689" s="25" t="s">
        <v>276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216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19</v>
      </c>
      <c r="AL689" s="24"/>
      <c r="AM689" s="24" t="str">
        <f>IF(Table13[[#This Row],[value Type]]="","", "0x"&amp;DEC2HEX(Table13[[#This Row],[ADDR_Offset]],8) )</f>
        <v>0x000000D8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883</v>
      </c>
      <c r="H690" s="15" t="s">
        <v>30</v>
      </c>
      <c r="I690" s="29">
        <v>36</v>
      </c>
      <c r="J690" s="15" t="s">
        <v>747</v>
      </c>
      <c r="K690" s="15" t="s">
        <v>52</v>
      </c>
      <c r="L690" s="14">
        <v>1</v>
      </c>
      <c r="M690" s="35" t="s">
        <v>30</v>
      </c>
      <c r="N690" s="15" t="s">
        <v>275</v>
      </c>
      <c r="O690" s="25" t="s">
        <v>96</v>
      </c>
      <c r="P690" s="25">
        <v>1</v>
      </c>
      <c r="Q690" s="26" t="s">
        <v>80</v>
      </c>
      <c r="R690" s="27" t="s">
        <v>277</v>
      </c>
      <c r="S690" s="27" t="s">
        <v>239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216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20</v>
      </c>
      <c r="AL690" s="24"/>
      <c r="AM690" s="24" t="str">
        <f>IF(Table13[[#This Row],[value Type]]="","", "0x"&amp;DEC2HEX(Table13[[#This Row],[ADDR_Offset]],8) )</f>
        <v>0x000000D8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883</v>
      </c>
      <c r="H691" s="15" t="s">
        <v>31</v>
      </c>
      <c r="I691" s="29">
        <v>36</v>
      </c>
      <c r="J691" s="15" t="s">
        <v>747</v>
      </c>
      <c r="K691" s="15" t="s">
        <v>52</v>
      </c>
      <c r="L691" s="14">
        <v>1</v>
      </c>
      <c r="M691" s="35" t="s">
        <v>31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216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21</v>
      </c>
      <c r="AL691" s="24"/>
      <c r="AM691" s="24" t="str">
        <f>IF(Table13[[#This Row],[value Type]]="","", "0x"&amp;DEC2HEX(Table13[[#This Row],[ADDR_Offset]],8) )</f>
        <v>0x000000D8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883</v>
      </c>
      <c r="H692" s="15" t="s">
        <v>32</v>
      </c>
      <c r="I692" s="29">
        <v>36</v>
      </c>
      <c r="J692" s="15" t="s">
        <v>747</v>
      </c>
      <c r="K692" s="15" t="s">
        <v>52</v>
      </c>
      <c r="L692" s="14">
        <v>1</v>
      </c>
      <c r="M692" s="35" t="s">
        <v>32</v>
      </c>
      <c r="N692" s="15" t="s">
        <v>463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476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216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22</v>
      </c>
      <c r="AL692" s="24"/>
      <c r="AM692" s="24" t="str">
        <f>IF(Table13[[#This Row],[value Type]]="","", "0x"&amp;DEC2HEX(Table13[[#This Row],[ADDR_Offset]],8) )</f>
        <v>0x000000D8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883</v>
      </c>
      <c r="H693" s="15" t="s">
        <v>33</v>
      </c>
      <c r="I693" s="29">
        <v>36</v>
      </c>
      <c r="J693" s="15" t="s">
        <v>747</v>
      </c>
      <c r="K693" s="15" t="s">
        <v>52</v>
      </c>
      <c r="L693" s="14">
        <v>1</v>
      </c>
      <c r="M693" s="35" t="s">
        <v>33</v>
      </c>
      <c r="N693" s="15" t="s">
        <v>463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216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23</v>
      </c>
      <c r="AL693" s="24"/>
      <c r="AM693" s="24" t="str">
        <f>IF(Table13[[#This Row],[value Type]]="","", "0x"&amp;DEC2HEX(Table13[[#This Row],[ADDR_Offset]],8) )</f>
        <v>0x000000D8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883</v>
      </c>
      <c r="H694" s="15" t="s">
        <v>34</v>
      </c>
      <c r="I694" s="29">
        <v>36</v>
      </c>
      <c r="J694" s="15" t="s">
        <v>747</v>
      </c>
      <c r="K694" s="15" t="s">
        <v>52</v>
      </c>
      <c r="L694" s="14">
        <v>1</v>
      </c>
      <c r="M694" s="35" t="s">
        <v>34</v>
      </c>
      <c r="N694" s="15" t="s">
        <v>275</v>
      </c>
      <c r="O694" s="25" t="s">
        <v>276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216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24</v>
      </c>
      <c r="AL694" s="24"/>
      <c r="AM694" s="24" t="str">
        <f>IF(Table13[[#This Row],[value Type]]="","", "0x"&amp;DEC2HEX(Table13[[#This Row],[ADDR_Offset]],8) )</f>
        <v>0x000000D8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883</v>
      </c>
      <c r="H695" s="15" t="s">
        <v>35</v>
      </c>
      <c r="I695" s="29">
        <v>36</v>
      </c>
      <c r="J695" s="15" t="s">
        <v>747</v>
      </c>
      <c r="K695" s="15" t="s">
        <v>52</v>
      </c>
      <c r="L695" s="14">
        <v>1</v>
      </c>
      <c r="M695" s="35" t="s">
        <v>35</v>
      </c>
      <c r="N695" s="15" t="s">
        <v>463</v>
      </c>
      <c r="O695" s="25" t="s">
        <v>276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216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25</v>
      </c>
      <c r="AL695" s="24"/>
      <c r="AM695" s="24" t="str">
        <f>IF(Table13[[#This Row],[value Type]]="","", "0x"&amp;DEC2HEX(Table13[[#This Row],[ADDR_Offset]],8) )</f>
        <v>0x000000D8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883</v>
      </c>
      <c r="H696" s="15" t="s">
        <v>36</v>
      </c>
      <c r="I696" s="29">
        <v>36</v>
      </c>
      <c r="J696" s="15" t="s">
        <v>747</v>
      </c>
      <c r="K696" s="15" t="s">
        <v>52</v>
      </c>
      <c r="L696" s="14">
        <v>1</v>
      </c>
      <c r="M696" s="35" t="s">
        <v>36</v>
      </c>
      <c r="N696" s="15" t="s">
        <v>463</v>
      </c>
      <c r="O696" s="25" t="s">
        <v>276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216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26</v>
      </c>
      <c r="AL696" s="24"/>
      <c r="AM696" s="24" t="str">
        <f>IF(Table13[[#This Row],[value Type]]="","", "0x"&amp;DEC2HEX(Table13[[#This Row],[ADDR_Offset]],8) )</f>
        <v>0x000000D8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883</v>
      </c>
      <c r="H697" s="15" t="s">
        <v>37</v>
      </c>
      <c r="I697" s="29">
        <v>36</v>
      </c>
      <c r="J697" s="15" t="s">
        <v>747</v>
      </c>
      <c r="K697" s="15" t="s">
        <v>52</v>
      </c>
      <c r="L697" s="14">
        <v>1</v>
      </c>
      <c r="M697" s="35" t="s">
        <v>37</v>
      </c>
      <c r="N697" s="15" t="s">
        <v>463</v>
      </c>
      <c r="O697" s="25" t="s">
        <v>402</v>
      </c>
      <c r="P697" s="25">
        <v>1</v>
      </c>
      <c r="Q697" s="26" t="s">
        <v>80</v>
      </c>
      <c r="R697" s="27" t="s">
        <v>277</v>
      </c>
      <c r="S697" s="27" t="s">
        <v>476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216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27</v>
      </c>
      <c r="AL697" s="24"/>
      <c r="AM697" s="24" t="str">
        <f>IF(Table13[[#This Row],[value Type]]="","", "0x"&amp;DEC2HEX(Table13[[#This Row],[ADDR_Offset]],8) )</f>
        <v>0x000000D8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883</v>
      </c>
      <c r="H698" s="15" t="s">
        <v>38</v>
      </c>
      <c r="I698" s="29">
        <v>36</v>
      </c>
      <c r="J698" s="15" t="s">
        <v>747</v>
      </c>
      <c r="K698" s="15" t="s">
        <v>52</v>
      </c>
      <c r="L698" s="14">
        <v>1</v>
      </c>
      <c r="M698" s="35" t="s">
        <v>38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476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216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28</v>
      </c>
      <c r="AL698" s="24"/>
      <c r="AM698" s="24" t="str">
        <f>IF(Table13[[#This Row],[value Type]]="","", "0x"&amp;DEC2HEX(Table13[[#This Row],[ADDR_Offset]],8) )</f>
        <v>0x000000D8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883</v>
      </c>
      <c r="H699" s="15" t="s">
        <v>39</v>
      </c>
      <c r="I699" s="29">
        <v>36</v>
      </c>
      <c r="J699" s="15" t="s">
        <v>747</v>
      </c>
      <c r="K699" s="15" t="s">
        <v>52</v>
      </c>
      <c r="L699" s="14">
        <v>1</v>
      </c>
      <c r="M699" s="35" t="s">
        <v>39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216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29</v>
      </c>
      <c r="AL699" s="24"/>
      <c r="AM699" s="24" t="str">
        <f>IF(Table13[[#This Row],[value Type]]="","", "0x"&amp;DEC2HEX(Table13[[#This Row],[ADDR_Offset]],8) )</f>
        <v>0x000000D8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883</v>
      </c>
      <c r="H700" s="15" t="s">
        <v>40</v>
      </c>
      <c r="I700" s="29">
        <v>36</v>
      </c>
      <c r="J700" s="15" t="s">
        <v>747</v>
      </c>
      <c r="K700" s="15" t="s">
        <v>52</v>
      </c>
      <c r="L700" s="14">
        <v>1</v>
      </c>
      <c r="M700" s="35" t="s">
        <v>40</v>
      </c>
      <c r="N700" s="15" t="s">
        <v>463</v>
      </c>
      <c r="O700" s="25" t="s">
        <v>402</v>
      </c>
      <c r="P700" s="25">
        <v>1</v>
      </c>
      <c r="Q700" s="26" t="s">
        <v>80</v>
      </c>
      <c r="R700" s="27" t="s">
        <v>277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216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30</v>
      </c>
      <c r="AL700" s="24"/>
      <c r="AM700" s="24" t="str">
        <f>IF(Table13[[#This Row],[value Type]]="","", "0x"&amp;DEC2HEX(Table13[[#This Row],[ADDR_Offset]],8) )</f>
        <v>0x000000D8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883</v>
      </c>
      <c r="H701" s="15" t="s">
        <v>41</v>
      </c>
      <c r="I701" s="29">
        <v>36</v>
      </c>
      <c r="J701" s="15" t="s">
        <v>747</v>
      </c>
      <c r="K701" s="15" t="s">
        <v>52</v>
      </c>
      <c r="L701" s="14">
        <v>1</v>
      </c>
      <c r="M701" s="35" t="s">
        <v>41</v>
      </c>
      <c r="N701" s="15" t="s">
        <v>275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476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216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31</v>
      </c>
      <c r="AL701" s="24"/>
      <c r="AM701" s="24" t="str">
        <f>IF(Table13[[#This Row],[value Type]]="","", "0x"&amp;DEC2HEX(Table13[[#This Row],[ADDR_Offset]],8) )</f>
        <v>0x000000D8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15"/>
      <c r="I702" s="29"/>
      <c r="J702" s="15"/>
      <c r="K702" s="15"/>
      <c r="L702" s="14"/>
      <c r="M702" s="35"/>
      <c r="N702" s="15"/>
      <c r="O702" s="25"/>
      <c r="P702" s="25"/>
      <c r="Q702" s="26"/>
      <c r="R702" s="27" t="s">
        <v>277</v>
      </c>
      <c r="S702" s="27"/>
      <c r="T702" s="27"/>
      <c r="U702" s="28"/>
      <c r="V702" s="14"/>
      <c r="W702" s="14"/>
      <c r="X702" s="30" t="str">
        <f>IF(Table13[[#This Row],[value Type]]="","",VLOOKUP(Table13[[#This Row],[value Type]],Table2915[],2,FALSE))</f>
        <v/>
      </c>
      <c r="Y702" s="30" t="str">
        <f>IF(Table13[[#This Row],[value Type]]="","",VLOOKUP(Table13[[#This Row],[value Type]],Table2915[],3,FALSE))</f>
        <v/>
      </c>
      <c r="Z702" s="64" t="str">
        <f>IF(Table13[[#This Row],[value Type]]="","",VLOOKUP(Table13[[#This Row],[value Type]],Table2915[],4,FALSE))</f>
        <v/>
      </c>
      <c r="AA702" s="64" t="str">
        <f>IF(Table13[[#This Row],[value Type]]="","",    IF(Table13[[#This Row],[IP MAX]]="","","@"  )     )</f>
        <v/>
      </c>
      <c r="AB702" s="79" t="str">
        <f>IF(Table13[[#This Row],[value Type]]="","",VLOOKUP(Table13[[#This Row],[value Type]],Table2915[],5,FALSE))</f>
        <v/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2" s="79" t="str">
        <f>IF(Table13[[#This Row],[value Type]]="","",VLOOKUP(Table13[[#This Row],[IP]],Table51117[],2,FALSE))</f>
        <v/>
      </c>
      <c r="AE702" s="79" t="str">
        <f>IF(Table13[[#This Row],[value Type]]="","",    IF(Table13[[#This Row],[IP MAX]]="","0","@"  )     )</f>
        <v/>
      </c>
      <c r="AF702" s="68" t="str">
        <f>IF(Table13[[#This Row],[value Type]]="","",VLOOKUP(Table13[[#This Row],[Acc Type]],Table2[],2,FALSE))</f>
        <v/>
      </c>
      <c r="AG702" s="75" t="str">
        <f>IF(Table13[[#This Row],[value Type]]="","",4*HEX2DEC(Table13[[#This Row],[Addr'[HEX']]]))</f>
        <v/>
      </c>
      <c r="AH702" s="75" t="str">
        <f>IF(Table13[[#This Row],[value Type]]="","",VLOOKUP(Table13[[#This Row],[AddrTypeI]],Table22[],2,FALSE))</f>
        <v/>
      </c>
      <c r="AI702" s="68" t="str">
        <f>IF(Table13[[#This Row],[value Type]]="","",VLOOKUP(Table13[[#This Row],[DataType]],Table351218[],2,FALSE))</f>
        <v/>
      </c>
      <c r="AJ702" s="68" t="str">
        <f>IF(Table13[[#This Row],[value Type]]="","",Table13[[#This Row],[DataWidth]])</f>
        <v/>
      </c>
      <c r="AK702" s="68" t="str">
        <f>IF(Table13[[#This Row],[value Type]]="","", Table13[[#This Row],[DataOffset]])</f>
        <v/>
      </c>
      <c r="AL702" s="24"/>
      <c r="AM702" s="24" t="str">
        <f>IF(Table13[[#This Row],[value Type]]="","", "0x"&amp;DEC2HEX(Table13[[#This Row],[ADDR_Offset]],8) )</f>
        <v/>
      </c>
    </row>
    <row r="703" spans="2:39" s="6" customFormat="1" x14ac:dyDescent="0.3">
      <c r="B703" s="12">
        <v>5480</v>
      </c>
      <c r="C703" s="14" t="s">
        <v>1</v>
      </c>
      <c r="D703" s="14" t="s">
        <v>388</v>
      </c>
      <c r="E703" s="24" t="s">
        <v>349</v>
      </c>
      <c r="F703" s="24">
        <v>1</v>
      </c>
      <c r="G703" s="14" t="s">
        <v>884</v>
      </c>
      <c r="H703" s="15" t="s">
        <v>276</v>
      </c>
      <c r="I703" s="29">
        <v>37</v>
      </c>
      <c r="J703" s="15" t="s">
        <v>747</v>
      </c>
      <c r="K703" s="15" t="s">
        <v>52</v>
      </c>
      <c r="L703" s="14">
        <v>1</v>
      </c>
      <c r="M703" s="35" t="s">
        <v>54</v>
      </c>
      <c r="N703" s="15" t="s">
        <v>463</v>
      </c>
      <c r="O703" s="25" t="s">
        <v>276</v>
      </c>
      <c r="P703" s="25">
        <v>1</v>
      </c>
      <c r="Q703" s="26" t="s">
        <v>80</v>
      </c>
      <c r="R703" s="27" t="s">
        <v>277</v>
      </c>
      <c r="S703" s="27" t="s">
        <v>476</v>
      </c>
      <c r="T703" s="27">
        <v>0</v>
      </c>
      <c r="U703" s="28"/>
      <c r="V703" s="14"/>
      <c r="W703" s="14"/>
      <c r="X703" s="30" t="str">
        <f>IF(Table13[[#This Row],[value Type]]="","",VLOOKUP(Table13[[#This Row],[value Type]],Table2915[],2,FALSE))</f>
        <v>longout</v>
      </c>
      <c r="Y703" s="30" t="str">
        <f>IF(Table13[[#This Row],[value Type]]="","",VLOOKUP(Table13[[#This Row],[value Type]],Table2915[],3,FALSE))</f>
        <v>asynParamInt32</v>
      </c>
      <c r="Z703" s="64" t="str">
        <f>IF(Table13[[#This Row],[value Type]]="","",VLOOKUP(Table13[[#This Row],[value Type]],Table2915[],4,FALSE))</f>
        <v>"asynInt32"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 xml:space="preserve"> 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220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0</v>
      </c>
      <c r="AJ703" s="68">
        <f>IF(Table13[[#This Row],[value Type]]="","",Table13[[#This Row],[DataWidth]])</f>
        <v>1</v>
      </c>
      <c r="AK703" s="68" t="str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0x000000DC</v>
      </c>
    </row>
    <row r="704" spans="2:39" s="6" customFormat="1" x14ac:dyDescent="0.3">
      <c r="B704" s="12">
        <f t="shared" ref="B704:B734" si="10">B703</f>
        <v>5480</v>
      </c>
      <c r="C704" s="14" t="s">
        <v>1</v>
      </c>
      <c r="D704" s="14" t="s">
        <v>388</v>
      </c>
      <c r="E704" s="24" t="s">
        <v>349</v>
      </c>
      <c r="F704" s="24">
        <v>1</v>
      </c>
      <c r="G704" s="14" t="s">
        <v>884</v>
      </c>
      <c r="H704" s="15" t="s">
        <v>19</v>
      </c>
      <c r="I704" s="29">
        <v>37</v>
      </c>
      <c r="J704" s="15" t="s">
        <v>747</v>
      </c>
      <c r="K704" s="15" t="s">
        <v>52</v>
      </c>
      <c r="L704" s="14">
        <v>1</v>
      </c>
      <c r="M704" s="35" t="s">
        <v>19</v>
      </c>
      <c r="N704" s="15" t="s">
        <v>275</v>
      </c>
      <c r="O704" s="25" t="s">
        <v>402</v>
      </c>
      <c r="P704" s="25">
        <v>1</v>
      </c>
      <c r="Q704" s="26" t="s">
        <v>80</v>
      </c>
      <c r="R704" s="27" t="s">
        <v>277</v>
      </c>
      <c r="S704" s="27" t="s">
        <v>476</v>
      </c>
      <c r="T704" s="27">
        <v>0</v>
      </c>
      <c r="U704" s="28"/>
      <c r="V704" s="14"/>
      <c r="W704" s="14"/>
      <c r="X704" s="30" t="str">
        <f>IF(Table13[[#This Row],[value Type]]="","",VLOOKUP(Table13[[#This Row],[value Type]],Table2915[],2,FALSE))</f>
        <v>longout</v>
      </c>
      <c r="Y704" s="30" t="str">
        <f>IF(Table13[[#This Row],[value Type]]="","",VLOOKUP(Table13[[#This Row],[value Type]],Table2915[],3,FALSE))</f>
        <v>asynParamInt32</v>
      </c>
      <c r="Z704" s="64" t="str">
        <f>IF(Table13[[#This Row],[value Type]]="","",VLOOKUP(Table13[[#This Row],[value Type]],Table2915[],4,FALSE))</f>
        <v>"asynInt32"</v>
      </c>
      <c r="AA704" s="64" t="str">
        <f>IF(Table13[[#This Row],[value Type]]="","",    IF(Table13[[#This Row],[IP MAX]]="","","@"  )     )</f>
        <v>@</v>
      </c>
      <c r="AB704" s="79" t="str">
        <f>IF(Table13[[#This Row],[value Type]]="","",VLOOKUP(Table13[[#This Row],[value Type]],Table2915[],5,FALSE))</f>
        <v xml:space="preserve"> </v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704" s="79">
        <f>IF(Table13[[#This Row],[value Type]]="","",VLOOKUP(Table13[[#This Row],[IP]],Table51117[],2,FALSE))</f>
        <v>2</v>
      </c>
      <c r="AE704" s="79" t="str">
        <f>IF(Table13[[#This Row],[value Type]]="","",    IF(Table13[[#This Row],[IP MAX]]="","0","@"  )     )</f>
        <v>@</v>
      </c>
      <c r="AF704" s="68">
        <f>IF(Table13[[#This Row],[value Type]]="","",VLOOKUP(Table13[[#This Row],[Acc Type]],Table2[],2,FALSE))</f>
        <v>0</v>
      </c>
      <c r="AG704" s="75">
        <f>IF(Table13[[#This Row],[value Type]]="","",4*HEX2DEC(Table13[[#This Row],[Addr'[HEX']]]))</f>
        <v>220</v>
      </c>
      <c r="AH704" s="75">
        <f>IF(Table13[[#This Row],[value Type]]="","",VLOOKUP(Table13[[#This Row],[AddrTypeI]],Table22[],2,FALSE))</f>
        <v>0</v>
      </c>
      <c r="AI704" s="68">
        <f>IF(Table13[[#This Row],[value Type]]="","",VLOOKUP(Table13[[#This Row],[DataType]],Table351218[],2,FALSE))</f>
        <v>0</v>
      </c>
      <c r="AJ704" s="68">
        <f>IF(Table13[[#This Row],[value Type]]="","",Table13[[#This Row],[DataWidth]])</f>
        <v>1</v>
      </c>
      <c r="AK704" s="68" t="str">
        <f>IF(Table13[[#This Row],[value Type]]="","", Table13[[#This Row],[DataOffset]])</f>
        <v>1</v>
      </c>
      <c r="AL704" s="24"/>
      <c r="AM704" s="24" t="str">
        <f>IF(Table13[[#This Row],[value Type]]="","", "0x"&amp;DEC2HEX(Table13[[#This Row],[ADDR_Offset]],8) )</f>
        <v>0x000000DC</v>
      </c>
    </row>
    <row r="705" spans="2:39" s="6" customFormat="1" x14ac:dyDescent="0.3">
      <c r="B705" s="12">
        <f t="shared" si="10"/>
        <v>5480</v>
      </c>
      <c r="C705" s="14" t="s">
        <v>1</v>
      </c>
      <c r="D705" s="14" t="s">
        <v>388</v>
      </c>
      <c r="E705" s="24" t="s">
        <v>349</v>
      </c>
      <c r="F705" s="24">
        <v>1</v>
      </c>
      <c r="G705" s="14" t="s">
        <v>884</v>
      </c>
      <c r="H705" s="15" t="s">
        <v>6</v>
      </c>
      <c r="I705" s="29">
        <v>37</v>
      </c>
      <c r="J705" s="15" t="s">
        <v>747</v>
      </c>
      <c r="K705" s="15" t="s">
        <v>52</v>
      </c>
      <c r="L705" s="14">
        <v>1</v>
      </c>
      <c r="M705" s="35" t="s">
        <v>6</v>
      </c>
      <c r="N705" s="15" t="s">
        <v>275</v>
      </c>
      <c r="O705" s="25" t="s">
        <v>276</v>
      </c>
      <c r="P705" s="25">
        <v>1</v>
      </c>
      <c r="Q705" s="26" t="s">
        <v>80</v>
      </c>
      <c r="R705" s="27" t="s">
        <v>277</v>
      </c>
      <c r="S705" s="27" t="s">
        <v>239</v>
      </c>
      <c r="T705" s="27">
        <v>0</v>
      </c>
      <c r="U705" s="28"/>
      <c r="V705" s="14"/>
      <c r="W705" s="14"/>
      <c r="X705" s="30" t="str">
        <f>IF(Table13[[#This Row],[value Type]]="","",VLOOKUP(Table13[[#This Row],[value Type]],Table2915[],2,FALSE))</f>
        <v>longout</v>
      </c>
      <c r="Y705" s="30" t="str">
        <f>IF(Table13[[#This Row],[value Type]]="","",VLOOKUP(Table13[[#This Row],[value Type]],Table2915[],3,FALSE))</f>
        <v>asynParamInt32</v>
      </c>
      <c r="Z705" s="64" t="str">
        <f>IF(Table13[[#This Row],[value Type]]="","",VLOOKUP(Table13[[#This Row],[value Type]],Table2915[],4,FALSE))</f>
        <v>"asynInt32"</v>
      </c>
      <c r="AA705" s="64" t="str">
        <f>IF(Table13[[#This Row],[value Type]]="","",    IF(Table13[[#This Row],[IP MAX]]="","","@"  )     )</f>
        <v>@</v>
      </c>
      <c r="AB705" s="79" t="str">
        <f>IF(Table13[[#This Row],[value Type]]="","",VLOOKUP(Table13[[#This Row],[value Type]],Table2915[],5,FALSE))</f>
        <v xml:space="preserve"> </v>
      </c>
      <c r="AC7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705" s="79">
        <f>IF(Table13[[#This Row],[value Type]]="","",VLOOKUP(Table13[[#This Row],[IP]],Table51117[],2,FALSE))</f>
        <v>2</v>
      </c>
      <c r="AE705" s="79" t="str">
        <f>IF(Table13[[#This Row],[value Type]]="","",    IF(Table13[[#This Row],[IP MAX]]="","0","@"  )     )</f>
        <v>@</v>
      </c>
      <c r="AF705" s="68">
        <f>IF(Table13[[#This Row],[value Type]]="","",VLOOKUP(Table13[[#This Row],[Acc Type]],Table2[],2,FALSE))</f>
        <v>0</v>
      </c>
      <c r="AG705" s="75">
        <f>IF(Table13[[#This Row],[value Type]]="","",4*HEX2DEC(Table13[[#This Row],[Addr'[HEX']]]))</f>
        <v>220</v>
      </c>
      <c r="AH705" s="75">
        <f>IF(Table13[[#This Row],[value Type]]="","",VLOOKUP(Table13[[#This Row],[AddrTypeI]],Table22[],2,FALSE))</f>
        <v>0</v>
      </c>
      <c r="AI705" s="68">
        <f>IF(Table13[[#This Row],[value Type]]="","",VLOOKUP(Table13[[#This Row],[DataType]],Table351218[],2,FALSE))</f>
        <v>0</v>
      </c>
      <c r="AJ705" s="68">
        <f>IF(Table13[[#This Row],[value Type]]="","",Table13[[#This Row],[DataWidth]])</f>
        <v>1</v>
      </c>
      <c r="AK705" s="68" t="str">
        <f>IF(Table13[[#This Row],[value Type]]="","", Table13[[#This Row],[DataOffset]])</f>
        <v>2</v>
      </c>
      <c r="AL705" s="24"/>
      <c r="AM705" s="24" t="str">
        <f>IF(Table13[[#This Row],[value Type]]="","", "0x"&amp;DEC2HEX(Table13[[#This Row],[ADDR_Offset]],8) )</f>
        <v>0x000000DC</v>
      </c>
    </row>
    <row r="706" spans="2:39" s="6" customFormat="1" x14ac:dyDescent="0.3">
      <c r="B706" s="12">
        <f t="shared" si="10"/>
        <v>5480</v>
      </c>
      <c r="C706" s="14" t="s">
        <v>1</v>
      </c>
      <c r="D706" s="14" t="s">
        <v>388</v>
      </c>
      <c r="E706" s="24" t="s">
        <v>349</v>
      </c>
      <c r="F706" s="24">
        <v>1</v>
      </c>
      <c r="G706" s="14" t="s">
        <v>884</v>
      </c>
      <c r="H706" s="15" t="s">
        <v>7</v>
      </c>
      <c r="I706" s="29">
        <v>37</v>
      </c>
      <c r="J706" s="15" t="s">
        <v>747</v>
      </c>
      <c r="K706" s="15" t="s">
        <v>52</v>
      </c>
      <c r="L706" s="14">
        <v>1</v>
      </c>
      <c r="M706" s="35" t="s">
        <v>7</v>
      </c>
      <c r="N706" s="15" t="s">
        <v>275</v>
      </c>
      <c r="O706" s="25" t="s">
        <v>276</v>
      </c>
      <c r="P706" s="25">
        <v>1</v>
      </c>
      <c r="Q706" s="26" t="s">
        <v>80</v>
      </c>
      <c r="R706" s="27" t="s">
        <v>277</v>
      </c>
      <c r="S706" s="27" t="s">
        <v>476</v>
      </c>
      <c r="T706" s="27">
        <v>0</v>
      </c>
      <c r="U706" s="28"/>
      <c r="V706" s="14"/>
      <c r="W706" s="14"/>
      <c r="X706" s="30" t="str">
        <f>IF(Table13[[#This Row],[value Type]]="","",VLOOKUP(Table13[[#This Row],[value Type]],Table2915[],2,FALSE))</f>
        <v>longout</v>
      </c>
      <c r="Y706" s="30" t="str">
        <f>IF(Table13[[#This Row],[value Type]]="","",VLOOKUP(Table13[[#This Row],[value Type]],Table2915[],3,FALSE))</f>
        <v>asynParamInt32</v>
      </c>
      <c r="Z706" s="64" t="str">
        <f>IF(Table13[[#This Row],[value Type]]="","",VLOOKUP(Table13[[#This Row],[value Type]],Table2915[],4,FALSE))</f>
        <v>"asynInt32"</v>
      </c>
      <c r="AA706" s="64" t="str">
        <f>IF(Table13[[#This Row],[value Type]]="","",    IF(Table13[[#This Row],[IP MAX]]="","","@"  )     )</f>
        <v>@</v>
      </c>
      <c r="AB706" s="79" t="str">
        <f>IF(Table13[[#This Row],[value Type]]="","",VLOOKUP(Table13[[#This Row],[value Type]],Table2915[],5,FALSE))</f>
        <v xml:space="preserve"> </v>
      </c>
      <c r="AC7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706" s="79">
        <f>IF(Table13[[#This Row],[value Type]]="","",VLOOKUP(Table13[[#This Row],[IP]],Table51117[],2,FALSE))</f>
        <v>2</v>
      </c>
      <c r="AE706" s="79" t="str">
        <f>IF(Table13[[#This Row],[value Type]]="","",    IF(Table13[[#This Row],[IP MAX]]="","0","@"  )     )</f>
        <v>@</v>
      </c>
      <c r="AF706" s="68">
        <f>IF(Table13[[#This Row],[value Type]]="","",VLOOKUP(Table13[[#This Row],[Acc Type]],Table2[],2,FALSE))</f>
        <v>0</v>
      </c>
      <c r="AG706" s="75">
        <f>IF(Table13[[#This Row],[value Type]]="","",4*HEX2DEC(Table13[[#This Row],[Addr'[HEX']]]))</f>
        <v>220</v>
      </c>
      <c r="AH706" s="75">
        <f>IF(Table13[[#This Row],[value Type]]="","",VLOOKUP(Table13[[#This Row],[AddrTypeI]],Table22[],2,FALSE))</f>
        <v>0</v>
      </c>
      <c r="AI706" s="68">
        <f>IF(Table13[[#This Row],[value Type]]="","",VLOOKUP(Table13[[#This Row],[DataType]],Table351218[],2,FALSE))</f>
        <v>0</v>
      </c>
      <c r="AJ706" s="68">
        <f>IF(Table13[[#This Row],[value Type]]="","",Table13[[#This Row],[DataWidth]])</f>
        <v>1</v>
      </c>
      <c r="AK706" s="68" t="str">
        <f>IF(Table13[[#This Row],[value Type]]="","", Table13[[#This Row],[DataOffset]])</f>
        <v>3</v>
      </c>
      <c r="AL706" s="24"/>
      <c r="AM706" s="24" t="str">
        <f>IF(Table13[[#This Row],[value Type]]="","", "0x"&amp;DEC2HEX(Table13[[#This Row],[ADDR_Offset]],8) )</f>
        <v>0x000000DC</v>
      </c>
    </row>
    <row r="707" spans="2:39" s="6" customFormat="1" x14ac:dyDescent="0.3">
      <c r="B707" s="12">
        <f t="shared" si="10"/>
        <v>5480</v>
      </c>
      <c r="C707" s="14" t="s">
        <v>1</v>
      </c>
      <c r="D707" s="14" t="s">
        <v>388</v>
      </c>
      <c r="E707" s="24" t="s">
        <v>349</v>
      </c>
      <c r="F707" s="24">
        <v>1</v>
      </c>
      <c r="G707" s="14" t="s">
        <v>884</v>
      </c>
      <c r="H707" s="15" t="s">
        <v>8</v>
      </c>
      <c r="I707" s="29">
        <v>37</v>
      </c>
      <c r="J707" s="15" t="s">
        <v>747</v>
      </c>
      <c r="K707" s="15" t="s">
        <v>52</v>
      </c>
      <c r="L707" s="14">
        <v>1</v>
      </c>
      <c r="M707" s="35" t="s">
        <v>8</v>
      </c>
      <c r="N707" s="15" t="s">
        <v>463</v>
      </c>
      <c r="O707" s="25" t="s">
        <v>276</v>
      </c>
      <c r="P707" s="25">
        <v>1</v>
      </c>
      <c r="Q707" s="26" t="s">
        <v>80</v>
      </c>
      <c r="R707" s="27" t="s">
        <v>277</v>
      </c>
      <c r="S707" s="27" t="s">
        <v>239</v>
      </c>
      <c r="T707" s="27">
        <v>0</v>
      </c>
      <c r="U707" s="28"/>
      <c r="V707" s="14"/>
      <c r="W707" s="14"/>
      <c r="X707" s="30" t="str">
        <f>IF(Table13[[#This Row],[value Type]]="","",VLOOKUP(Table13[[#This Row],[value Type]],Table2915[],2,FALSE))</f>
        <v>longout</v>
      </c>
      <c r="Y707" s="30" t="str">
        <f>IF(Table13[[#This Row],[value Type]]="","",VLOOKUP(Table13[[#This Row],[value Type]],Table2915[],3,FALSE))</f>
        <v>asynParamInt32</v>
      </c>
      <c r="Z707" s="64" t="str">
        <f>IF(Table13[[#This Row],[value Type]]="","",VLOOKUP(Table13[[#This Row],[value Type]],Table2915[],4,FALSE))</f>
        <v>"asynInt32"</v>
      </c>
      <c r="AA707" s="64" t="str">
        <f>IF(Table13[[#This Row],[value Type]]="","",    IF(Table13[[#This Row],[IP MAX]]="","","@"  )     )</f>
        <v>@</v>
      </c>
      <c r="AB707" s="79" t="str">
        <f>IF(Table13[[#This Row],[value Type]]="","",VLOOKUP(Table13[[#This Row],[value Type]],Table2915[],5,FALSE))</f>
        <v xml:space="preserve"> </v>
      </c>
      <c r="AC7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707" s="79">
        <f>IF(Table13[[#This Row],[value Type]]="","",VLOOKUP(Table13[[#This Row],[IP]],Table51117[],2,FALSE))</f>
        <v>2</v>
      </c>
      <c r="AE707" s="79" t="str">
        <f>IF(Table13[[#This Row],[value Type]]="","",    IF(Table13[[#This Row],[IP MAX]]="","0","@"  )     )</f>
        <v>@</v>
      </c>
      <c r="AF707" s="68">
        <f>IF(Table13[[#This Row],[value Type]]="","",VLOOKUP(Table13[[#This Row],[Acc Type]],Table2[],2,FALSE))</f>
        <v>0</v>
      </c>
      <c r="AG707" s="75">
        <f>IF(Table13[[#This Row],[value Type]]="","",4*HEX2DEC(Table13[[#This Row],[Addr'[HEX']]]))</f>
        <v>220</v>
      </c>
      <c r="AH707" s="75">
        <f>IF(Table13[[#This Row],[value Type]]="","",VLOOKUP(Table13[[#This Row],[AddrTypeI]],Table22[],2,FALSE))</f>
        <v>0</v>
      </c>
      <c r="AI707" s="68">
        <f>IF(Table13[[#This Row],[value Type]]="","",VLOOKUP(Table13[[#This Row],[DataType]],Table351218[],2,FALSE))</f>
        <v>0</v>
      </c>
      <c r="AJ707" s="68">
        <f>IF(Table13[[#This Row],[value Type]]="","",Table13[[#This Row],[DataWidth]])</f>
        <v>1</v>
      </c>
      <c r="AK707" s="68" t="str">
        <f>IF(Table13[[#This Row],[value Type]]="","", Table13[[#This Row],[DataOffset]])</f>
        <v>4</v>
      </c>
      <c r="AL707" s="24"/>
      <c r="AM707" s="24" t="str">
        <f>IF(Table13[[#This Row],[value Type]]="","", "0x"&amp;DEC2HEX(Table13[[#This Row],[ADDR_Offset]],8) )</f>
        <v>0x000000DC</v>
      </c>
    </row>
    <row r="708" spans="2:39" s="6" customFormat="1" x14ac:dyDescent="0.3">
      <c r="B708" s="12">
        <f t="shared" si="10"/>
        <v>5480</v>
      </c>
      <c r="C708" s="14" t="s">
        <v>1</v>
      </c>
      <c r="D708" s="14" t="s">
        <v>388</v>
      </c>
      <c r="E708" s="24" t="s">
        <v>349</v>
      </c>
      <c r="F708" s="24">
        <v>1</v>
      </c>
      <c r="G708" s="14" t="s">
        <v>884</v>
      </c>
      <c r="H708" s="15" t="s">
        <v>9</v>
      </c>
      <c r="I708" s="29">
        <v>37</v>
      </c>
      <c r="J708" s="15" t="s">
        <v>747</v>
      </c>
      <c r="K708" s="15" t="s">
        <v>52</v>
      </c>
      <c r="L708" s="14">
        <v>1</v>
      </c>
      <c r="M708" s="35" t="s">
        <v>9</v>
      </c>
      <c r="N708" s="15" t="s">
        <v>275</v>
      </c>
      <c r="O708" s="25" t="s">
        <v>402</v>
      </c>
      <c r="P708" s="25">
        <v>1</v>
      </c>
      <c r="Q708" s="26" t="s">
        <v>80</v>
      </c>
      <c r="R708" s="27" t="s">
        <v>277</v>
      </c>
      <c r="S708" s="27" t="s">
        <v>239</v>
      </c>
      <c r="T708" s="27">
        <v>0</v>
      </c>
      <c r="U708" s="28"/>
      <c r="V708" s="14"/>
      <c r="W708" s="14"/>
      <c r="X708" s="30" t="str">
        <f>IF(Table13[[#This Row],[value Type]]="","",VLOOKUP(Table13[[#This Row],[value Type]],Table2915[],2,FALSE))</f>
        <v>longout</v>
      </c>
      <c r="Y708" s="30" t="str">
        <f>IF(Table13[[#This Row],[value Type]]="","",VLOOKUP(Table13[[#This Row],[value Type]],Table2915[],3,FALSE))</f>
        <v>asynParamInt32</v>
      </c>
      <c r="Z708" s="64" t="str">
        <f>IF(Table13[[#This Row],[value Type]]="","",VLOOKUP(Table13[[#This Row],[value Type]],Table2915[],4,FALSE))</f>
        <v>"asynInt32"</v>
      </c>
      <c r="AA708" s="64" t="str">
        <f>IF(Table13[[#This Row],[value Type]]="","",    IF(Table13[[#This Row],[IP MAX]]="","","@"  )     )</f>
        <v>@</v>
      </c>
      <c r="AB708" s="79" t="str">
        <f>IF(Table13[[#This Row],[value Type]]="","",VLOOKUP(Table13[[#This Row],[value Type]],Table2915[],5,FALSE))</f>
        <v xml:space="preserve"> </v>
      </c>
      <c r="AC7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708" s="79">
        <f>IF(Table13[[#This Row],[value Type]]="","",VLOOKUP(Table13[[#This Row],[IP]],Table51117[],2,FALSE))</f>
        <v>2</v>
      </c>
      <c r="AE708" s="79" t="str">
        <f>IF(Table13[[#This Row],[value Type]]="","",    IF(Table13[[#This Row],[IP MAX]]="","0","@"  )     )</f>
        <v>@</v>
      </c>
      <c r="AF708" s="68">
        <f>IF(Table13[[#This Row],[value Type]]="","",VLOOKUP(Table13[[#This Row],[Acc Type]],Table2[],2,FALSE))</f>
        <v>0</v>
      </c>
      <c r="AG708" s="75">
        <f>IF(Table13[[#This Row],[value Type]]="","",4*HEX2DEC(Table13[[#This Row],[Addr'[HEX']]]))</f>
        <v>220</v>
      </c>
      <c r="AH708" s="75">
        <f>IF(Table13[[#This Row],[value Type]]="","",VLOOKUP(Table13[[#This Row],[AddrTypeI]],Table22[],2,FALSE))</f>
        <v>0</v>
      </c>
      <c r="AI708" s="68">
        <f>IF(Table13[[#This Row],[value Type]]="","",VLOOKUP(Table13[[#This Row],[DataType]],Table351218[],2,FALSE))</f>
        <v>0</v>
      </c>
      <c r="AJ708" s="68">
        <f>IF(Table13[[#This Row],[value Type]]="","",Table13[[#This Row],[DataWidth]])</f>
        <v>1</v>
      </c>
      <c r="AK708" s="68" t="str">
        <f>IF(Table13[[#This Row],[value Type]]="","", Table13[[#This Row],[DataOffset]])</f>
        <v>5</v>
      </c>
      <c r="AL708" s="24"/>
      <c r="AM708" s="24" t="str">
        <f>IF(Table13[[#This Row],[value Type]]="","", "0x"&amp;DEC2HEX(Table13[[#This Row],[ADDR_Offset]],8) )</f>
        <v>0x000000DC</v>
      </c>
    </row>
    <row r="709" spans="2:39" s="6" customFormat="1" x14ac:dyDescent="0.3">
      <c r="B709" s="12">
        <f t="shared" si="10"/>
        <v>5480</v>
      </c>
      <c r="C709" s="14" t="s">
        <v>1</v>
      </c>
      <c r="D709" s="14" t="s">
        <v>388</v>
      </c>
      <c r="E709" s="24" t="s">
        <v>349</v>
      </c>
      <c r="F709" s="24">
        <v>1</v>
      </c>
      <c r="G709" s="14" t="s">
        <v>884</v>
      </c>
      <c r="H709" s="15" t="s">
        <v>10</v>
      </c>
      <c r="I709" s="29">
        <v>37</v>
      </c>
      <c r="J709" s="15" t="s">
        <v>747</v>
      </c>
      <c r="K709" s="15" t="s">
        <v>52</v>
      </c>
      <c r="L709" s="14">
        <v>1</v>
      </c>
      <c r="M709" s="35" t="s">
        <v>10</v>
      </c>
      <c r="N709" s="15" t="s">
        <v>463</v>
      </c>
      <c r="O709" s="25" t="s">
        <v>402</v>
      </c>
      <c r="P709" s="25">
        <v>1</v>
      </c>
      <c r="Q709" s="26" t="s">
        <v>80</v>
      </c>
      <c r="R709" s="27" t="s">
        <v>277</v>
      </c>
      <c r="S709" s="27" t="s">
        <v>476</v>
      </c>
      <c r="T709" s="27">
        <v>0</v>
      </c>
      <c r="U709" s="28"/>
      <c r="V709" s="14"/>
      <c r="W709" s="14"/>
      <c r="X709" s="30" t="str">
        <f>IF(Table13[[#This Row],[value Type]]="","",VLOOKUP(Table13[[#This Row],[value Type]],Table2915[],2,FALSE))</f>
        <v>longout</v>
      </c>
      <c r="Y709" s="30" t="str">
        <f>IF(Table13[[#This Row],[value Type]]="","",VLOOKUP(Table13[[#This Row],[value Type]],Table2915[],3,FALSE))</f>
        <v>asynParamInt32</v>
      </c>
      <c r="Z709" s="64" t="str">
        <f>IF(Table13[[#This Row],[value Type]]="","",VLOOKUP(Table13[[#This Row],[value Type]],Table2915[],4,FALSE))</f>
        <v>"asynInt32"</v>
      </c>
      <c r="AA709" s="64" t="str">
        <f>IF(Table13[[#This Row],[value Type]]="","",    IF(Table13[[#This Row],[IP MAX]]="","","@"  )     )</f>
        <v>@</v>
      </c>
      <c r="AB709" s="79" t="str">
        <f>IF(Table13[[#This Row],[value Type]]="","",VLOOKUP(Table13[[#This Row],[value Type]],Table2915[],5,FALSE))</f>
        <v xml:space="preserve"> </v>
      </c>
      <c r="AC7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709" s="79">
        <f>IF(Table13[[#This Row],[value Type]]="","",VLOOKUP(Table13[[#This Row],[IP]],Table51117[],2,FALSE))</f>
        <v>2</v>
      </c>
      <c r="AE709" s="79" t="str">
        <f>IF(Table13[[#This Row],[value Type]]="","",    IF(Table13[[#This Row],[IP MAX]]="","0","@"  )     )</f>
        <v>@</v>
      </c>
      <c r="AF709" s="68">
        <f>IF(Table13[[#This Row],[value Type]]="","",VLOOKUP(Table13[[#This Row],[Acc Type]],Table2[],2,FALSE))</f>
        <v>0</v>
      </c>
      <c r="AG709" s="75">
        <f>IF(Table13[[#This Row],[value Type]]="","",4*HEX2DEC(Table13[[#This Row],[Addr'[HEX']]]))</f>
        <v>220</v>
      </c>
      <c r="AH709" s="75">
        <f>IF(Table13[[#This Row],[value Type]]="","",VLOOKUP(Table13[[#This Row],[AddrTypeI]],Table22[],2,FALSE))</f>
        <v>0</v>
      </c>
      <c r="AI709" s="68">
        <f>IF(Table13[[#This Row],[value Type]]="","",VLOOKUP(Table13[[#This Row],[DataType]],Table351218[],2,FALSE))</f>
        <v>0</v>
      </c>
      <c r="AJ709" s="68">
        <f>IF(Table13[[#This Row],[value Type]]="","",Table13[[#This Row],[DataWidth]])</f>
        <v>1</v>
      </c>
      <c r="AK709" s="68" t="str">
        <f>IF(Table13[[#This Row],[value Type]]="","", Table13[[#This Row],[DataOffset]])</f>
        <v>6</v>
      </c>
      <c r="AL709" s="24"/>
      <c r="AM709" s="24" t="str">
        <f>IF(Table13[[#This Row],[value Type]]="","", "0x"&amp;DEC2HEX(Table13[[#This Row],[ADDR_Offset]],8) )</f>
        <v>0x000000DC</v>
      </c>
    </row>
    <row r="710" spans="2:39" s="6" customFormat="1" x14ac:dyDescent="0.3">
      <c r="B710" s="12">
        <f t="shared" si="10"/>
        <v>5480</v>
      </c>
      <c r="C710" s="14" t="s">
        <v>1</v>
      </c>
      <c r="D710" s="14" t="s">
        <v>388</v>
      </c>
      <c r="E710" s="24" t="s">
        <v>349</v>
      </c>
      <c r="F710" s="24">
        <v>1</v>
      </c>
      <c r="G710" s="14" t="s">
        <v>884</v>
      </c>
      <c r="H710" s="15" t="s">
        <v>11</v>
      </c>
      <c r="I710" s="29">
        <v>37</v>
      </c>
      <c r="J710" s="15" t="s">
        <v>747</v>
      </c>
      <c r="K710" s="15" t="s">
        <v>52</v>
      </c>
      <c r="L710" s="14">
        <v>1</v>
      </c>
      <c r="M710" s="35" t="s">
        <v>11</v>
      </c>
      <c r="N710" s="15" t="s">
        <v>275</v>
      </c>
      <c r="O710" s="25" t="s">
        <v>276</v>
      </c>
      <c r="P710" s="25">
        <v>1</v>
      </c>
      <c r="Q710" s="26" t="s">
        <v>80</v>
      </c>
      <c r="R710" s="27" t="s">
        <v>277</v>
      </c>
      <c r="S710" s="27" t="s">
        <v>239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>@</v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710" s="79">
        <f>IF(Table13[[#This Row],[value Type]]="","",VLOOKUP(Table13[[#This Row],[IP]],Table51117[],2,FALSE))</f>
        <v>2</v>
      </c>
      <c r="AE710" s="79" t="str">
        <f>IF(Table13[[#This Row],[value Type]]="","",    IF(Table13[[#This Row],[IP MAX]]="","0","@"  )     )</f>
        <v>@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220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0</v>
      </c>
      <c r="AJ710" s="68">
        <f>IF(Table13[[#This Row],[value Type]]="","",Table13[[#This Row],[DataWidth]])</f>
        <v>1</v>
      </c>
      <c r="AK710" s="68" t="str">
        <f>IF(Table13[[#This Row],[value Type]]="","", Table13[[#This Row],[DataOffset]])</f>
        <v>7</v>
      </c>
      <c r="AL710" s="24"/>
      <c r="AM710" s="24" t="str">
        <f>IF(Table13[[#This Row],[value Type]]="","", "0x"&amp;DEC2HEX(Table13[[#This Row],[ADDR_Offset]],8) )</f>
        <v>0x000000DC</v>
      </c>
    </row>
    <row r="711" spans="2:39" s="6" customFormat="1" x14ac:dyDescent="0.3">
      <c r="B711" s="12">
        <f t="shared" si="10"/>
        <v>5480</v>
      </c>
      <c r="C711" s="14" t="s">
        <v>1</v>
      </c>
      <c r="D711" s="14" t="s">
        <v>388</v>
      </c>
      <c r="E711" s="24" t="s">
        <v>349</v>
      </c>
      <c r="F711" s="24">
        <v>1</v>
      </c>
      <c r="G711" s="14" t="s">
        <v>884</v>
      </c>
      <c r="H711" s="15" t="s">
        <v>12</v>
      </c>
      <c r="I711" s="29">
        <v>37</v>
      </c>
      <c r="J711" s="15" t="s">
        <v>747</v>
      </c>
      <c r="K711" s="15" t="s">
        <v>52</v>
      </c>
      <c r="L711" s="14">
        <v>1</v>
      </c>
      <c r="M711" s="35" t="s">
        <v>12</v>
      </c>
      <c r="N711" s="15" t="s">
        <v>275</v>
      </c>
      <c r="O711" s="25" t="s">
        <v>276</v>
      </c>
      <c r="P711" s="25">
        <v>1</v>
      </c>
      <c r="Q711" s="26" t="s">
        <v>80</v>
      </c>
      <c r="R711" s="27" t="s">
        <v>277</v>
      </c>
      <c r="S711" s="27" t="s">
        <v>239</v>
      </c>
      <c r="T711" s="27">
        <v>0</v>
      </c>
      <c r="U711" s="28"/>
      <c r="V711" s="14"/>
      <c r="W711" s="14"/>
      <c r="X711" s="30" t="str">
        <f>IF(Table13[[#This Row],[value Type]]="","",VLOOKUP(Table13[[#This Row],[value Type]],Table2915[],2,FALSE))</f>
        <v>longout</v>
      </c>
      <c r="Y711" s="30" t="str">
        <f>IF(Table13[[#This Row],[value Type]]="","",VLOOKUP(Table13[[#This Row],[value Type]],Table2915[],3,FALSE))</f>
        <v>asynParamInt32</v>
      </c>
      <c r="Z711" s="64" t="str">
        <f>IF(Table13[[#This Row],[value Type]]="","",VLOOKUP(Table13[[#This Row],[value Type]],Table2915[],4,FALSE))</f>
        <v>"asynInt32"</v>
      </c>
      <c r="AA711" s="64" t="str">
        <f>IF(Table13[[#This Row],[value Type]]="","",    IF(Table13[[#This Row],[IP MAX]]="","","@"  )     )</f>
        <v>@</v>
      </c>
      <c r="AB711" s="79" t="str">
        <f>IF(Table13[[#This Row],[value Type]]="","",VLOOKUP(Table13[[#This Row],[value Type]],Table2915[],5,FALSE))</f>
        <v xml:space="preserve"> </v>
      </c>
      <c r="AC7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711" s="79">
        <f>IF(Table13[[#This Row],[value Type]]="","",VLOOKUP(Table13[[#This Row],[IP]],Table51117[],2,FALSE))</f>
        <v>2</v>
      </c>
      <c r="AE711" s="79" t="str">
        <f>IF(Table13[[#This Row],[value Type]]="","",    IF(Table13[[#This Row],[IP MAX]]="","0","@"  )     )</f>
        <v>@</v>
      </c>
      <c r="AF711" s="68">
        <f>IF(Table13[[#This Row],[value Type]]="","",VLOOKUP(Table13[[#This Row],[Acc Type]],Table2[],2,FALSE))</f>
        <v>0</v>
      </c>
      <c r="AG711" s="75">
        <f>IF(Table13[[#This Row],[value Type]]="","",4*HEX2DEC(Table13[[#This Row],[Addr'[HEX']]]))</f>
        <v>220</v>
      </c>
      <c r="AH711" s="75">
        <f>IF(Table13[[#This Row],[value Type]]="","",VLOOKUP(Table13[[#This Row],[AddrTypeI]],Table22[],2,FALSE))</f>
        <v>0</v>
      </c>
      <c r="AI711" s="68">
        <f>IF(Table13[[#This Row],[value Type]]="","",VLOOKUP(Table13[[#This Row],[DataType]],Table351218[],2,FALSE))</f>
        <v>0</v>
      </c>
      <c r="AJ711" s="68">
        <f>IF(Table13[[#This Row],[value Type]]="","",Table13[[#This Row],[DataWidth]])</f>
        <v>1</v>
      </c>
      <c r="AK711" s="68" t="str">
        <f>IF(Table13[[#This Row],[value Type]]="","", Table13[[#This Row],[DataOffset]])</f>
        <v>8</v>
      </c>
      <c r="AL711" s="24"/>
      <c r="AM711" s="24" t="str">
        <f>IF(Table13[[#This Row],[value Type]]="","", "0x"&amp;DEC2HEX(Table13[[#This Row],[ADDR_Offset]],8) )</f>
        <v>0x000000DC</v>
      </c>
    </row>
    <row r="712" spans="2:39" s="6" customFormat="1" x14ac:dyDescent="0.3">
      <c r="B712" s="12">
        <f t="shared" si="10"/>
        <v>5480</v>
      </c>
      <c r="C712" s="14" t="s">
        <v>1</v>
      </c>
      <c r="D712" s="14" t="s">
        <v>388</v>
      </c>
      <c r="E712" s="24" t="s">
        <v>349</v>
      </c>
      <c r="F712" s="24">
        <v>1</v>
      </c>
      <c r="G712" s="14" t="s">
        <v>884</v>
      </c>
      <c r="H712" s="15" t="s">
        <v>13</v>
      </c>
      <c r="I712" s="29">
        <v>37</v>
      </c>
      <c r="J712" s="15" t="s">
        <v>747</v>
      </c>
      <c r="K712" s="15" t="s">
        <v>52</v>
      </c>
      <c r="L712" s="14">
        <v>1</v>
      </c>
      <c r="M712" s="35" t="s">
        <v>13</v>
      </c>
      <c r="N712" s="15" t="s">
        <v>275</v>
      </c>
      <c r="O712" s="25" t="s">
        <v>402</v>
      </c>
      <c r="P712" s="25">
        <v>1</v>
      </c>
      <c r="Q712" s="26" t="s">
        <v>80</v>
      </c>
      <c r="R712" s="27" t="s">
        <v>277</v>
      </c>
      <c r="S712" s="27" t="s">
        <v>239</v>
      </c>
      <c r="T712" s="27">
        <v>0</v>
      </c>
      <c r="U712" s="28"/>
      <c r="V712" s="14"/>
      <c r="W712" s="14"/>
      <c r="X712" s="30" t="str">
        <f>IF(Table13[[#This Row],[value Type]]="","",VLOOKUP(Table13[[#This Row],[value Type]],Table2915[],2,FALSE))</f>
        <v>longout</v>
      </c>
      <c r="Y712" s="30" t="str">
        <f>IF(Table13[[#This Row],[value Type]]="","",VLOOKUP(Table13[[#This Row],[value Type]],Table2915[],3,FALSE))</f>
        <v>asynParamInt32</v>
      </c>
      <c r="Z712" s="64" t="str">
        <f>IF(Table13[[#This Row],[value Type]]="","",VLOOKUP(Table13[[#This Row],[value Type]],Table2915[],4,FALSE))</f>
        <v>"asynInt32"</v>
      </c>
      <c r="AA712" s="64" t="str">
        <f>IF(Table13[[#This Row],[value Type]]="","",    IF(Table13[[#This Row],[IP MAX]]="","","@"  )     )</f>
        <v>@</v>
      </c>
      <c r="AB712" s="79" t="str">
        <f>IF(Table13[[#This Row],[value Type]]="","",VLOOKUP(Table13[[#This Row],[value Type]],Table2915[],5,FALSE))</f>
        <v xml:space="preserve"> </v>
      </c>
      <c r="AC7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712" s="79">
        <f>IF(Table13[[#This Row],[value Type]]="","",VLOOKUP(Table13[[#This Row],[IP]],Table51117[],2,FALSE))</f>
        <v>2</v>
      </c>
      <c r="AE712" s="79" t="str">
        <f>IF(Table13[[#This Row],[value Type]]="","",    IF(Table13[[#This Row],[IP MAX]]="","0","@"  )     )</f>
        <v>@</v>
      </c>
      <c r="AF712" s="68">
        <f>IF(Table13[[#This Row],[value Type]]="","",VLOOKUP(Table13[[#This Row],[Acc Type]],Table2[],2,FALSE))</f>
        <v>0</v>
      </c>
      <c r="AG712" s="75">
        <f>IF(Table13[[#This Row],[value Type]]="","",4*HEX2DEC(Table13[[#This Row],[Addr'[HEX']]]))</f>
        <v>220</v>
      </c>
      <c r="AH712" s="75">
        <f>IF(Table13[[#This Row],[value Type]]="","",VLOOKUP(Table13[[#This Row],[AddrTypeI]],Table22[],2,FALSE))</f>
        <v>0</v>
      </c>
      <c r="AI712" s="68">
        <f>IF(Table13[[#This Row],[value Type]]="","",VLOOKUP(Table13[[#This Row],[DataType]],Table351218[],2,FALSE))</f>
        <v>0</v>
      </c>
      <c r="AJ712" s="68">
        <f>IF(Table13[[#This Row],[value Type]]="","",Table13[[#This Row],[DataWidth]])</f>
        <v>1</v>
      </c>
      <c r="AK712" s="68" t="str">
        <f>IF(Table13[[#This Row],[value Type]]="","", Table13[[#This Row],[DataOffset]])</f>
        <v>9</v>
      </c>
      <c r="AL712" s="24"/>
      <c r="AM712" s="24" t="str">
        <f>IF(Table13[[#This Row],[value Type]]="","", "0x"&amp;DEC2HEX(Table13[[#This Row],[ADDR_Offset]],8) )</f>
        <v>0x000000DC</v>
      </c>
    </row>
    <row r="713" spans="2:39" s="6" customFormat="1" x14ac:dyDescent="0.3">
      <c r="B713" s="12">
        <f t="shared" si="10"/>
        <v>5480</v>
      </c>
      <c r="C713" s="14" t="s">
        <v>1</v>
      </c>
      <c r="D713" s="14" t="s">
        <v>388</v>
      </c>
      <c r="E713" s="24" t="s">
        <v>349</v>
      </c>
      <c r="F713" s="24">
        <v>1</v>
      </c>
      <c r="G713" s="14" t="s">
        <v>884</v>
      </c>
      <c r="H713" s="15" t="s">
        <v>20</v>
      </c>
      <c r="I713" s="29">
        <v>37</v>
      </c>
      <c r="J713" s="15" t="s">
        <v>747</v>
      </c>
      <c r="K713" s="15" t="s">
        <v>52</v>
      </c>
      <c r="L713" s="14">
        <v>1</v>
      </c>
      <c r="M713" s="35" t="s">
        <v>20</v>
      </c>
      <c r="N713" s="15" t="s">
        <v>275</v>
      </c>
      <c r="O713" s="25" t="s">
        <v>96</v>
      </c>
      <c r="P713" s="25">
        <v>1</v>
      </c>
      <c r="Q713" s="26" t="s">
        <v>80</v>
      </c>
      <c r="R713" s="27" t="s">
        <v>277</v>
      </c>
      <c r="S713" s="27" t="s">
        <v>239</v>
      </c>
      <c r="T713" s="27">
        <v>0</v>
      </c>
      <c r="U713" s="28"/>
      <c r="V713" s="14"/>
      <c r="W713" s="14"/>
      <c r="X713" s="30" t="str">
        <f>IF(Table13[[#This Row],[value Type]]="","",VLOOKUP(Table13[[#This Row],[value Type]],Table2915[],2,FALSE))</f>
        <v>longout</v>
      </c>
      <c r="Y713" s="30" t="str">
        <f>IF(Table13[[#This Row],[value Type]]="","",VLOOKUP(Table13[[#This Row],[value Type]],Table2915[],3,FALSE))</f>
        <v>asynParamInt32</v>
      </c>
      <c r="Z713" s="64" t="str">
        <f>IF(Table13[[#This Row],[value Type]]="","",VLOOKUP(Table13[[#This Row],[value Type]],Table2915[],4,FALSE))</f>
        <v>"asynInt32"</v>
      </c>
      <c r="AA713" s="64" t="str">
        <f>IF(Table13[[#This Row],[value Type]]="","",    IF(Table13[[#This Row],[IP MAX]]="","","@"  )     )</f>
        <v>@</v>
      </c>
      <c r="AB713" s="79" t="str">
        <f>IF(Table13[[#This Row],[value Type]]="","",VLOOKUP(Table13[[#This Row],[value Type]],Table2915[],5,FALSE))</f>
        <v xml:space="preserve"> </v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713" s="79">
        <f>IF(Table13[[#This Row],[value Type]]="","",VLOOKUP(Table13[[#This Row],[IP]],Table51117[],2,FALSE))</f>
        <v>2</v>
      </c>
      <c r="AE713" s="79" t="str">
        <f>IF(Table13[[#This Row],[value Type]]="","",    IF(Table13[[#This Row],[IP MAX]]="","0","@"  )     )</f>
        <v>@</v>
      </c>
      <c r="AF713" s="68">
        <f>IF(Table13[[#This Row],[value Type]]="","",VLOOKUP(Table13[[#This Row],[Acc Type]],Table2[],2,FALSE))</f>
        <v>0</v>
      </c>
      <c r="AG713" s="75">
        <f>IF(Table13[[#This Row],[value Type]]="","",4*HEX2DEC(Table13[[#This Row],[Addr'[HEX']]]))</f>
        <v>220</v>
      </c>
      <c r="AH713" s="75">
        <f>IF(Table13[[#This Row],[value Type]]="","",VLOOKUP(Table13[[#This Row],[AddrTypeI]],Table22[],2,FALSE))</f>
        <v>0</v>
      </c>
      <c r="AI713" s="68">
        <f>IF(Table13[[#This Row],[value Type]]="","",VLOOKUP(Table13[[#This Row],[DataType]],Table351218[],2,FALSE))</f>
        <v>0</v>
      </c>
      <c r="AJ713" s="68">
        <f>IF(Table13[[#This Row],[value Type]]="","",Table13[[#This Row],[DataWidth]])</f>
        <v>1</v>
      </c>
      <c r="AK713" s="68" t="str">
        <f>IF(Table13[[#This Row],[value Type]]="","", Table13[[#This Row],[DataOffset]])</f>
        <v>10</v>
      </c>
      <c r="AL713" s="24"/>
      <c r="AM713" s="24" t="str">
        <f>IF(Table13[[#This Row],[value Type]]="","", "0x"&amp;DEC2HEX(Table13[[#This Row],[ADDR_Offset]],8) )</f>
        <v>0x000000DC</v>
      </c>
    </row>
    <row r="714" spans="2:39" s="6" customFormat="1" x14ac:dyDescent="0.3">
      <c r="B714" s="12">
        <f t="shared" si="10"/>
        <v>5480</v>
      </c>
      <c r="C714" s="14" t="s">
        <v>1</v>
      </c>
      <c r="D714" s="14" t="s">
        <v>388</v>
      </c>
      <c r="E714" s="24" t="s">
        <v>349</v>
      </c>
      <c r="F714" s="24">
        <v>1</v>
      </c>
      <c r="G714" s="14" t="s">
        <v>884</v>
      </c>
      <c r="H714" s="15" t="s">
        <v>21</v>
      </c>
      <c r="I714" s="29">
        <v>37</v>
      </c>
      <c r="J714" s="15" t="s">
        <v>747</v>
      </c>
      <c r="K714" s="15" t="s">
        <v>52</v>
      </c>
      <c r="L714" s="14">
        <v>1</v>
      </c>
      <c r="M714" s="35" t="s">
        <v>21</v>
      </c>
      <c r="N714" s="15" t="s">
        <v>275</v>
      </c>
      <c r="O714" s="25" t="s">
        <v>402</v>
      </c>
      <c r="P714" s="25">
        <v>1</v>
      </c>
      <c r="Q714" s="26" t="s">
        <v>80</v>
      </c>
      <c r="R714" s="27" t="s">
        <v>277</v>
      </c>
      <c r="S714" s="27" t="s">
        <v>239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longout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714" s="79">
        <f>IF(Table13[[#This Row],[value Type]]="","",VLOOKUP(Table13[[#This Row],[IP]],Table51117[],2,FALSE))</f>
        <v>2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0</v>
      </c>
      <c r="AG714" s="75">
        <f>IF(Table13[[#This Row],[value Type]]="","",4*HEX2DEC(Table13[[#This Row],[Addr'[HEX']]]))</f>
        <v>220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1</v>
      </c>
      <c r="AK714" s="68" t="str">
        <f>IF(Table13[[#This Row],[value Type]]="","", Table13[[#This Row],[DataOffset]])</f>
        <v>11</v>
      </c>
      <c r="AL714" s="24"/>
      <c r="AM714" s="24" t="str">
        <f>IF(Table13[[#This Row],[value Type]]="","", "0x"&amp;DEC2HEX(Table13[[#This Row],[ADDR_Offset]],8) )</f>
        <v>0x000000DC</v>
      </c>
    </row>
    <row r="715" spans="2:39" s="6" customFormat="1" x14ac:dyDescent="0.3">
      <c r="B715" s="12">
        <f t="shared" si="10"/>
        <v>5480</v>
      </c>
      <c r="C715" s="14" t="s">
        <v>1</v>
      </c>
      <c r="D715" s="14" t="s">
        <v>388</v>
      </c>
      <c r="E715" s="24" t="s">
        <v>349</v>
      </c>
      <c r="F715" s="24">
        <v>1</v>
      </c>
      <c r="G715" s="14" t="s">
        <v>884</v>
      </c>
      <c r="H715" s="15" t="s">
        <v>22</v>
      </c>
      <c r="I715" s="29">
        <v>37</v>
      </c>
      <c r="J715" s="15" t="s">
        <v>747</v>
      </c>
      <c r="K715" s="15" t="s">
        <v>52</v>
      </c>
      <c r="L715" s="14">
        <v>1</v>
      </c>
      <c r="M715" s="35" t="s">
        <v>22</v>
      </c>
      <c r="N715" s="15" t="s">
        <v>463</v>
      </c>
      <c r="O715" s="25" t="s">
        <v>402</v>
      </c>
      <c r="P715" s="25">
        <v>1</v>
      </c>
      <c r="Q715" s="26" t="s">
        <v>80</v>
      </c>
      <c r="R715" s="27" t="s">
        <v>277</v>
      </c>
      <c r="S715" s="27" t="s">
        <v>476</v>
      </c>
      <c r="T715" s="27">
        <v>0</v>
      </c>
      <c r="U715" s="28"/>
      <c r="V715" s="14"/>
      <c r="W715" s="14"/>
      <c r="X715" s="30" t="str">
        <f>IF(Table13[[#This Row],[value Type]]="","",VLOOKUP(Table13[[#This Row],[value Type]],Table2915[],2,FALSE))</f>
        <v>longout</v>
      </c>
      <c r="Y715" s="30" t="str">
        <f>IF(Table13[[#This Row],[value Type]]="","",VLOOKUP(Table13[[#This Row],[value Type]],Table2915[],3,FALSE))</f>
        <v>asynParamInt32</v>
      </c>
      <c r="Z715" s="64" t="str">
        <f>IF(Table13[[#This Row],[value Type]]="","",VLOOKUP(Table13[[#This Row],[value Type]],Table2915[],4,FALSE))</f>
        <v>"asynInt32"</v>
      </c>
      <c r="AA715" s="64" t="str">
        <f>IF(Table13[[#This Row],[value Type]]="","",    IF(Table13[[#This Row],[IP MAX]]="","","@"  )     )</f>
        <v>@</v>
      </c>
      <c r="AB715" s="79" t="str">
        <f>IF(Table13[[#This Row],[value Type]]="","",VLOOKUP(Table13[[#This Row],[value Type]],Table2915[],5,FALSE))</f>
        <v xml:space="preserve"> </v>
      </c>
      <c r="AC7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715" s="79">
        <f>IF(Table13[[#This Row],[value Type]]="","",VLOOKUP(Table13[[#This Row],[IP]],Table51117[],2,FALSE))</f>
        <v>2</v>
      </c>
      <c r="AE715" s="79" t="str">
        <f>IF(Table13[[#This Row],[value Type]]="","",    IF(Table13[[#This Row],[IP MAX]]="","0","@"  )     )</f>
        <v>@</v>
      </c>
      <c r="AF715" s="68">
        <f>IF(Table13[[#This Row],[value Type]]="","",VLOOKUP(Table13[[#This Row],[Acc Type]],Table2[],2,FALSE))</f>
        <v>0</v>
      </c>
      <c r="AG715" s="75">
        <f>IF(Table13[[#This Row],[value Type]]="","",4*HEX2DEC(Table13[[#This Row],[Addr'[HEX']]]))</f>
        <v>220</v>
      </c>
      <c r="AH715" s="75">
        <f>IF(Table13[[#This Row],[value Type]]="","",VLOOKUP(Table13[[#This Row],[AddrTypeI]],Table22[],2,FALSE))</f>
        <v>0</v>
      </c>
      <c r="AI715" s="68">
        <f>IF(Table13[[#This Row],[value Type]]="","",VLOOKUP(Table13[[#This Row],[DataType]],Table351218[],2,FALSE))</f>
        <v>0</v>
      </c>
      <c r="AJ715" s="68">
        <f>IF(Table13[[#This Row],[value Type]]="","",Table13[[#This Row],[DataWidth]])</f>
        <v>1</v>
      </c>
      <c r="AK715" s="68" t="str">
        <f>IF(Table13[[#This Row],[value Type]]="","", Table13[[#This Row],[DataOffset]])</f>
        <v>12</v>
      </c>
      <c r="AL715" s="24"/>
      <c r="AM715" s="24" t="str">
        <f>IF(Table13[[#This Row],[value Type]]="","", "0x"&amp;DEC2HEX(Table13[[#This Row],[ADDR_Offset]],8) )</f>
        <v>0x000000DC</v>
      </c>
    </row>
    <row r="716" spans="2:39" s="6" customFormat="1" x14ac:dyDescent="0.3">
      <c r="B716" s="12">
        <f t="shared" si="10"/>
        <v>5480</v>
      </c>
      <c r="C716" s="14" t="s">
        <v>1</v>
      </c>
      <c r="D716" s="14" t="s">
        <v>388</v>
      </c>
      <c r="E716" s="24" t="s">
        <v>349</v>
      </c>
      <c r="F716" s="24">
        <v>1</v>
      </c>
      <c r="G716" s="14" t="s">
        <v>884</v>
      </c>
      <c r="H716" s="15" t="s">
        <v>23</v>
      </c>
      <c r="I716" s="29">
        <v>37</v>
      </c>
      <c r="J716" s="15" t="s">
        <v>747</v>
      </c>
      <c r="K716" s="15" t="s">
        <v>52</v>
      </c>
      <c r="L716" s="14">
        <v>1</v>
      </c>
      <c r="M716" s="35" t="s">
        <v>23</v>
      </c>
      <c r="N716" s="15" t="s">
        <v>463</v>
      </c>
      <c r="O716" s="25" t="s">
        <v>276</v>
      </c>
      <c r="P716" s="25">
        <v>1</v>
      </c>
      <c r="Q716" s="26" t="s">
        <v>80</v>
      </c>
      <c r="R716" s="27" t="s">
        <v>277</v>
      </c>
      <c r="S716" s="27" t="s">
        <v>239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longout</v>
      </c>
      <c r="Y716" s="30" t="str">
        <f>IF(Table13[[#This Row],[value Type]]="","",VLOOKUP(Table13[[#This Row],[value Type]],Table2915[],3,FALSE))</f>
        <v>asynParamInt32</v>
      </c>
      <c r="Z716" s="64" t="str">
        <f>IF(Table13[[#This Row],[value Type]]="","",VLOOKUP(Table13[[#This Row],[value Type]],Table2915[],4,FALSE))</f>
        <v>"asynInt32"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716" s="79">
        <f>IF(Table13[[#This Row],[value Type]]="","",VLOOKUP(Table13[[#This Row],[IP]],Table51117[],2,FALSE))</f>
        <v>2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0</v>
      </c>
      <c r="AG716" s="75">
        <f>IF(Table13[[#This Row],[value Type]]="","",4*HEX2DEC(Table13[[#This Row],[Addr'[HEX']]]))</f>
        <v>220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1</v>
      </c>
      <c r="AK716" s="68" t="str">
        <f>IF(Table13[[#This Row],[value Type]]="","", Table13[[#This Row],[DataOffset]])</f>
        <v>13</v>
      </c>
      <c r="AL716" s="24"/>
      <c r="AM716" s="24" t="str">
        <f>IF(Table13[[#This Row],[value Type]]="","", "0x"&amp;DEC2HEX(Table13[[#This Row],[ADDR_Offset]],8) )</f>
        <v>0x000000DC</v>
      </c>
    </row>
    <row r="717" spans="2:39" s="6" customFormat="1" x14ac:dyDescent="0.3">
      <c r="B717" s="12">
        <f t="shared" si="10"/>
        <v>5480</v>
      </c>
      <c r="C717" s="14" t="s">
        <v>1</v>
      </c>
      <c r="D717" s="14" t="s">
        <v>388</v>
      </c>
      <c r="E717" s="24" t="s">
        <v>349</v>
      </c>
      <c r="F717" s="24">
        <v>1</v>
      </c>
      <c r="G717" s="14" t="s">
        <v>884</v>
      </c>
      <c r="H717" s="15" t="s">
        <v>24</v>
      </c>
      <c r="I717" s="29">
        <v>37</v>
      </c>
      <c r="J717" s="15" t="s">
        <v>747</v>
      </c>
      <c r="K717" s="15" t="s">
        <v>52</v>
      </c>
      <c r="L717" s="14">
        <v>1</v>
      </c>
      <c r="M717" s="35" t="s">
        <v>24</v>
      </c>
      <c r="N717" s="15" t="s">
        <v>463</v>
      </c>
      <c r="O717" s="25" t="s">
        <v>276</v>
      </c>
      <c r="P717" s="25">
        <v>1</v>
      </c>
      <c r="Q717" s="26" t="s">
        <v>80</v>
      </c>
      <c r="R717" s="27" t="s">
        <v>277</v>
      </c>
      <c r="S717" s="27" t="s">
        <v>239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longout</v>
      </c>
      <c r="Y717" s="30" t="str">
        <f>IF(Table13[[#This Row],[value Type]]="","",VLOOKUP(Table13[[#This Row],[value Type]],Table2915[],3,FALSE))</f>
        <v>asynParamInt32</v>
      </c>
      <c r="Z717" s="64" t="str">
        <f>IF(Table13[[#This Row],[value Type]]="","",VLOOKUP(Table13[[#This Row],[value Type]],Table2915[],4,FALSE))</f>
        <v>"asynInt32"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717" s="79">
        <f>IF(Table13[[#This Row],[value Type]]="","",VLOOKUP(Table13[[#This Row],[IP]],Table51117[],2,FALSE))</f>
        <v>2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0</v>
      </c>
      <c r="AG717" s="75">
        <f>IF(Table13[[#This Row],[value Type]]="","",4*HEX2DEC(Table13[[#This Row],[Addr'[HEX']]]))</f>
        <v>220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1</v>
      </c>
      <c r="AK717" s="68" t="str">
        <f>IF(Table13[[#This Row],[value Type]]="","", Table13[[#This Row],[DataOffset]])</f>
        <v>14</v>
      </c>
      <c r="AL717" s="24"/>
      <c r="AM717" s="24" t="str">
        <f>IF(Table13[[#This Row],[value Type]]="","", "0x"&amp;DEC2HEX(Table13[[#This Row],[ADDR_Offset]],8) )</f>
        <v>0x000000DC</v>
      </c>
    </row>
    <row r="718" spans="2:39" s="6" customFormat="1" x14ac:dyDescent="0.3">
      <c r="B718" s="12">
        <f t="shared" si="10"/>
        <v>5480</v>
      </c>
      <c r="C718" s="14" t="s">
        <v>1</v>
      </c>
      <c r="D718" s="14" t="s">
        <v>388</v>
      </c>
      <c r="E718" s="24" t="s">
        <v>349</v>
      </c>
      <c r="F718" s="24">
        <v>1</v>
      </c>
      <c r="G718" s="14" t="s">
        <v>884</v>
      </c>
      <c r="H718" s="15" t="s">
        <v>25</v>
      </c>
      <c r="I718" s="29">
        <v>37</v>
      </c>
      <c r="J718" s="15" t="s">
        <v>747</v>
      </c>
      <c r="K718" s="15" t="s">
        <v>52</v>
      </c>
      <c r="L718" s="14">
        <v>1</v>
      </c>
      <c r="M718" s="35" t="s">
        <v>25</v>
      </c>
      <c r="N718" s="15" t="s">
        <v>463</v>
      </c>
      <c r="O718" s="25" t="s">
        <v>402</v>
      </c>
      <c r="P718" s="25">
        <v>1</v>
      </c>
      <c r="Q718" s="26" t="s">
        <v>80</v>
      </c>
      <c r="R718" s="27" t="s">
        <v>277</v>
      </c>
      <c r="S718" s="27" t="s">
        <v>239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longout</v>
      </c>
      <c r="Y718" s="30" t="str">
        <f>IF(Table13[[#This Row],[value Type]]="","",VLOOKUP(Table13[[#This Row],[value Type]],Table2915[],3,FALSE))</f>
        <v>asynParamInt32</v>
      </c>
      <c r="Z718" s="64" t="str">
        <f>IF(Table13[[#This Row],[value Type]]="","",VLOOKUP(Table13[[#This Row],[value Type]],Table2915[],4,FALSE))</f>
        <v>"asynInt32"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718" s="79">
        <f>IF(Table13[[#This Row],[value Type]]="","",VLOOKUP(Table13[[#This Row],[IP]],Table51117[],2,FALSE))</f>
        <v>2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0</v>
      </c>
      <c r="AG718" s="75">
        <f>IF(Table13[[#This Row],[value Type]]="","",4*HEX2DEC(Table13[[#This Row],[Addr'[HEX']]]))</f>
        <v>220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1</v>
      </c>
      <c r="AK718" s="68" t="str">
        <f>IF(Table13[[#This Row],[value Type]]="","", Table13[[#This Row],[DataOffset]])</f>
        <v>15</v>
      </c>
      <c r="AL718" s="24"/>
      <c r="AM718" s="24" t="str">
        <f>IF(Table13[[#This Row],[value Type]]="","", "0x"&amp;DEC2HEX(Table13[[#This Row],[ADDR_Offset]],8) )</f>
        <v>0x000000DC</v>
      </c>
    </row>
    <row r="719" spans="2:39" s="6" customFormat="1" x14ac:dyDescent="0.3">
      <c r="B719" s="12">
        <f t="shared" si="10"/>
        <v>5480</v>
      </c>
      <c r="C719" s="14" t="s">
        <v>1</v>
      </c>
      <c r="D719" s="14" t="s">
        <v>388</v>
      </c>
      <c r="E719" s="24" t="s">
        <v>349</v>
      </c>
      <c r="F719" s="24">
        <v>1</v>
      </c>
      <c r="G719" s="14" t="s">
        <v>884</v>
      </c>
      <c r="H719" s="15" t="s">
        <v>26</v>
      </c>
      <c r="I719" s="29">
        <v>37</v>
      </c>
      <c r="J719" s="15" t="s">
        <v>747</v>
      </c>
      <c r="K719" s="15" t="s">
        <v>52</v>
      </c>
      <c r="L719" s="14">
        <v>1</v>
      </c>
      <c r="M719" s="35" t="s">
        <v>26</v>
      </c>
      <c r="N719" s="15" t="s">
        <v>275</v>
      </c>
      <c r="O719" s="25" t="s">
        <v>276</v>
      </c>
      <c r="P719" s="25">
        <v>1</v>
      </c>
      <c r="Q719" s="26" t="s">
        <v>80</v>
      </c>
      <c r="R719" s="27" t="s">
        <v>277</v>
      </c>
      <c r="S719" s="27" t="s">
        <v>239</v>
      </c>
      <c r="T719" s="27">
        <v>0</v>
      </c>
      <c r="U719" s="28"/>
      <c r="V719" s="14"/>
      <c r="W719" s="14"/>
      <c r="X719" s="30" t="str">
        <f>IF(Table13[[#This Row],[value Type]]="","",VLOOKUP(Table13[[#This Row],[value Type]],Table2915[],2,FALSE))</f>
        <v>longout</v>
      </c>
      <c r="Y719" s="30" t="str">
        <f>IF(Table13[[#This Row],[value Type]]="","",VLOOKUP(Table13[[#This Row],[value Type]],Table2915[],3,FALSE))</f>
        <v>asynParamInt32</v>
      </c>
      <c r="Z719" s="64" t="str">
        <f>IF(Table13[[#This Row],[value Type]]="","",VLOOKUP(Table13[[#This Row],[value Type]],Table2915[],4,FALSE))</f>
        <v>"asynInt32"</v>
      </c>
      <c r="AA719" s="64" t="str">
        <f>IF(Table13[[#This Row],[value Type]]="","",    IF(Table13[[#This Row],[IP MAX]]="","","@"  )     )</f>
        <v>@</v>
      </c>
      <c r="AB719" s="79" t="str">
        <f>IF(Table13[[#This Row],[value Type]]="","",VLOOKUP(Table13[[#This Row],[value Type]],Table2915[],5,FALSE))</f>
        <v xml:space="preserve"> </v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719" s="79">
        <f>IF(Table13[[#This Row],[value Type]]="","",VLOOKUP(Table13[[#This Row],[IP]],Table51117[],2,FALSE))</f>
        <v>2</v>
      </c>
      <c r="AE719" s="79" t="str">
        <f>IF(Table13[[#This Row],[value Type]]="","",    IF(Table13[[#This Row],[IP MAX]]="","0","@"  )     )</f>
        <v>@</v>
      </c>
      <c r="AF719" s="68">
        <f>IF(Table13[[#This Row],[value Type]]="","",VLOOKUP(Table13[[#This Row],[Acc Type]],Table2[],2,FALSE))</f>
        <v>0</v>
      </c>
      <c r="AG719" s="75">
        <f>IF(Table13[[#This Row],[value Type]]="","",4*HEX2DEC(Table13[[#This Row],[Addr'[HEX']]]))</f>
        <v>220</v>
      </c>
      <c r="AH719" s="75">
        <f>IF(Table13[[#This Row],[value Type]]="","",VLOOKUP(Table13[[#This Row],[AddrTypeI]],Table22[],2,FALSE))</f>
        <v>0</v>
      </c>
      <c r="AI719" s="68">
        <f>IF(Table13[[#This Row],[value Type]]="","",VLOOKUP(Table13[[#This Row],[DataType]],Table351218[],2,FALSE))</f>
        <v>0</v>
      </c>
      <c r="AJ719" s="68">
        <f>IF(Table13[[#This Row],[value Type]]="","",Table13[[#This Row],[DataWidth]])</f>
        <v>1</v>
      </c>
      <c r="AK719" s="68" t="str">
        <f>IF(Table13[[#This Row],[value Type]]="","", Table13[[#This Row],[DataOffset]])</f>
        <v>16</v>
      </c>
      <c r="AL719" s="24"/>
      <c r="AM719" s="24" t="str">
        <f>IF(Table13[[#This Row],[value Type]]="","", "0x"&amp;DEC2HEX(Table13[[#This Row],[ADDR_Offset]],8) )</f>
        <v>0x000000DC</v>
      </c>
    </row>
    <row r="720" spans="2:39" s="6" customFormat="1" x14ac:dyDescent="0.3">
      <c r="B720" s="12">
        <f t="shared" si="10"/>
        <v>5480</v>
      </c>
      <c r="C720" s="14" t="s">
        <v>1</v>
      </c>
      <c r="D720" s="14" t="s">
        <v>388</v>
      </c>
      <c r="E720" s="24" t="s">
        <v>349</v>
      </c>
      <c r="F720" s="24">
        <v>1</v>
      </c>
      <c r="G720" s="14" t="s">
        <v>884</v>
      </c>
      <c r="H720" s="15" t="s">
        <v>27</v>
      </c>
      <c r="I720" s="29">
        <v>37</v>
      </c>
      <c r="J720" s="15" t="s">
        <v>747</v>
      </c>
      <c r="K720" s="15" t="s">
        <v>52</v>
      </c>
      <c r="L720" s="14">
        <v>1</v>
      </c>
      <c r="M720" s="35" t="s">
        <v>27</v>
      </c>
      <c r="N720" s="15" t="s">
        <v>463</v>
      </c>
      <c r="O720" s="25" t="s">
        <v>96</v>
      </c>
      <c r="P720" s="25">
        <v>1</v>
      </c>
      <c r="Q720" s="26" t="s">
        <v>80</v>
      </c>
      <c r="R720" s="27" t="s">
        <v>277</v>
      </c>
      <c r="S720" s="27" t="s">
        <v>239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longout</v>
      </c>
      <c r="Y720" s="30" t="str">
        <f>IF(Table13[[#This Row],[value Type]]="","",VLOOKUP(Table13[[#This Row],[value Type]],Table2915[],3,FALSE))</f>
        <v>asynParamInt32</v>
      </c>
      <c r="Z720" s="64" t="str">
        <f>IF(Table13[[#This Row],[value Type]]="","",VLOOKUP(Table13[[#This Row],[value Type]],Table2915[],4,FALSE))</f>
        <v>"asynInt32"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720" s="79">
        <f>IF(Table13[[#This Row],[value Type]]="","",VLOOKUP(Table13[[#This Row],[IP]],Table51117[],2,FALSE))</f>
        <v>2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0</v>
      </c>
      <c r="AG720" s="75">
        <f>IF(Table13[[#This Row],[value Type]]="","",4*HEX2DEC(Table13[[#This Row],[Addr'[HEX']]]))</f>
        <v>220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1</v>
      </c>
      <c r="AK720" s="68" t="str">
        <f>IF(Table13[[#This Row],[value Type]]="","", Table13[[#This Row],[DataOffset]])</f>
        <v>17</v>
      </c>
      <c r="AL720" s="24"/>
      <c r="AM720" s="24" t="str">
        <f>IF(Table13[[#This Row],[value Type]]="","", "0x"&amp;DEC2HEX(Table13[[#This Row],[ADDR_Offset]],8) )</f>
        <v>0x000000DC</v>
      </c>
    </row>
    <row r="721" spans="2:39" s="6" customFormat="1" x14ac:dyDescent="0.3">
      <c r="B721" s="12">
        <f t="shared" si="10"/>
        <v>5480</v>
      </c>
      <c r="C721" s="14" t="s">
        <v>1</v>
      </c>
      <c r="D721" s="14" t="s">
        <v>388</v>
      </c>
      <c r="E721" s="24" t="s">
        <v>349</v>
      </c>
      <c r="F721" s="24">
        <v>1</v>
      </c>
      <c r="G721" s="14" t="s">
        <v>884</v>
      </c>
      <c r="H721" s="15" t="s">
        <v>28</v>
      </c>
      <c r="I721" s="29">
        <v>37</v>
      </c>
      <c r="J721" s="15" t="s">
        <v>747</v>
      </c>
      <c r="K721" s="15" t="s">
        <v>52</v>
      </c>
      <c r="L721" s="14">
        <v>1</v>
      </c>
      <c r="M721" s="35" t="s">
        <v>28</v>
      </c>
      <c r="N721" s="15" t="s">
        <v>275</v>
      </c>
      <c r="O721" s="25" t="s">
        <v>402</v>
      </c>
      <c r="P721" s="25">
        <v>1</v>
      </c>
      <c r="Q721" s="26" t="s">
        <v>80</v>
      </c>
      <c r="R721" s="27" t="s">
        <v>277</v>
      </c>
      <c r="S721" s="27" t="s">
        <v>476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longout</v>
      </c>
      <c r="Y721" s="30" t="str">
        <f>IF(Table13[[#This Row],[value Type]]="","",VLOOKUP(Table13[[#This Row],[value Type]],Table2915[],3,FALSE))</f>
        <v>asynParamInt32</v>
      </c>
      <c r="Z721" s="64" t="str">
        <f>IF(Table13[[#This Row],[value Type]]="","",VLOOKUP(Table13[[#This Row],[value Type]],Table2915[],4,FALSE))</f>
        <v>"asynInt32"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721" s="79">
        <f>IF(Table13[[#This Row],[value Type]]="","",VLOOKUP(Table13[[#This Row],[IP]],Table51117[],2,FALSE))</f>
        <v>2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0</v>
      </c>
      <c r="AG721" s="75">
        <f>IF(Table13[[#This Row],[value Type]]="","",4*HEX2DEC(Table13[[#This Row],[Addr'[HEX']]]))</f>
        <v>220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1</v>
      </c>
      <c r="AK721" s="68" t="str">
        <f>IF(Table13[[#This Row],[value Type]]="","", Table13[[#This Row],[DataOffset]])</f>
        <v>18</v>
      </c>
      <c r="AL721" s="24"/>
      <c r="AM721" s="24" t="str">
        <f>IF(Table13[[#This Row],[value Type]]="","", "0x"&amp;DEC2HEX(Table13[[#This Row],[ADDR_Offset]],8) )</f>
        <v>0x000000DC</v>
      </c>
    </row>
    <row r="722" spans="2:39" s="6" customFormat="1" x14ac:dyDescent="0.3">
      <c r="B722" s="12">
        <f t="shared" si="10"/>
        <v>5480</v>
      </c>
      <c r="C722" s="14" t="s">
        <v>1</v>
      </c>
      <c r="D722" s="14" t="s">
        <v>388</v>
      </c>
      <c r="E722" s="24" t="s">
        <v>349</v>
      </c>
      <c r="F722" s="24">
        <v>1</v>
      </c>
      <c r="G722" s="14" t="s">
        <v>884</v>
      </c>
      <c r="H722" s="15" t="s">
        <v>29</v>
      </c>
      <c r="I722" s="29">
        <v>37</v>
      </c>
      <c r="J722" s="15" t="s">
        <v>747</v>
      </c>
      <c r="K722" s="15" t="s">
        <v>52</v>
      </c>
      <c r="L722" s="14">
        <v>1</v>
      </c>
      <c r="M722" s="35" t="s">
        <v>29</v>
      </c>
      <c r="N722" s="15" t="s">
        <v>463</v>
      </c>
      <c r="O722" s="25" t="s">
        <v>276</v>
      </c>
      <c r="P722" s="25">
        <v>1</v>
      </c>
      <c r="Q722" s="26" t="s">
        <v>80</v>
      </c>
      <c r="R722" s="27" t="s">
        <v>277</v>
      </c>
      <c r="S722" s="27" t="s">
        <v>239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longout</v>
      </c>
      <c r="Y722" s="30" t="str">
        <f>IF(Table13[[#This Row],[value Type]]="","",VLOOKUP(Table13[[#This Row],[value Type]],Table2915[],3,FALSE))</f>
        <v>asynParamInt32</v>
      </c>
      <c r="Z722" s="64" t="str">
        <f>IF(Table13[[#This Row],[value Type]]="","",VLOOKUP(Table13[[#This Row],[value Type]],Table2915[],4,FALSE))</f>
        <v>"asynInt32"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722" s="79">
        <f>IF(Table13[[#This Row],[value Type]]="","",VLOOKUP(Table13[[#This Row],[IP]],Table51117[],2,FALSE))</f>
        <v>2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0</v>
      </c>
      <c r="AG722" s="75">
        <f>IF(Table13[[#This Row],[value Type]]="","",4*HEX2DEC(Table13[[#This Row],[Addr'[HEX']]]))</f>
        <v>220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1</v>
      </c>
      <c r="AK722" s="68" t="str">
        <f>IF(Table13[[#This Row],[value Type]]="","", Table13[[#This Row],[DataOffset]])</f>
        <v>19</v>
      </c>
      <c r="AL722" s="24"/>
      <c r="AM722" s="24" t="str">
        <f>IF(Table13[[#This Row],[value Type]]="","", "0x"&amp;DEC2HEX(Table13[[#This Row],[ADDR_Offset]],8) )</f>
        <v>0x000000DC</v>
      </c>
    </row>
    <row r="723" spans="2:39" s="6" customFormat="1" x14ac:dyDescent="0.3">
      <c r="B723" s="12">
        <f t="shared" si="10"/>
        <v>5480</v>
      </c>
      <c r="C723" s="14" t="s">
        <v>1</v>
      </c>
      <c r="D723" s="14" t="s">
        <v>388</v>
      </c>
      <c r="E723" s="24" t="s">
        <v>349</v>
      </c>
      <c r="F723" s="24">
        <v>1</v>
      </c>
      <c r="G723" s="14" t="s">
        <v>884</v>
      </c>
      <c r="H723" s="15" t="s">
        <v>30</v>
      </c>
      <c r="I723" s="29">
        <v>37</v>
      </c>
      <c r="J723" s="15" t="s">
        <v>747</v>
      </c>
      <c r="K723" s="15" t="s">
        <v>52</v>
      </c>
      <c r="L723" s="14">
        <v>1</v>
      </c>
      <c r="M723" s="35" t="s">
        <v>30</v>
      </c>
      <c r="N723" s="15" t="s">
        <v>275</v>
      </c>
      <c r="O723" s="25" t="s">
        <v>96</v>
      </c>
      <c r="P723" s="25">
        <v>1</v>
      </c>
      <c r="Q723" s="26" t="s">
        <v>80</v>
      </c>
      <c r="R723" s="27" t="s">
        <v>277</v>
      </c>
      <c r="S723" s="27" t="s">
        <v>239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longout</v>
      </c>
      <c r="Y723" s="30" t="str">
        <f>IF(Table13[[#This Row],[value Type]]="","",VLOOKUP(Table13[[#This Row],[value Type]],Table2915[],3,FALSE))</f>
        <v>asynParamInt32</v>
      </c>
      <c r="Z723" s="64" t="str">
        <f>IF(Table13[[#This Row],[value Type]]="","",VLOOKUP(Table13[[#This Row],[value Type]],Table2915[],4,FALSE))</f>
        <v>"asynInt32"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723" s="79">
        <f>IF(Table13[[#This Row],[value Type]]="","",VLOOKUP(Table13[[#This Row],[IP]],Table51117[],2,FALSE))</f>
        <v>2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0</v>
      </c>
      <c r="AG723" s="75">
        <f>IF(Table13[[#This Row],[value Type]]="","",4*HEX2DEC(Table13[[#This Row],[Addr'[HEX']]]))</f>
        <v>220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1</v>
      </c>
      <c r="AK723" s="68" t="str">
        <f>IF(Table13[[#This Row],[value Type]]="","", Table13[[#This Row],[DataOffset]])</f>
        <v>20</v>
      </c>
      <c r="AL723" s="24"/>
      <c r="AM723" s="24" t="str">
        <f>IF(Table13[[#This Row],[value Type]]="","", "0x"&amp;DEC2HEX(Table13[[#This Row],[ADDR_Offset]],8) )</f>
        <v>0x000000DC</v>
      </c>
    </row>
    <row r="724" spans="2:39" s="6" customFormat="1" x14ac:dyDescent="0.3">
      <c r="B724" s="12">
        <f t="shared" si="10"/>
        <v>5480</v>
      </c>
      <c r="C724" s="14" t="s">
        <v>1</v>
      </c>
      <c r="D724" s="14" t="s">
        <v>388</v>
      </c>
      <c r="E724" s="24" t="s">
        <v>349</v>
      </c>
      <c r="F724" s="24">
        <v>1</v>
      </c>
      <c r="G724" s="14" t="s">
        <v>884</v>
      </c>
      <c r="H724" s="15" t="s">
        <v>31</v>
      </c>
      <c r="I724" s="29">
        <v>37</v>
      </c>
      <c r="J724" s="15" t="s">
        <v>747</v>
      </c>
      <c r="K724" s="15" t="s">
        <v>52</v>
      </c>
      <c r="L724" s="14">
        <v>1</v>
      </c>
      <c r="M724" s="35" t="s">
        <v>31</v>
      </c>
      <c r="N724" s="15" t="s">
        <v>275</v>
      </c>
      <c r="O724" s="25" t="s">
        <v>276</v>
      </c>
      <c r="P724" s="25">
        <v>1</v>
      </c>
      <c r="Q724" s="26" t="s">
        <v>80</v>
      </c>
      <c r="R724" s="27" t="s">
        <v>277</v>
      </c>
      <c r="S724" s="27" t="s">
        <v>239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724" s="79">
        <f>IF(Table13[[#This Row],[value Type]]="","",VLOOKUP(Table13[[#This Row],[IP]],Table51117[],2,FALSE))</f>
        <v>2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0</v>
      </c>
      <c r="AG724" s="75">
        <f>IF(Table13[[#This Row],[value Type]]="","",4*HEX2DEC(Table13[[#This Row],[Addr'[HEX']]]))</f>
        <v>220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1</v>
      </c>
      <c r="AK724" s="68" t="str">
        <f>IF(Table13[[#This Row],[value Type]]="","", Table13[[#This Row],[DataOffset]])</f>
        <v>21</v>
      </c>
      <c r="AL724" s="24"/>
      <c r="AM724" s="24" t="str">
        <f>IF(Table13[[#This Row],[value Type]]="","", "0x"&amp;DEC2HEX(Table13[[#This Row],[ADDR_Offset]],8) )</f>
        <v>0x000000DC</v>
      </c>
    </row>
    <row r="725" spans="2:39" s="6" customFormat="1" x14ac:dyDescent="0.3">
      <c r="B725" s="12">
        <f t="shared" si="10"/>
        <v>5480</v>
      </c>
      <c r="C725" s="14" t="s">
        <v>1</v>
      </c>
      <c r="D725" s="14" t="s">
        <v>388</v>
      </c>
      <c r="E725" s="24" t="s">
        <v>349</v>
      </c>
      <c r="F725" s="24">
        <v>1</v>
      </c>
      <c r="G725" s="14" t="s">
        <v>884</v>
      </c>
      <c r="H725" s="15" t="s">
        <v>32</v>
      </c>
      <c r="I725" s="29">
        <v>37</v>
      </c>
      <c r="J725" s="15" t="s">
        <v>747</v>
      </c>
      <c r="K725" s="15" t="s">
        <v>52</v>
      </c>
      <c r="L725" s="14">
        <v>1</v>
      </c>
      <c r="M725" s="35" t="s">
        <v>32</v>
      </c>
      <c r="N725" s="15" t="s">
        <v>463</v>
      </c>
      <c r="O725" s="25" t="s">
        <v>276</v>
      </c>
      <c r="P725" s="25">
        <v>1</v>
      </c>
      <c r="Q725" s="26" t="s">
        <v>80</v>
      </c>
      <c r="R725" s="27" t="s">
        <v>277</v>
      </c>
      <c r="S725" s="27" t="s">
        <v>476</v>
      </c>
      <c r="T725" s="27">
        <v>0</v>
      </c>
      <c r="U725" s="28"/>
      <c r="V725" s="14"/>
      <c r="W725" s="14"/>
      <c r="X725" s="30" t="str">
        <f>IF(Table13[[#This Row],[value Type]]="","",VLOOKUP(Table13[[#This Row],[value Type]],Table2915[],2,FALSE))</f>
        <v>longout</v>
      </c>
      <c r="Y725" s="30" t="str">
        <f>IF(Table13[[#This Row],[value Type]]="","",VLOOKUP(Table13[[#This Row],[value Type]],Table2915[],3,FALSE))</f>
        <v>asynParamInt32</v>
      </c>
      <c r="Z725" s="64" t="str">
        <f>IF(Table13[[#This Row],[value Type]]="","",VLOOKUP(Table13[[#This Row],[value Type]],Table2915[],4,FALSE))</f>
        <v>"asynInt32"</v>
      </c>
      <c r="AA725" s="64" t="str">
        <f>IF(Table13[[#This Row],[value Type]]="","",    IF(Table13[[#This Row],[IP MAX]]="","","@"  )     )</f>
        <v>@</v>
      </c>
      <c r="AB725" s="79" t="str">
        <f>IF(Table13[[#This Row],[value Type]]="","",VLOOKUP(Table13[[#This Row],[value Type]],Table2915[],5,FALSE))</f>
        <v xml:space="preserve"> </v>
      </c>
      <c r="AC7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725" s="79">
        <f>IF(Table13[[#This Row],[value Type]]="","",VLOOKUP(Table13[[#This Row],[IP]],Table51117[],2,FALSE))</f>
        <v>2</v>
      </c>
      <c r="AE725" s="79" t="str">
        <f>IF(Table13[[#This Row],[value Type]]="","",    IF(Table13[[#This Row],[IP MAX]]="","0","@"  )     )</f>
        <v>@</v>
      </c>
      <c r="AF725" s="68">
        <f>IF(Table13[[#This Row],[value Type]]="","",VLOOKUP(Table13[[#This Row],[Acc Type]],Table2[],2,FALSE))</f>
        <v>0</v>
      </c>
      <c r="AG725" s="75">
        <f>IF(Table13[[#This Row],[value Type]]="","",4*HEX2DEC(Table13[[#This Row],[Addr'[HEX']]]))</f>
        <v>220</v>
      </c>
      <c r="AH725" s="75">
        <f>IF(Table13[[#This Row],[value Type]]="","",VLOOKUP(Table13[[#This Row],[AddrTypeI]],Table22[],2,FALSE))</f>
        <v>0</v>
      </c>
      <c r="AI725" s="68">
        <f>IF(Table13[[#This Row],[value Type]]="","",VLOOKUP(Table13[[#This Row],[DataType]],Table351218[],2,FALSE))</f>
        <v>0</v>
      </c>
      <c r="AJ725" s="68">
        <f>IF(Table13[[#This Row],[value Type]]="","",Table13[[#This Row],[DataWidth]])</f>
        <v>1</v>
      </c>
      <c r="AK725" s="68" t="str">
        <f>IF(Table13[[#This Row],[value Type]]="","", Table13[[#This Row],[DataOffset]])</f>
        <v>22</v>
      </c>
      <c r="AL725" s="24"/>
      <c r="AM725" s="24" t="str">
        <f>IF(Table13[[#This Row],[value Type]]="","", "0x"&amp;DEC2HEX(Table13[[#This Row],[ADDR_Offset]],8) )</f>
        <v>0x000000DC</v>
      </c>
    </row>
    <row r="726" spans="2:39" s="6" customFormat="1" x14ac:dyDescent="0.3">
      <c r="B726" s="12">
        <f t="shared" si="10"/>
        <v>5480</v>
      </c>
      <c r="C726" s="14" t="s">
        <v>1</v>
      </c>
      <c r="D726" s="14" t="s">
        <v>388</v>
      </c>
      <c r="E726" s="24" t="s">
        <v>349</v>
      </c>
      <c r="F726" s="24">
        <v>1</v>
      </c>
      <c r="G726" s="14" t="s">
        <v>884</v>
      </c>
      <c r="H726" s="15" t="s">
        <v>33</v>
      </c>
      <c r="I726" s="29">
        <v>37</v>
      </c>
      <c r="J726" s="15" t="s">
        <v>747</v>
      </c>
      <c r="K726" s="15" t="s">
        <v>52</v>
      </c>
      <c r="L726" s="14">
        <v>1</v>
      </c>
      <c r="M726" s="35" t="s">
        <v>33</v>
      </c>
      <c r="N726" s="15" t="s">
        <v>463</v>
      </c>
      <c r="O726" s="25" t="s">
        <v>402</v>
      </c>
      <c r="P726" s="25">
        <v>1</v>
      </c>
      <c r="Q726" s="26" t="s">
        <v>80</v>
      </c>
      <c r="R726" s="27" t="s">
        <v>277</v>
      </c>
      <c r="S726" s="27" t="s">
        <v>239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longout</v>
      </c>
      <c r="Y726" s="30" t="str">
        <f>IF(Table13[[#This Row],[value Type]]="","",VLOOKUP(Table13[[#This Row],[value Type]],Table2915[],3,FALSE))</f>
        <v>asynParamInt32</v>
      </c>
      <c r="Z726" s="64" t="str">
        <f>IF(Table13[[#This Row],[value Type]]="","",VLOOKUP(Table13[[#This Row],[value Type]],Table2915[],4,FALSE))</f>
        <v>"asynInt32"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726" s="79">
        <f>IF(Table13[[#This Row],[value Type]]="","",VLOOKUP(Table13[[#This Row],[IP]],Table51117[],2,FALSE))</f>
        <v>2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220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1</v>
      </c>
      <c r="AK726" s="68" t="str">
        <f>IF(Table13[[#This Row],[value Type]]="","", Table13[[#This Row],[DataOffset]])</f>
        <v>23</v>
      </c>
      <c r="AL726" s="24"/>
      <c r="AM726" s="24" t="str">
        <f>IF(Table13[[#This Row],[value Type]]="","", "0x"&amp;DEC2HEX(Table13[[#This Row],[ADDR_Offset]],8) )</f>
        <v>0x000000DC</v>
      </c>
    </row>
    <row r="727" spans="2:39" s="6" customFormat="1" x14ac:dyDescent="0.3">
      <c r="B727" s="12">
        <f t="shared" si="10"/>
        <v>5480</v>
      </c>
      <c r="C727" s="14" t="s">
        <v>1</v>
      </c>
      <c r="D727" s="14" t="s">
        <v>388</v>
      </c>
      <c r="E727" s="24" t="s">
        <v>349</v>
      </c>
      <c r="F727" s="24">
        <v>1</v>
      </c>
      <c r="G727" s="14" t="s">
        <v>884</v>
      </c>
      <c r="H727" s="15" t="s">
        <v>34</v>
      </c>
      <c r="I727" s="29">
        <v>37</v>
      </c>
      <c r="J727" s="15" t="s">
        <v>747</v>
      </c>
      <c r="K727" s="15" t="s">
        <v>52</v>
      </c>
      <c r="L727" s="14">
        <v>1</v>
      </c>
      <c r="M727" s="35" t="s">
        <v>34</v>
      </c>
      <c r="N727" s="15" t="s">
        <v>275</v>
      </c>
      <c r="O727" s="25" t="s">
        <v>276</v>
      </c>
      <c r="P727" s="25">
        <v>1</v>
      </c>
      <c r="Q727" s="26" t="s">
        <v>80</v>
      </c>
      <c r="R727" s="27" t="s">
        <v>277</v>
      </c>
      <c r="S727" s="27" t="s">
        <v>239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longout</v>
      </c>
      <c r="Y727" s="30" t="str">
        <f>IF(Table13[[#This Row],[value Type]]="","",VLOOKUP(Table13[[#This Row],[value Type]],Table2915[],3,FALSE))</f>
        <v>asynParamInt32</v>
      </c>
      <c r="Z727" s="64" t="str">
        <f>IF(Table13[[#This Row],[value Type]]="","",VLOOKUP(Table13[[#This Row],[value Type]],Table2915[],4,FALSE))</f>
        <v>"asynInt32"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727" s="79">
        <f>IF(Table13[[#This Row],[value Type]]="","",VLOOKUP(Table13[[#This Row],[IP]],Table51117[],2,FALSE))</f>
        <v>2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220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1</v>
      </c>
      <c r="AK727" s="68" t="str">
        <f>IF(Table13[[#This Row],[value Type]]="","", Table13[[#This Row],[DataOffset]])</f>
        <v>24</v>
      </c>
      <c r="AL727" s="24"/>
      <c r="AM727" s="24" t="str">
        <f>IF(Table13[[#This Row],[value Type]]="","", "0x"&amp;DEC2HEX(Table13[[#This Row],[ADDR_Offset]],8) )</f>
        <v>0x000000DC</v>
      </c>
    </row>
    <row r="728" spans="2:39" s="6" customFormat="1" x14ac:dyDescent="0.3">
      <c r="B728" s="12">
        <f t="shared" si="10"/>
        <v>5480</v>
      </c>
      <c r="C728" s="14" t="s">
        <v>1</v>
      </c>
      <c r="D728" s="14" t="s">
        <v>388</v>
      </c>
      <c r="E728" s="24" t="s">
        <v>349</v>
      </c>
      <c r="F728" s="24">
        <v>1</v>
      </c>
      <c r="G728" s="14" t="s">
        <v>884</v>
      </c>
      <c r="H728" s="15" t="s">
        <v>35</v>
      </c>
      <c r="I728" s="29">
        <v>37</v>
      </c>
      <c r="J728" s="15" t="s">
        <v>747</v>
      </c>
      <c r="K728" s="15" t="s">
        <v>52</v>
      </c>
      <c r="L728" s="14">
        <v>1</v>
      </c>
      <c r="M728" s="35" t="s">
        <v>35</v>
      </c>
      <c r="N728" s="15" t="s">
        <v>463</v>
      </c>
      <c r="O728" s="25" t="s">
        <v>276</v>
      </c>
      <c r="P728" s="25">
        <v>1</v>
      </c>
      <c r="Q728" s="26" t="s">
        <v>80</v>
      </c>
      <c r="R728" s="27" t="s">
        <v>277</v>
      </c>
      <c r="S728" s="27" t="s">
        <v>239</v>
      </c>
      <c r="T728" s="27">
        <v>0</v>
      </c>
      <c r="U728" s="28"/>
      <c r="V728" s="14"/>
      <c r="W728" s="14"/>
      <c r="X728" s="30" t="str">
        <f>IF(Table13[[#This Row],[value Type]]="","",VLOOKUP(Table13[[#This Row],[value Type]],Table2915[],2,FALSE))</f>
        <v>longout</v>
      </c>
      <c r="Y728" s="30" t="str">
        <f>IF(Table13[[#This Row],[value Type]]="","",VLOOKUP(Table13[[#This Row],[value Type]],Table2915[],3,FALSE))</f>
        <v>asynParamInt32</v>
      </c>
      <c r="Z728" s="64" t="str">
        <f>IF(Table13[[#This Row],[value Type]]="","",VLOOKUP(Table13[[#This Row],[value Type]],Table2915[],4,FALSE))</f>
        <v>"asynInt32"</v>
      </c>
      <c r="AA728" s="64" t="str">
        <f>IF(Table13[[#This Row],[value Type]]="","",    IF(Table13[[#This Row],[IP MAX]]="","","@"  )     )</f>
        <v>@</v>
      </c>
      <c r="AB728" s="79" t="str">
        <f>IF(Table13[[#This Row],[value Type]]="","",VLOOKUP(Table13[[#This Row],[value Type]],Table2915[],5,FALSE))</f>
        <v xml:space="preserve"> </v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728" s="79">
        <f>IF(Table13[[#This Row],[value Type]]="","",VLOOKUP(Table13[[#This Row],[IP]],Table51117[],2,FALSE))</f>
        <v>2</v>
      </c>
      <c r="AE728" s="79" t="str">
        <f>IF(Table13[[#This Row],[value Type]]="","",    IF(Table13[[#This Row],[IP MAX]]="","0","@"  )     )</f>
        <v>@</v>
      </c>
      <c r="AF728" s="68">
        <f>IF(Table13[[#This Row],[value Type]]="","",VLOOKUP(Table13[[#This Row],[Acc Type]],Table2[],2,FALSE))</f>
        <v>0</v>
      </c>
      <c r="AG728" s="75">
        <f>IF(Table13[[#This Row],[value Type]]="","",4*HEX2DEC(Table13[[#This Row],[Addr'[HEX']]]))</f>
        <v>220</v>
      </c>
      <c r="AH728" s="75">
        <f>IF(Table13[[#This Row],[value Type]]="","",VLOOKUP(Table13[[#This Row],[AddrTypeI]],Table22[],2,FALSE))</f>
        <v>0</v>
      </c>
      <c r="AI728" s="68">
        <f>IF(Table13[[#This Row],[value Type]]="","",VLOOKUP(Table13[[#This Row],[DataType]],Table351218[],2,FALSE))</f>
        <v>0</v>
      </c>
      <c r="AJ728" s="68">
        <f>IF(Table13[[#This Row],[value Type]]="","",Table13[[#This Row],[DataWidth]])</f>
        <v>1</v>
      </c>
      <c r="AK728" s="68" t="str">
        <f>IF(Table13[[#This Row],[value Type]]="","", Table13[[#This Row],[DataOffset]])</f>
        <v>25</v>
      </c>
      <c r="AL728" s="24"/>
      <c r="AM728" s="24" t="str">
        <f>IF(Table13[[#This Row],[value Type]]="","", "0x"&amp;DEC2HEX(Table13[[#This Row],[ADDR_Offset]],8) )</f>
        <v>0x000000DC</v>
      </c>
    </row>
    <row r="729" spans="2:39" s="6" customFormat="1" x14ac:dyDescent="0.3">
      <c r="B729" s="12">
        <f t="shared" si="10"/>
        <v>5480</v>
      </c>
      <c r="C729" s="14" t="s">
        <v>1</v>
      </c>
      <c r="D729" s="14" t="s">
        <v>388</v>
      </c>
      <c r="E729" s="24" t="s">
        <v>349</v>
      </c>
      <c r="F729" s="24">
        <v>1</v>
      </c>
      <c r="G729" s="14" t="s">
        <v>884</v>
      </c>
      <c r="H729" s="15" t="s">
        <v>36</v>
      </c>
      <c r="I729" s="29">
        <v>37</v>
      </c>
      <c r="J729" s="15" t="s">
        <v>747</v>
      </c>
      <c r="K729" s="15" t="s">
        <v>52</v>
      </c>
      <c r="L729" s="14">
        <v>1</v>
      </c>
      <c r="M729" s="35" t="s">
        <v>36</v>
      </c>
      <c r="N729" s="15" t="s">
        <v>463</v>
      </c>
      <c r="O729" s="25" t="s">
        <v>276</v>
      </c>
      <c r="P729" s="25">
        <v>1</v>
      </c>
      <c r="Q729" s="26" t="s">
        <v>80</v>
      </c>
      <c r="R729" s="27" t="s">
        <v>277</v>
      </c>
      <c r="S729" s="27" t="s">
        <v>476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longout</v>
      </c>
      <c r="Y729" s="30" t="str">
        <f>IF(Table13[[#This Row],[value Type]]="","",VLOOKUP(Table13[[#This Row],[value Type]],Table2915[],3,FALSE))</f>
        <v>asynParamInt32</v>
      </c>
      <c r="Z729" s="64" t="str">
        <f>IF(Table13[[#This Row],[value Type]]="","",VLOOKUP(Table13[[#This Row],[value Type]],Table2915[],4,FALSE))</f>
        <v>"asynInt32"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729" s="79">
        <f>IF(Table13[[#This Row],[value Type]]="","",VLOOKUP(Table13[[#This Row],[IP]],Table51117[],2,FALSE))</f>
        <v>2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220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1</v>
      </c>
      <c r="AK729" s="68" t="str">
        <f>IF(Table13[[#This Row],[value Type]]="","", Table13[[#This Row],[DataOffset]])</f>
        <v>26</v>
      </c>
      <c r="AL729" s="24"/>
      <c r="AM729" s="24" t="str">
        <f>IF(Table13[[#This Row],[value Type]]="","", "0x"&amp;DEC2HEX(Table13[[#This Row],[ADDR_Offset]],8) )</f>
        <v>0x000000DC</v>
      </c>
    </row>
    <row r="730" spans="2:39" s="6" customFormat="1" x14ac:dyDescent="0.3">
      <c r="B730" s="12">
        <f t="shared" si="10"/>
        <v>5480</v>
      </c>
      <c r="C730" s="14" t="s">
        <v>1</v>
      </c>
      <c r="D730" s="14" t="s">
        <v>388</v>
      </c>
      <c r="E730" s="24" t="s">
        <v>349</v>
      </c>
      <c r="F730" s="24">
        <v>1</v>
      </c>
      <c r="G730" s="14" t="s">
        <v>884</v>
      </c>
      <c r="H730" s="15" t="s">
        <v>37</v>
      </c>
      <c r="I730" s="29">
        <v>37</v>
      </c>
      <c r="J730" s="15" t="s">
        <v>747</v>
      </c>
      <c r="K730" s="15" t="s">
        <v>52</v>
      </c>
      <c r="L730" s="14">
        <v>1</v>
      </c>
      <c r="M730" s="35" t="s">
        <v>37</v>
      </c>
      <c r="N730" s="15" t="s">
        <v>463</v>
      </c>
      <c r="O730" s="25" t="s">
        <v>402</v>
      </c>
      <c r="P730" s="25">
        <v>1</v>
      </c>
      <c r="Q730" s="26" t="s">
        <v>80</v>
      </c>
      <c r="R730" s="27" t="s">
        <v>277</v>
      </c>
      <c r="S730" s="27" t="s">
        <v>476</v>
      </c>
      <c r="T730" s="27">
        <v>0</v>
      </c>
      <c r="U730" s="28"/>
      <c r="V730" s="14"/>
      <c r="W730" s="14"/>
      <c r="X730" s="30" t="str">
        <f>IF(Table13[[#This Row],[value Type]]="","",VLOOKUP(Table13[[#This Row],[value Type]],Table2915[],2,FALSE))</f>
        <v>longout</v>
      </c>
      <c r="Y730" s="30" t="str">
        <f>IF(Table13[[#This Row],[value Type]]="","",VLOOKUP(Table13[[#This Row],[value Type]],Table2915[],3,FALSE))</f>
        <v>asynParamInt32</v>
      </c>
      <c r="Z730" s="64" t="str">
        <f>IF(Table13[[#This Row],[value Type]]="","",VLOOKUP(Table13[[#This Row],[value Type]],Table2915[],4,FALSE))</f>
        <v>"asynInt32"</v>
      </c>
      <c r="AA730" s="64" t="str">
        <f>IF(Table13[[#This Row],[value Type]]="","",    IF(Table13[[#This Row],[IP MAX]]="","","@"  )     )</f>
        <v>@</v>
      </c>
      <c r="AB730" s="79" t="str">
        <f>IF(Table13[[#This Row],[value Type]]="","",VLOOKUP(Table13[[#This Row],[value Type]],Table2915[],5,FALSE))</f>
        <v xml:space="preserve"> </v>
      </c>
      <c r="AC7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730" s="79">
        <f>IF(Table13[[#This Row],[value Type]]="","",VLOOKUP(Table13[[#This Row],[IP]],Table51117[],2,FALSE))</f>
        <v>2</v>
      </c>
      <c r="AE730" s="79" t="str">
        <f>IF(Table13[[#This Row],[value Type]]="","",    IF(Table13[[#This Row],[IP MAX]]="","0","@"  )     )</f>
        <v>@</v>
      </c>
      <c r="AF730" s="68">
        <f>IF(Table13[[#This Row],[value Type]]="","",VLOOKUP(Table13[[#This Row],[Acc Type]],Table2[],2,FALSE))</f>
        <v>0</v>
      </c>
      <c r="AG730" s="75">
        <f>IF(Table13[[#This Row],[value Type]]="","",4*HEX2DEC(Table13[[#This Row],[Addr'[HEX']]]))</f>
        <v>220</v>
      </c>
      <c r="AH730" s="75">
        <f>IF(Table13[[#This Row],[value Type]]="","",VLOOKUP(Table13[[#This Row],[AddrTypeI]],Table22[],2,FALSE))</f>
        <v>0</v>
      </c>
      <c r="AI730" s="68">
        <f>IF(Table13[[#This Row],[value Type]]="","",VLOOKUP(Table13[[#This Row],[DataType]],Table351218[],2,FALSE))</f>
        <v>0</v>
      </c>
      <c r="AJ730" s="68">
        <f>IF(Table13[[#This Row],[value Type]]="","",Table13[[#This Row],[DataWidth]])</f>
        <v>1</v>
      </c>
      <c r="AK730" s="68" t="str">
        <f>IF(Table13[[#This Row],[value Type]]="","", Table13[[#This Row],[DataOffset]])</f>
        <v>27</v>
      </c>
      <c r="AL730" s="24"/>
      <c r="AM730" s="24" t="str">
        <f>IF(Table13[[#This Row],[value Type]]="","", "0x"&amp;DEC2HEX(Table13[[#This Row],[ADDR_Offset]],8) )</f>
        <v>0x000000DC</v>
      </c>
    </row>
    <row r="731" spans="2:39" s="6" customFormat="1" x14ac:dyDescent="0.3">
      <c r="B731" s="12">
        <f t="shared" si="10"/>
        <v>5480</v>
      </c>
      <c r="C731" s="14" t="s">
        <v>1</v>
      </c>
      <c r="D731" s="14" t="s">
        <v>388</v>
      </c>
      <c r="E731" s="24" t="s">
        <v>349</v>
      </c>
      <c r="F731" s="24">
        <v>1</v>
      </c>
      <c r="G731" s="14" t="s">
        <v>884</v>
      </c>
      <c r="H731" s="15" t="s">
        <v>38</v>
      </c>
      <c r="I731" s="29">
        <v>37</v>
      </c>
      <c r="J731" s="15" t="s">
        <v>747</v>
      </c>
      <c r="K731" s="15" t="s">
        <v>52</v>
      </c>
      <c r="L731" s="14">
        <v>1</v>
      </c>
      <c r="M731" s="35" t="s">
        <v>38</v>
      </c>
      <c r="N731" s="15" t="s">
        <v>463</v>
      </c>
      <c r="O731" s="25" t="s">
        <v>276</v>
      </c>
      <c r="P731" s="25">
        <v>1</v>
      </c>
      <c r="Q731" s="26" t="s">
        <v>80</v>
      </c>
      <c r="R731" s="27" t="s">
        <v>277</v>
      </c>
      <c r="S731" s="27" t="s">
        <v>476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longout</v>
      </c>
      <c r="Y731" s="30" t="str">
        <f>IF(Table13[[#This Row],[value Type]]="","",VLOOKUP(Table13[[#This Row],[value Type]],Table2915[],3,FALSE))</f>
        <v>asynParamInt32</v>
      </c>
      <c r="Z731" s="64" t="str">
        <f>IF(Table13[[#This Row],[value Type]]="","",VLOOKUP(Table13[[#This Row],[value Type]],Table2915[],4,FALSE))</f>
        <v>"asynInt32"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731" s="79">
        <f>IF(Table13[[#This Row],[value Type]]="","",VLOOKUP(Table13[[#This Row],[IP]],Table51117[],2,FALSE))</f>
        <v>2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220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1</v>
      </c>
      <c r="AK731" s="68" t="str">
        <f>IF(Table13[[#This Row],[value Type]]="","", Table13[[#This Row],[DataOffset]])</f>
        <v>28</v>
      </c>
      <c r="AL731" s="24"/>
      <c r="AM731" s="24" t="str">
        <f>IF(Table13[[#This Row],[value Type]]="","", "0x"&amp;DEC2HEX(Table13[[#This Row],[ADDR_Offset]],8) )</f>
        <v>0x000000DC</v>
      </c>
    </row>
    <row r="732" spans="2:39" s="6" customFormat="1" x14ac:dyDescent="0.3">
      <c r="B732" s="12">
        <f t="shared" si="10"/>
        <v>5480</v>
      </c>
      <c r="C732" s="14" t="s">
        <v>1</v>
      </c>
      <c r="D732" s="14" t="s">
        <v>388</v>
      </c>
      <c r="E732" s="24" t="s">
        <v>349</v>
      </c>
      <c r="F732" s="24">
        <v>1</v>
      </c>
      <c r="G732" s="14" t="s">
        <v>884</v>
      </c>
      <c r="H732" s="15" t="s">
        <v>39</v>
      </c>
      <c r="I732" s="29">
        <v>37</v>
      </c>
      <c r="J732" s="15" t="s">
        <v>747</v>
      </c>
      <c r="K732" s="15" t="s">
        <v>52</v>
      </c>
      <c r="L732" s="14">
        <v>1</v>
      </c>
      <c r="M732" s="35" t="s">
        <v>39</v>
      </c>
      <c r="N732" s="15" t="s">
        <v>463</v>
      </c>
      <c r="O732" s="25" t="s">
        <v>402</v>
      </c>
      <c r="P732" s="25">
        <v>1</v>
      </c>
      <c r="Q732" s="26" t="s">
        <v>80</v>
      </c>
      <c r="R732" s="27" t="s">
        <v>277</v>
      </c>
      <c r="S732" s="27" t="s">
        <v>239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longout</v>
      </c>
      <c r="Y732" s="30" t="str">
        <f>IF(Table13[[#This Row],[value Type]]="","",VLOOKUP(Table13[[#This Row],[value Type]],Table2915[],3,FALSE))</f>
        <v>asynParamInt32</v>
      </c>
      <c r="Z732" s="64" t="str">
        <f>IF(Table13[[#This Row],[value Type]]="","",VLOOKUP(Table13[[#This Row],[value Type]],Table2915[],4,FALSE))</f>
        <v>"asynInt32"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732" s="79">
        <f>IF(Table13[[#This Row],[value Type]]="","",VLOOKUP(Table13[[#This Row],[IP]],Table51117[],2,FALSE))</f>
        <v>2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220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1</v>
      </c>
      <c r="AK732" s="68" t="str">
        <f>IF(Table13[[#This Row],[value Type]]="","", Table13[[#This Row],[DataOffset]])</f>
        <v>29</v>
      </c>
      <c r="AL732" s="24"/>
      <c r="AM732" s="24" t="str">
        <f>IF(Table13[[#This Row],[value Type]]="","", "0x"&amp;DEC2HEX(Table13[[#This Row],[ADDR_Offset]],8) )</f>
        <v>0x000000DC</v>
      </c>
    </row>
    <row r="733" spans="2:39" s="6" customFormat="1" x14ac:dyDescent="0.3">
      <c r="B733" s="12">
        <f t="shared" si="10"/>
        <v>5480</v>
      </c>
      <c r="C733" s="14" t="s">
        <v>1</v>
      </c>
      <c r="D733" s="14" t="s">
        <v>388</v>
      </c>
      <c r="E733" s="24" t="s">
        <v>349</v>
      </c>
      <c r="F733" s="24">
        <v>1</v>
      </c>
      <c r="G733" s="14" t="s">
        <v>884</v>
      </c>
      <c r="H733" s="15" t="s">
        <v>40</v>
      </c>
      <c r="I733" s="29">
        <v>37</v>
      </c>
      <c r="J733" s="15" t="s">
        <v>747</v>
      </c>
      <c r="K733" s="15" t="s">
        <v>52</v>
      </c>
      <c r="L733" s="14">
        <v>1</v>
      </c>
      <c r="M733" s="35" t="s">
        <v>40</v>
      </c>
      <c r="N733" s="15" t="s">
        <v>463</v>
      </c>
      <c r="O733" s="25" t="s">
        <v>402</v>
      </c>
      <c r="P733" s="25">
        <v>1</v>
      </c>
      <c r="Q733" s="26" t="s">
        <v>80</v>
      </c>
      <c r="R733" s="27" t="s">
        <v>277</v>
      </c>
      <c r="S733" s="27" t="s">
        <v>476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longout</v>
      </c>
      <c r="Y733" s="30" t="str">
        <f>IF(Table13[[#This Row],[value Type]]="","",VLOOKUP(Table13[[#This Row],[value Type]],Table2915[],3,FALSE))</f>
        <v>asynParamInt32</v>
      </c>
      <c r="Z733" s="64" t="str">
        <f>IF(Table13[[#This Row],[value Type]]="","",VLOOKUP(Table13[[#This Row],[value Type]],Table2915[],4,FALSE))</f>
        <v>"asynInt32"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33" s="79">
        <f>IF(Table13[[#This Row],[value Type]]="","",VLOOKUP(Table13[[#This Row],[IP]],Table51117[],2,FALSE))</f>
        <v>2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220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1</v>
      </c>
      <c r="AK733" s="68" t="str">
        <f>IF(Table13[[#This Row],[value Type]]="","", Table13[[#This Row],[DataOffset]])</f>
        <v>30</v>
      </c>
      <c r="AL733" s="24"/>
      <c r="AM733" s="24" t="str">
        <f>IF(Table13[[#This Row],[value Type]]="","", "0x"&amp;DEC2HEX(Table13[[#This Row],[ADDR_Offset]],8) )</f>
        <v>0x000000DC</v>
      </c>
    </row>
    <row r="734" spans="2:39" s="6" customFormat="1" x14ac:dyDescent="0.3">
      <c r="B734" s="12">
        <f t="shared" si="10"/>
        <v>5480</v>
      </c>
      <c r="C734" s="14" t="s">
        <v>1</v>
      </c>
      <c r="D734" s="14" t="s">
        <v>388</v>
      </c>
      <c r="E734" s="24" t="s">
        <v>349</v>
      </c>
      <c r="F734" s="24">
        <v>1</v>
      </c>
      <c r="G734" s="14" t="s">
        <v>884</v>
      </c>
      <c r="H734" s="15" t="s">
        <v>41</v>
      </c>
      <c r="I734" s="29">
        <v>37</v>
      </c>
      <c r="J734" s="15" t="s">
        <v>747</v>
      </c>
      <c r="K734" s="15" t="s">
        <v>52</v>
      </c>
      <c r="L734" s="14">
        <v>1</v>
      </c>
      <c r="M734" s="35" t="s">
        <v>41</v>
      </c>
      <c r="N734" s="15" t="s">
        <v>275</v>
      </c>
      <c r="O734" s="25" t="s">
        <v>96</v>
      </c>
      <c r="P734" s="25">
        <v>1</v>
      </c>
      <c r="Q734" s="26" t="s">
        <v>80</v>
      </c>
      <c r="R734" s="27" t="s">
        <v>277</v>
      </c>
      <c r="S734" s="27" t="s">
        <v>476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longout</v>
      </c>
      <c r="Y734" s="30" t="str">
        <f>IF(Table13[[#This Row],[value Type]]="","",VLOOKUP(Table13[[#This Row],[value Type]],Table2915[],3,FALSE))</f>
        <v>asynParamInt32</v>
      </c>
      <c r="Z734" s="64" t="str">
        <f>IF(Table13[[#This Row],[value Type]]="","",VLOOKUP(Table13[[#This Row],[value Type]],Table2915[],4,FALSE))</f>
        <v>"asynInt32"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34" s="79">
        <f>IF(Table13[[#This Row],[value Type]]="","",VLOOKUP(Table13[[#This Row],[IP]],Table51117[],2,FALSE))</f>
        <v>2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220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1</v>
      </c>
      <c r="AK734" s="68" t="str">
        <f>IF(Table13[[#This Row],[value Type]]="","", Table13[[#This Row],[DataOffset]])</f>
        <v>31</v>
      </c>
      <c r="AL734" s="24"/>
      <c r="AM734" s="24" t="str">
        <f>IF(Table13[[#This Row],[value Type]]="","", "0x"&amp;DEC2HEX(Table13[[#This Row],[ADDR_Offset]],8) )</f>
        <v>0x000000DC</v>
      </c>
    </row>
    <row r="735" spans="2:39" s="6" customFormat="1" x14ac:dyDescent="0.3">
      <c r="B735" s="14">
        <v>0</v>
      </c>
      <c r="C735" s="14"/>
      <c r="D735" s="14"/>
      <c r="E735" s="24"/>
      <c r="F735" s="24"/>
      <c r="G735" s="14"/>
      <c r="H735" s="15"/>
      <c r="I735" s="29"/>
      <c r="J735" s="15"/>
      <c r="K735" s="15"/>
      <c r="L735" s="14"/>
      <c r="M735" s="35"/>
      <c r="N735" s="15"/>
      <c r="O735" s="25"/>
      <c r="P735" s="25"/>
      <c r="Q735" s="26"/>
      <c r="R735" s="27" t="s">
        <v>277</v>
      </c>
      <c r="S735" s="27"/>
      <c r="T735" s="27"/>
      <c r="U735" s="28"/>
      <c r="V735" s="14"/>
      <c r="W735" s="14"/>
      <c r="X735" s="30" t="str">
        <f>IF(Table13[[#This Row],[value Type]]="","",VLOOKUP(Table13[[#This Row],[value Type]],Table2915[],2,FALSE))</f>
        <v/>
      </c>
      <c r="Y735" s="30" t="str">
        <f>IF(Table13[[#This Row],[value Type]]="","",VLOOKUP(Table13[[#This Row],[value Type]],Table2915[],3,FALSE))</f>
        <v/>
      </c>
      <c r="Z735" s="64" t="str">
        <f>IF(Table13[[#This Row],[value Type]]="","",VLOOKUP(Table13[[#This Row],[value Type]],Table2915[],4,FALSE))</f>
        <v/>
      </c>
      <c r="AA735" s="64" t="str">
        <f>IF(Table13[[#This Row],[value Type]]="","",    IF(Table13[[#This Row],[IP MAX]]="","","@"  )     )</f>
        <v/>
      </c>
      <c r="AB735" s="79" t="str">
        <f>IF(Table13[[#This Row],[value Type]]="","",VLOOKUP(Table13[[#This Row],[value Type]],Table2915[],5,FALSE))</f>
        <v/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5" s="79" t="str">
        <f>IF(Table13[[#This Row],[value Type]]="","",VLOOKUP(Table13[[#This Row],[IP]],Table51117[],2,FALSE))</f>
        <v/>
      </c>
      <c r="AE735" s="79" t="str">
        <f>IF(Table13[[#This Row],[value Type]]="","",    IF(Table13[[#This Row],[IP MAX]]="","0","@"  )     )</f>
        <v/>
      </c>
      <c r="AF735" s="68" t="str">
        <f>IF(Table13[[#This Row],[value Type]]="","",VLOOKUP(Table13[[#This Row],[Acc Type]],Table2[],2,FALSE))</f>
        <v/>
      </c>
      <c r="AG735" s="75" t="str">
        <f>IF(Table13[[#This Row],[value Type]]="","",4*HEX2DEC(Table13[[#This Row],[Addr'[HEX']]]))</f>
        <v/>
      </c>
      <c r="AH735" s="75" t="str">
        <f>IF(Table13[[#This Row],[value Type]]="","",VLOOKUP(Table13[[#This Row],[AddrTypeI]],Table22[],2,FALSE))</f>
        <v/>
      </c>
      <c r="AI735" s="68" t="str">
        <f>IF(Table13[[#This Row],[value Type]]="","",VLOOKUP(Table13[[#This Row],[DataType]],Table351218[],2,FALSE))</f>
        <v/>
      </c>
      <c r="AJ735" s="68" t="str">
        <f>IF(Table13[[#This Row],[value Type]]="","",Table13[[#This Row],[DataWidth]])</f>
        <v/>
      </c>
      <c r="AK735" s="68" t="str">
        <f>IF(Table13[[#This Row],[value Type]]="","", Table13[[#This Row],[DataOffset]])</f>
        <v/>
      </c>
      <c r="AL735" s="24"/>
      <c r="AM735" s="24" t="str">
        <f>IF(Table13[[#This Row],[value Type]]="","", "0x"&amp;DEC2HEX(Table13[[#This Row],[ADDR_Offset]],8) )</f>
        <v/>
      </c>
    </row>
    <row r="736" spans="2:39" s="6" customFormat="1" x14ac:dyDescent="0.3">
      <c r="B736" s="12">
        <v>6000</v>
      </c>
      <c r="C736" s="14" t="s">
        <v>526</v>
      </c>
      <c r="D736" s="14" t="s">
        <v>388</v>
      </c>
      <c r="E736" s="24" t="s">
        <v>349</v>
      </c>
      <c r="F736" s="24">
        <v>1</v>
      </c>
      <c r="G736" s="14" t="s">
        <v>561</v>
      </c>
      <c r="H736" s="15"/>
      <c r="I736" s="101" t="str">
        <f>DEC2HEX(HEX2DEC(Table13[[#This Row],[Index]])/4+Table13[[#This Row],[SUB]],4)</f>
        <v>1800</v>
      </c>
      <c r="J736" s="15" t="s">
        <v>747</v>
      </c>
      <c r="K736" s="15" t="s">
        <v>755</v>
      </c>
      <c r="L736" s="14">
        <v>32</v>
      </c>
      <c r="M736" s="35">
        <v>0</v>
      </c>
      <c r="N736" s="15" t="s">
        <v>463</v>
      </c>
      <c r="O736" s="25" t="s">
        <v>454</v>
      </c>
      <c r="P736" s="25">
        <v>1</v>
      </c>
      <c r="Q736" s="26" t="s">
        <v>80</v>
      </c>
      <c r="R736" s="27" t="s">
        <v>461</v>
      </c>
      <c r="S736" s="27" t="s">
        <v>476</v>
      </c>
      <c r="T736" s="27">
        <v>0</v>
      </c>
      <c r="U736" s="28">
        <v>1024</v>
      </c>
      <c r="V736" s="14"/>
      <c r="W736" s="14"/>
      <c r="X736" s="30" t="str">
        <f>IF(Table13[[#This Row],[value Type]]="","",VLOOKUP(Table13[[#This Row],[value Type]],Table2915[],2,FALSE))</f>
        <v>waveform</v>
      </c>
      <c r="Y736" s="30" t="str">
        <f>IF(Table13[[#This Row],[value Type]]="","",VLOOKUP(Table13[[#This Row],[value Type]],Table2915[],3,FALSE))</f>
        <v>asynParamInt32Array</v>
      </c>
      <c r="Z736" s="64" t="str">
        <f>IF(Table13[[#This Row],[value Type]]="","",VLOOKUP(Table13[[#This Row],[value Type]],Table2915[],4,FALSE))</f>
        <v>"asynInt32ArrayOut"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>"LONG"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36" s="79">
        <f>IF(Table13[[#This Row],[value Type]]="","",VLOOKUP(Table13[[#This Row],[IP]],Table51117[],2,FALSE))</f>
        <v>2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24576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8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0x00006000</v>
      </c>
    </row>
    <row r="737" spans="2:39" s="6" customFormat="1" x14ac:dyDescent="0.3">
      <c r="B737" s="14"/>
      <c r="C737" s="14"/>
      <c r="D737" s="14"/>
      <c r="E737" s="24"/>
      <c r="F737" s="24"/>
      <c r="G737" s="14"/>
      <c r="H737" s="15"/>
      <c r="I737" s="29"/>
      <c r="J737" s="15"/>
      <c r="K737" s="15"/>
      <c r="L737" s="14"/>
      <c r="M737" s="35"/>
      <c r="N737" s="15"/>
      <c r="O737" s="88"/>
      <c r="P737" s="25"/>
      <c r="Q737" s="15"/>
      <c r="R737" s="26"/>
      <c r="S737" s="27"/>
      <c r="T737" s="27"/>
      <c r="U737" s="28"/>
      <c r="V737" s="14"/>
      <c r="W737" s="14"/>
      <c r="X737" s="30"/>
      <c r="Y737" s="30"/>
      <c r="Z737" s="64"/>
      <c r="AA737" s="64"/>
      <c r="AB737" s="79"/>
      <c r="AC737" s="12"/>
      <c r="AD737" s="84"/>
      <c r="AE737" s="79"/>
      <c r="AF737" s="68"/>
      <c r="AG737" s="75"/>
      <c r="AH737" s="75"/>
      <c r="AI737" s="81"/>
      <c r="AJ737" s="81"/>
      <c r="AK737" s="81"/>
      <c r="AL737" s="24"/>
      <c r="AM737" s="24"/>
    </row>
    <row r="738" spans="2:39" s="6" customFormat="1" x14ac:dyDescent="0.3">
      <c r="B738" s="14"/>
      <c r="C738" s="14"/>
      <c r="D738" s="14"/>
      <c r="E738" s="24"/>
      <c r="F738" s="24"/>
      <c r="G738" s="14"/>
      <c r="H738" s="15"/>
      <c r="I738" s="29"/>
      <c r="J738" s="15"/>
      <c r="K738" s="15"/>
      <c r="L738" s="14"/>
      <c r="M738" s="35"/>
      <c r="N738" s="15"/>
      <c r="O738" s="88"/>
      <c r="P738" s="25"/>
      <c r="Q738" s="15"/>
      <c r="R738" s="26"/>
      <c r="S738" s="27"/>
      <c r="T738" s="27"/>
      <c r="U738" s="28"/>
      <c r="V738" s="14"/>
      <c r="W738" s="14"/>
      <c r="X738" s="30"/>
      <c r="Y738" s="30"/>
      <c r="Z738" s="64"/>
      <c r="AA738" s="64"/>
      <c r="AB738" s="79"/>
      <c r="AC738" s="12"/>
      <c r="AD738" s="84"/>
      <c r="AE738" s="79"/>
      <c r="AF738" s="68"/>
      <c r="AG738" s="75"/>
      <c r="AH738" s="75"/>
      <c r="AI738" s="81"/>
      <c r="AJ738" s="81"/>
      <c r="AK738" s="81"/>
      <c r="AL738" s="24"/>
      <c r="AM738" s="24"/>
    </row>
    <row r="739" spans="2:39" s="6" customFormat="1" x14ac:dyDescent="0.3">
      <c r="B739" s="14"/>
      <c r="C739" s="14"/>
      <c r="D739" s="14"/>
      <c r="E739" s="24"/>
      <c r="F739" s="24"/>
      <c r="G739" s="14"/>
      <c r="H739" s="15"/>
      <c r="I739" s="29"/>
      <c r="J739" s="15"/>
      <c r="K739" s="15"/>
      <c r="L739" s="14"/>
      <c r="M739" s="35"/>
      <c r="N739" s="15"/>
      <c r="O739" s="88"/>
      <c r="P739" s="25"/>
      <c r="Q739" s="15"/>
      <c r="R739" s="26"/>
      <c r="S739" s="27"/>
      <c r="T739" s="27"/>
      <c r="U739" s="28"/>
      <c r="V739" s="14"/>
      <c r="W739" s="14"/>
      <c r="X739" s="30"/>
      <c r="Y739" s="30"/>
      <c r="Z739" s="64"/>
      <c r="AA739" s="64"/>
      <c r="AB739" s="79"/>
      <c r="AC739" s="12"/>
      <c r="AD739" s="84"/>
      <c r="AE739" s="79"/>
      <c r="AF739" s="68"/>
      <c r="AG739" s="75"/>
      <c r="AH739" s="75"/>
      <c r="AI739" s="81"/>
      <c r="AJ739" s="81"/>
      <c r="AK739" s="81"/>
      <c r="AL739" s="24"/>
      <c r="AM739" s="24"/>
    </row>
    <row r="740" spans="2:39" s="6" customFormat="1" x14ac:dyDescent="0.3">
      <c r="B740" s="14"/>
      <c r="C740" s="14"/>
      <c r="D740" s="14"/>
      <c r="E740" s="24"/>
      <c r="F740" s="24"/>
      <c r="G740" s="14"/>
      <c r="H740" s="15"/>
      <c r="I740" s="29"/>
      <c r="J740" s="15"/>
      <c r="K740" s="15"/>
      <c r="L740" s="14"/>
      <c r="M740" s="35"/>
      <c r="N740" s="15"/>
      <c r="O740" s="88"/>
      <c r="P740" s="25"/>
      <c r="Q740" s="15"/>
      <c r="R740" s="26"/>
      <c r="S740" s="27"/>
      <c r="T740" s="27"/>
      <c r="U740" s="28"/>
      <c r="V740" s="14"/>
      <c r="W740" s="14"/>
      <c r="X740" s="30"/>
      <c r="Y740" s="30"/>
      <c r="Z740" s="64"/>
      <c r="AA740" s="64"/>
      <c r="AB740" s="79"/>
      <c r="AC740" s="12"/>
      <c r="AD740" s="84"/>
      <c r="AE740" s="79"/>
      <c r="AF740" s="68"/>
      <c r="AG740" s="75"/>
      <c r="AH740" s="75"/>
      <c r="AI740" s="81"/>
      <c r="AJ740" s="81"/>
      <c r="AK740" s="81"/>
      <c r="AL740" s="24"/>
      <c r="AM740" s="24"/>
    </row>
    <row r="741" spans="2:39" s="6" customFormat="1" x14ac:dyDescent="0.3">
      <c r="B741" s="14"/>
      <c r="C741" s="14"/>
      <c r="D741" s="14"/>
      <c r="E741" s="24"/>
      <c r="F741" s="24"/>
      <c r="G741" s="14"/>
      <c r="H741" s="15"/>
      <c r="I741" s="29"/>
      <c r="J741" s="15"/>
      <c r="K741" s="15"/>
      <c r="L741" s="14"/>
      <c r="M741" s="35"/>
      <c r="N741" s="15"/>
      <c r="O741" s="88"/>
      <c r="P741" s="25"/>
      <c r="Q741" s="15"/>
      <c r="R741" s="26"/>
      <c r="S741" s="27"/>
      <c r="T741" s="27"/>
      <c r="U741" s="28"/>
      <c r="V741" s="14"/>
      <c r="W741" s="14"/>
      <c r="X741" s="30"/>
      <c r="Y741" s="30"/>
      <c r="Z741" s="64"/>
      <c r="AA741" s="64"/>
      <c r="AB741" s="79"/>
      <c r="AC741" s="12"/>
      <c r="AD741" s="84"/>
      <c r="AE741" s="79"/>
      <c r="AF741" s="68"/>
      <c r="AG741" s="75"/>
      <c r="AH741" s="75"/>
      <c r="AI741" s="81"/>
      <c r="AJ741" s="81"/>
      <c r="AK741" s="81"/>
      <c r="AL741" s="24"/>
      <c r="AM741" s="24"/>
    </row>
    <row r="742" spans="2:39" s="6" customFormat="1" x14ac:dyDescent="0.3">
      <c r="B742" s="14"/>
      <c r="C742" s="14"/>
      <c r="D742" s="14"/>
      <c r="E742" s="24"/>
      <c r="F742" s="24"/>
      <c r="G742" s="14"/>
      <c r="H742" s="15"/>
      <c r="I742" s="29"/>
      <c r="J742" s="15"/>
      <c r="K742" s="15"/>
      <c r="L742" s="14"/>
      <c r="M742" s="35"/>
      <c r="N742" s="15"/>
      <c r="O742" s="88"/>
      <c r="P742" s="25"/>
      <c r="Q742" s="15"/>
      <c r="R742" s="26"/>
      <c r="S742" s="27"/>
      <c r="T742" s="27"/>
      <c r="U742" s="28"/>
      <c r="V742" s="14"/>
      <c r="W742" s="14"/>
      <c r="X742" s="30"/>
      <c r="Y742" s="30"/>
      <c r="Z742" s="64"/>
      <c r="AA742" s="64"/>
      <c r="AB742" s="79"/>
      <c r="AC742" s="12"/>
      <c r="AD742" s="84"/>
      <c r="AE742" s="79"/>
      <c r="AF742" s="68"/>
      <c r="AG742" s="75"/>
      <c r="AH742" s="75"/>
      <c r="AI742" s="81"/>
      <c r="AJ742" s="81"/>
      <c r="AK742" s="81"/>
      <c r="AL742" s="24"/>
      <c r="AM742" s="24"/>
    </row>
    <row r="743" spans="2:39" s="6" customFormat="1" x14ac:dyDescent="0.3">
      <c r="B743" s="14"/>
      <c r="C743" s="14"/>
      <c r="D743" s="14"/>
      <c r="E743" s="24"/>
      <c r="F743" s="24"/>
      <c r="G743" s="14"/>
      <c r="H743" s="15"/>
      <c r="I743" s="29"/>
      <c r="J743" s="15"/>
      <c r="K743" s="15"/>
      <c r="L743" s="14"/>
      <c r="M743" s="35"/>
      <c r="N743" s="15"/>
      <c r="O743" s="88"/>
      <c r="P743" s="25"/>
      <c r="Q743" s="15"/>
      <c r="R743" s="26"/>
      <c r="S743" s="27"/>
      <c r="T743" s="27"/>
      <c r="U743" s="28"/>
      <c r="V743" s="14"/>
      <c r="W743" s="14"/>
      <c r="X743" s="30"/>
      <c r="Y743" s="30"/>
      <c r="Z743" s="64"/>
      <c r="AA743" s="64"/>
      <c r="AB743" s="79"/>
      <c r="AC743" s="12"/>
      <c r="AD743" s="84"/>
      <c r="AE743" s="79"/>
      <c r="AF743" s="68"/>
      <c r="AG743" s="75"/>
      <c r="AH743" s="75"/>
      <c r="AI743" s="81"/>
      <c r="AJ743" s="81"/>
      <c r="AK743" s="81"/>
      <c r="AL743" s="24"/>
      <c r="AM743" s="24"/>
    </row>
    <row r="744" spans="2:39" s="6" customFormat="1" x14ac:dyDescent="0.3">
      <c r="B744" s="14"/>
      <c r="C744" s="14"/>
      <c r="D744" s="14"/>
      <c r="E744" s="24"/>
      <c r="F744" s="24"/>
      <c r="G744" s="14"/>
      <c r="H744" s="15"/>
      <c r="I744" s="29"/>
      <c r="J744" s="15"/>
      <c r="K744" s="15"/>
      <c r="L744" s="14"/>
      <c r="M744" s="35"/>
      <c r="N744" s="15"/>
      <c r="O744" s="88"/>
      <c r="P744" s="25"/>
      <c r="Q744" s="15"/>
      <c r="R744" s="26"/>
      <c r="S744" s="27"/>
      <c r="T744" s="27"/>
      <c r="U744" s="28"/>
      <c r="V744" s="14"/>
      <c r="W744" s="14"/>
      <c r="X744" s="30"/>
      <c r="Y744" s="30"/>
      <c r="Z744" s="64"/>
      <c r="AA744" s="64"/>
      <c r="AB744" s="79"/>
      <c r="AC744" s="12"/>
      <c r="AD744" s="84"/>
      <c r="AE744" s="79"/>
      <c r="AF744" s="68"/>
      <c r="AG744" s="75"/>
      <c r="AH744" s="75"/>
      <c r="AI744" s="81"/>
      <c r="AJ744" s="81"/>
      <c r="AK744" s="81"/>
      <c r="AL744" s="24"/>
      <c r="AM744" s="24"/>
    </row>
    <row r="745" spans="2:39" s="6" customFormat="1" x14ac:dyDescent="0.3">
      <c r="B745" s="14"/>
      <c r="C745" s="14"/>
      <c r="D745" s="14"/>
      <c r="E745" s="24"/>
      <c r="F745" s="24"/>
      <c r="G745" s="14"/>
      <c r="H745" s="15"/>
      <c r="I745" s="29"/>
      <c r="J745" s="15"/>
      <c r="K745" s="15"/>
      <c r="L745" s="14"/>
      <c r="M745" s="35"/>
      <c r="N745" s="15"/>
      <c r="O745" s="88"/>
      <c r="P745" s="25"/>
      <c r="Q745" s="15"/>
      <c r="R745" s="26"/>
      <c r="S745" s="27"/>
      <c r="T745" s="27"/>
      <c r="U745" s="28"/>
      <c r="V745" s="14"/>
      <c r="W745" s="14"/>
      <c r="X745" s="30"/>
      <c r="Y745" s="30"/>
      <c r="Z745" s="64"/>
      <c r="AA745" s="64"/>
      <c r="AB745" s="79"/>
      <c r="AC745" s="12"/>
      <c r="AD745" s="84"/>
      <c r="AE745" s="79"/>
      <c r="AF745" s="68"/>
      <c r="AG745" s="75"/>
      <c r="AH745" s="75"/>
      <c r="AI745" s="81"/>
      <c r="AJ745" s="81"/>
      <c r="AK745" s="81"/>
      <c r="AL745" s="24"/>
      <c r="AM745" s="24"/>
    </row>
    <row r="746" spans="2:39" s="6" customFormat="1" x14ac:dyDescent="0.3">
      <c r="B746" s="14"/>
      <c r="C746" s="14"/>
      <c r="D746" s="14"/>
      <c r="E746" s="24"/>
      <c r="F746" s="24"/>
      <c r="G746" s="14"/>
      <c r="H746" s="15"/>
      <c r="I746" s="29"/>
      <c r="J746" s="15"/>
      <c r="K746" s="15"/>
      <c r="L746" s="14"/>
      <c r="M746" s="35"/>
      <c r="N746" s="15"/>
      <c r="O746" s="88"/>
      <c r="P746" s="25"/>
      <c r="Q746" s="15"/>
      <c r="R746" s="26"/>
      <c r="S746" s="27"/>
      <c r="T746" s="27"/>
      <c r="U746" s="28"/>
      <c r="V746" s="14"/>
      <c r="W746" s="14"/>
      <c r="X746" s="30"/>
      <c r="Y746" s="30"/>
      <c r="Z746" s="64"/>
      <c r="AA746" s="64"/>
      <c r="AB746" s="79"/>
      <c r="AC746" s="12"/>
      <c r="AD746" s="84"/>
      <c r="AE746" s="79"/>
      <c r="AF746" s="68"/>
      <c r="AG746" s="75"/>
      <c r="AH746" s="75"/>
      <c r="AI746" s="81"/>
      <c r="AJ746" s="81"/>
      <c r="AK746" s="81"/>
      <c r="AL746" s="24"/>
      <c r="AM746" s="24"/>
    </row>
    <row r="747" spans="2:39" s="6" customFormat="1" x14ac:dyDescent="0.3">
      <c r="B747" s="14"/>
      <c r="C747" s="14"/>
      <c r="D747" s="14"/>
      <c r="E747" s="24"/>
      <c r="F747" s="24"/>
      <c r="G747" s="14"/>
      <c r="H747" s="15"/>
      <c r="I747" s="29"/>
      <c r="J747" s="15"/>
      <c r="K747" s="15"/>
      <c r="L747" s="14"/>
      <c r="M747" s="35"/>
      <c r="N747" s="15"/>
      <c r="O747" s="88"/>
      <c r="P747" s="25"/>
      <c r="Q747" s="15"/>
      <c r="R747" s="26"/>
      <c r="S747" s="27"/>
      <c r="T747" s="27"/>
      <c r="U747" s="28"/>
      <c r="V747" s="14"/>
      <c r="W747" s="14"/>
      <c r="X747" s="30"/>
      <c r="Y747" s="30"/>
      <c r="Z747" s="64"/>
      <c r="AA747" s="64"/>
      <c r="AB747" s="79"/>
      <c r="AC747" s="12"/>
      <c r="AD747" s="84"/>
      <c r="AE747" s="79"/>
      <c r="AF747" s="68"/>
      <c r="AG747" s="75"/>
      <c r="AH747" s="75"/>
      <c r="AI747" s="81"/>
      <c r="AJ747" s="81"/>
      <c r="AK747" s="81"/>
      <c r="AL747" s="24"/>
      <c r="AM747" s="24"/>
    </row>
    <row r="748" spans="2:39" s="6" customFormat="1" x14ac:dyDescent="0.3">
      <c r="B748" s="14"/>
      <c r="C748" s="14"/>
      <c r="D748" s="14"/>
      <c r="E748" s="24"/>
      <c r="F748" s="24"/>
      <c r="G748" s="14"/>
      <c r="H748" s="15"/>
      <c r="I748" s="29"/>
      <c r="J748" s="15"/>
      <c r="K748" s="15"/>
      <c r="L748" s="14"/>
      <c r="M748" s="35"/>
      <c r="N748" s="15"/>
      <c r="O748" s="88"/>
      <c r="P748" s="25"/>
      <c r="Q748" s="15"/>
      <c r="R748" s="26"/>
      <c r="S748" s="27"/>
      <c r="T748" s="27"/>
      <c r="U748" s="28"/>
      <c r="V748" s="14"/>
      <c r="W748" s="14"/>
      <c r="X748" s="30"/>
      <c r="Y748" s="30"/>
      <c r="Z748" s="64"/>
      <c r="AA748" s="64"/>
      <c r="AB748" s="79"/>
      <c r="AC748" s="12"/>
      <c r="AD748" s="84"/>
      <c r="AE748" s="79"/>
      <c r="AF748" s="68"/>
      <c r="AG748" s="75"/>
      <c r="AH748" s="75"/>
      <c r="AI748" s="81"/>
      <c r="AJ748" s="81"/>
      <c r="AK748" s="81"/>
      <c r="AL748" s="24"/>
      <c r="AM748" s="24"/>
    </row>
    <row r="749" spans="2:39" s="6" customFormat="1" x14ac:dyDescent="0.3">
      <c r="B749" s="14"/>
      <c r="C749" s="14"/>
      <c r="D749" s="14"/>
      <c r="E749" s="24"/>
      <c r="F749" s="24"/>
      <c r="G749" s="14"/>
      <c r="H749" s="15"/>
      <c r="I749" s="29"/>
      <c r="J749" s="15"/>
      <c r="K749" s="15"/>
      <c r="L749" s="14"/>
      <c r="M749" s="35"/>
      <c r="N749" s="15"/>
      <c r="O749" s="88"/>
      <c r="P749" s="25"/>
      <c r="Q749" s="15"/>
      <c r="R749" s="26"/>
      <c r="S749" s="27"/>
      <c r="T749" s="27"/>
      <c r="U749" s="28"/>
      <c r="V749" s="14"/>
      <c r="W749" s="14"/>
      <c r="X749" s="30"/>
      <c r="Y749" s="30"/>
      <c r="Z749" s="64"/>
      <c r="AA749" s="64"/>
      <c r="AB749" s="79"/>
      <c r="AC749" s="12"/>
      <c r="AD749" s="84"/>
      <c r="AE749" s="79"/>
      <c r="AF749" s="68"/>
      <c r="AG749" s="75"/>
      <c r="AH749" s="75"/>
      <c r="AI749" s="81"/>
      <c r="AJ749" s="81"/>
      <c r="AK749" s="81"/>
      <c r="AL749" s="24"/>
      <c r="AM749" s="24"/>
    </row>
    <row r="750" spans="2:39" s="6" customFormat="1" x14ac:dyDescent="0.3">
      <c r="B750" s="14"/>
      <c r="C750" s="14"/>
      <c r="D750" s="14"/>
      <c r="E750" s="24"/>
      <c r="F750" s="24"/>
      <c r="G750" s="14"/>
      <c r="H750" s="15"/>
      <c r="I750" s="29"/>
      <c r="J750" s="15"/>
      <c r="K750" s="15"/>
      <c r="L750" s="14"/>
      <c r="M750" s="35"/>
      <c r="N750" s="15"/>
      <c r="O750" s="88"/>
      <c r="P750" s="25"/>
      <c r="Q750" s="15"/>
      <c r="R750" s="26"/>
      <c r="S750" s="27"/>
      <c r="T750" s="27"/>
      <c r="U750" s="28"/>
      <c r="V750" s="14"/>
      <c r="W750" s="14"/>
      <c r="X750" s="30"/>
      <c r="Y750" s="30"/>
      <c r="Z750" s="64"/>
      <c r="AA750" s="64"/>
      <c r="AB750" s="79"/>
      <c r="AC750" s="12"/>
      <c r="AD750" s="84"/>
      <c r="AE750" s="79"/>
      <c r="AF750" s="68"/>
      <c r="AG750" s="75"/>
      <c r="AH750" s="75"/>
      <c r="AI750" s="81"/>
      <c r="AJ750" s="81"/>
      <c r="AK750" s="81"/>
      <c r="AL750" s="24"/>
      <c r="AM750" s="24"/>
    </row>
    <row r="751" spans="2:39" s="6" customFormat="1" x14ac:dyDescent="0.3">
      <c r="B751" s="14"/>
      <c r="C751" s="14"/>
      <c r="D751" s="14"/>
      <c r="E751" s="24"/>
      <c r="F751" s="24"/>
      <c r="G751" s="14"/>
      <c r="H751" s="15"/>
      <c r="I751" s="29"/>
      <c r="J751" s="15"/>
      <c r="K751" s="15"/>
      <c r="L751" s="14"/>
      <c r="M751" s="35"/>
      <c r="N751" s="15"/>
      <c r="O751" s="88"/>
      <c r="P751" s="25"/>
      <c r="Q751" s="15"/>
      <c r="R751" s="26"/>
      <c r="S751" s="27"/>
      <c r="T751" s="27"/>
      <c r="U751" s="28"/>
      <c r="V751" s="14"/>
      <c r="W751" s="14"/>
      <c r="X751" s="30"/>
      <c r="Y751" s="30"/>
      <c r="Z751" s="64"/>
      <c r="AA751" s="64"/>
      <c r="AB751" s="79"/>
      <c r="AC751" s="12"/>
      <c r="AD751" s="84"/>
      <c r="AE751" s="79"/>
      <c r="AF751" s="68"/>
      <c r="AG751" s="75"/>
      <c r="AH751" s="75"/>
      <c r="AI751" s="81"/>
      <c r="AJ751" s="81"/>
      <c r="AK751" s="81"/>
      <c r="AL751" s="24"/>
      <c r="AM751" s="24"/>
    </row>
    <row r="752" spans="2:39" s="6" customFormat="1" x14ac:dyDescent="0.3">
      <c r="B752" s="14"/>
      <c r="C752" s="14"/>
      <c r="D752" s="14"/>
      <c r="E752" s="24"/>
      <c r="F752" s="24"/>
      <c r="G752" s="14"/>
      <c r="H752" s="15"/>
      <c r="I752" s="29"/>
      <c r="J752" s="15"/>
      <c r="K752" s="15"/>
      <c r="L752" s="14"/>
      <c r="M752" s="35"/>
      <c r="N752" s="15"/>
      <c r="O752" s="88"/>
      <c r="P752" s="25"/>
      <c r="Q752" s="15"/>
      <c r="R752" s="26"/>
      <c r="S752" s="27"/>
      <c r="T752" s="27"/>
      <c r="U752" s="28"/>
      <c r="V752" s="14"/>
      <c r="W752" s="14"/>
      <c r="X752" s="30"/>
      <c r="Y752" s="30"/>
      <c r="Z752" s="64"/>
      <c r="AA752" s="64"/>
      <c r="AB752" s="79"/>
      <c r="AC752" s="12"/>
      <c r="AD752" s="84"/>
      <c r="AE752" s="79"/>
      <c r="AF752" s="68"/>
      <c r="AG752" s="75"/>
      <c r="AH752" s="75"/>
      <c r="AI752" s="81"/>
      <c r="AJ752" s="81"/>
      <c r="AK752" s="81"/>
      <c r="AL752" s="24"/>
      <c r="AM752" s="24"/>
    </row>
    <row r="753" spans="2:39" s="6" customFormat="1" x14ac:dyDescent="0.3">
      <c r="B753" s="14"/>
      <c r="C753" s="14"/>
      <c r="D753" s="14"/>
      <c r="E753" s="24"/>
      <c r="F753" s="24"/>
      <c r="G753" s="14"/>
      <c r="H753" s="15"/>
      <c r="I753" s="29"/>
      <c r="J753" s="15"/>
      <c r="K753" s="15"/>
      <c r="L753" s="14"/>
      <c r="M753" s="35"/>
      <c r="N753" s="15"/>
      <c r="O753" s="88"/>
      <c r="P753" s="25"/>
      <c r="Q753" s="15"/>
      <c r="R753" s="26"/>
      <c r="S753" s="27"/>
      <c r="T753" s="27"/>
      <c r="U753" s="28"/>
      <c r="V753" s="14"/>
      <c r="W753" s="14"/>
      <c r="X753" s="30"/>
      <c r="Y753" s="30"/>
      <c r="Z753" s="64"/>
      <c r="AA753" s="64"/>
      <c r="AB753" s="79"/>
      <c r="AC753" s="12"/>
      <c r="AD753" s="84"/>
      <c r="AE753" s="79"/>
      <c r="AF753" s="68"/>
      <c r="AG753" s="75"/>
      <c r="AH753" s="75"/>
      <c r="AI753" s="81"/>
      <c r="AJ753" s="81"/>
      <c r="AK753" s="81"/>
      <c r="AL753" s="24"/>
      <c r="AM753" s="24"/>
    </row>
    <row r="754" spans="2:39" s="6" customFormat="1" x14ac:dyDescent="0.3">
      <c r="B754" s="14"/>
      <c r="C754" s="14"/>
      <c r="D754" s="14"/>
      <c r="E754" s="24"/>
      <c r="F754" s="24"/>
      <c r="G754" s="14"/>
      <c r="H754" s="15"/>
      <c r="I754" s="29"/>
      <c r="J754" s="15"/>
      <c r="K754" s="15"/>
      <c r="L754" s="14"/>
      <c r="M754" s="35"/>
      <c r="N754" s="15"/>
      <c r="O754" s="88"/>
      <c r="P754" s="25"/>
      <c r="Q754" s="15"/>
      <c r="R754" s="26"/>
      <c r="S754" s="27"/>
      <c r="T754" s="27"/>
      <c r="U754" s="28"/>
      <c r="V754" s="14"/>
      <c r="W754" s="14"/>
      <c r="X754" s="30"/>
      <c r="Y754" s="30"/>
      <c r="Z754" s="64"/>
      <c r="AA754" s="64"/>
      <c r="AB754" s="79"/>
      <c r="AC754" s="12"/>
      <c r="AD754" s="84"/>
      <c r="AE754" s="79"/>
      <c r="AF754" s="68"/>
      <c r="AG754" s="75"/>
      <c r="AH754" s="75"/>
      <c r="AI754" s="81"/>
      <c r="AJ754" s="81"/>
      <c r="AK754" s="81"/>
      <c r="AL754" s="24"/>
      <c r="AM754" s="24"/>
    </row>
    <row r="755" spans="2:39" s="6" customFormat="1" x14ac:dyDescent="0.3">
      <c r="B755" s="14"/>
      <c r="C755" s="14"/>
      <c r="D755" s="14"/>
      <c r="E755" s="24"/>
      <c r="F755" s="24"/>
      <c r="G755" s="14"/>
      <c r="H755" s="15"/>
      <c r="I755" s="29"/>
      <c r="J755" s="15"/>
      <c r="K755" s="15"/>
      <c r="L755" s="14"/>
      <c r="M755" s="35"/>
      <c r="N755" s="15"/>
      <c r="O755" s="88"/>
      <c r="P755" s="25"/>
      <c r="Q755" s="15"/>
      <c r="R755" s="26"/>
      <c r="S755" s="27"/>
      <c r="T755" s="27"/>
      <c r="U755" s="28"/>
      <c r="V755" s="14"/>
      <c r="W755" s="14"/>
      <c r="X755" s="30"/>
      <c r="Y755" s="30"/>
      <c r="Z755" s="64"/>
      <c r="AA755" s="64"/>
      <c r="AB755" s="79"/>
      <c r="AC755" s="12"/>
      <c r="AD755" s="84"/>
      <c r="AE755" s="79"/>
      <c r="AF755" s="68"/>
      <c r="AG755" s="75"/>
      <c r="AH755" s="75"/>
      <c r="AI755" s="81"/>
      <c r="AJ755" s="81"/>
      <c r="AK755" s="81"/>
      <c r="AL755" s="24"/>
      <c r="AM755" s="24"/>
    </row>
    <row r="756" spans="2:39" s="6" customFormat="1" x14ac:dyDescent="0.3">
      <c r="B756" s="14"/>
      <c r="C756" s="14"/>
      <c r="D756" s="14"/>
      <c r="E756" s="24"/>
      <c r="F756" s="24"/>
      <c r="G756" s="14"/>
      <c r="H756" s="15"/>
      <c r="I756" s="29"/>
      <c r="J756" s="15"/>
      <c r="K756" s="15"/>
      <c r="L756" s="14"/>
      <c r="M756" s="35"/>
      <c r="N756" s="15"/>
      <c r="O756" s="88"/>
      <c r="P756" s="25"/>
      <c r="Q756" s="15"/>
      <c r="R756" s="26"/>
      <c r="S756" s="27"/>
      <c r="T756" s="27"/>
      <c r="U756" s="28"/>
      <c r="V756" s="14"/>
      <c r="W756" s="14"/>
      <c r="X756" s="30"/>
      <c r="Y756" s="30"/>
      <c r="Z756" s="64"/>
      <c r="AA756" s="64"/>
      <c r="AB756" s="79"/>
      <c r="AC756" s="12"/>
      <c r="AD756" s="84"/>
      <c r="AE756" s="79"/>
      <c r="AF756" s="68"/>
      <c r="AG756" s="75"/>
      <c r="AH756" s="75"/>
      <c r="AI756" s="81"/>
      <c r="AJ756" s="81"/>
      <c r="AK756" s="81"/>
      <c r="AL756" s="24"/>
      <c r="AM756" s="24"/>
    </row>
    <row r="757" spans="2:39" s="6" customFormat="1" x14ac:dyDescent="0.3">
      <c r="B757" s="14"/>
      <c r="C757" s="14"/>
      <c r="D757" s="14"/>
      <c r="E757" s="24"/>
      <c r="F757" s="24"/>
      <c r="G757" s="14"/>
      <c r="H757" s="15"/>
      <c r="I757" s="29"/>
      <c r="J757" s="15"/>
      <c r="K757" s="15"/>
      <c r="L757" s="14"/>
      <c r="M757" s="35"/>
      <c r="N757" s="15"/>
      <c r="O757" s="88"/>
      <c r="P757" s="25"/>
      <c r="Q757" s="15"/>
      <c r="R757" s="26"/>
      <c r="S757" s="27"/>
      <c r="T757" s="27"/>
      <c r="U757" s="28"/>
      <c r="V757" s="14"/>
      <c r="W757" s="14"/>
      <c r="X757" s="30"/>
      <c r="Y757" s="30"/>
      <c r="Z757" s="64"/>
      <c r="AA757" s="64"/>
      <c r="AB757" s="79"/>
      <c r="AC757" s="12"/>
      <c r="AD757" s="84"/>
      <c r="AE757" s="79"/>
      <c r="AF757" s="68"/>
      <c r="AG757" s="75"/>
      <c r="AH757" s="75"/>
      <c r="AI757" s="81"/>
      <c r="AJ757" s="81"/>
      <c r="AK757" s="81"/>
      <c r="AL757" s="24"/>
      <c r="AM757" s="24"/>
    </row>
    <row r="758" spans="2:39" s="6" customFormat="1" x14ac:dyDescent="0.3">
      <c r="B758" s="14"/>
      <c r="C758" s="14"/>
      <c r="D758" s="14"/>
      <c r="E758" s="24"/>
      <c r="F758" s="24"/>
      <c r="G758" s="14"/>
      <c r="H758" s="15"/>
      <c r="I758" s="29"/>
      <c r="J758" s="15"/>
      <c r="K758" s="15"/>
      <c r="L758" s="14"/>
      <c r="M758" s="35"/>
      <c r="N758" s="15"/>
      <c r="O758" s="88"/>
      <c r="P758" s="25"/>
      <c r="Q758" s="15"/>
      <c r="R758" s="26"/>
      <c r="S758" s="27"/>
      <c r="T758" s="27"/>
      <c r="U758" s="28"/>
      <c r="V758" s="14"/>
      <c r="W758" s="14"/>
      <c r="X758" s="30"/>
      <c r="Y758" s="30"/>
      <c r="Z758" s="64"/>
      <c r="AA758" s="64"/>
      <c r="AB758" s="79"/>
      <c r="AC758" s="12"/>
      <c r="AD758" s="84"/>
      <c r="AE758" s="79"/>
      <c r="AF758" s="68"/>
      <c r="AG758" s="75"/>
      <c r="AH758" s="75"/>
      <c r="AI758" s="81"/>
      <c r="AJ758" s="81"/>
      <c r="AK758" s="81"/>
      <c r="AL758" s="24"/>
      <c r="AM758" s="24"/>
    </row>
    <row r="759" spans="2:39" s="6" customFormat="1" x14ac:dyDescent="0.3">
      <c r="B759" s="14"/>
      <c r="C759" s="14"/>
      <c r="D759" s="14"/>
      <c r="E759" s="24"/>
      <c r="F759" s="24"/>
      <c r="G759" s="14"/>
      <c r="H759" s="15"/>
      <c r="I759" s="29"/>
      <c r="J759" s="15"/>
      <c r="K759" s="15"/>
      <c r="L759" s="14"/>
      <c r="M759" s="35"/>
      <c r="N759" s="15"/>
      <c r="O759" s="88"/>
      <c r="P759" s="25"/>
      <c r="Q759" s="15"/>
      <c r="R759" s="26"/>
      <c r="S759" s="27"/>
      <c r="T759" s="27"/>
      <c r="U759" s="28"/>
      <c r="V759" s="14"/>
      <c r="W759" s="14"/>
      <c r="X759" s="30"/>
      <c r="Y759" s="30"/>
      <c r="Z759" s="64"/>
      <c r="AA759" s="64"/>
      <c r="AB759" s="79"/>
      <c r="AC759" s="12"/>
      <c r="AD759" s="84"/>
      <c r="AE759" s="79"/>
      <c r="AF759" s="68"/>
      <c r="AG759" s="75"/>
      <c r="AH759" s="75"/>
      <c r="AI759" s="81"/>
      <c r="AJ759" s="81"/>
      <c r="AK759" s="81"/>
      <c r="AL759" s="24"/>
      <c r="AM759" s="24"/>
    </row>
    <row r="760" spans="2:39" s="6" customFormat="1" x14ac:dyDescent="0.3">
      <c r="B760" s="14"/>
      <c r="C760" s="14"/>
      <c r="D760" s="14"/>
      <c r="E760" s="24"/>
      <c r="F760" s="24"/>
      <c r="G760" s="14"/>
      <c r="H760" s="15"/>
      <c r="I760" s="29"/>
      <c r="J760" s="15"/>
      <c r="K760" s="15"/>
      <c r="L760" s="14"/>
      <c r="M760" s="35"/>
      <c r="N760" s="15"/>
      <c r="O760" s="88"/>
      <c r="P760" s="25"/>
      <c r="Q760" s="15"/>
      <c r="R760" s="26"/>
      <c r="S760" s="27"/>
      <c r="T760" s="27"/>
      <c r="U760" s="28"/>
      <c r="V760" s="14"/>
      <c r="W760" s="14"/>
      <c r="X760" s="30"/>
      <c r="Y760" s="30"/>
      <c r="Z760" s="64"/>
      <c r="AA760" s="64"/>
      <c r="AB760" s="79"/>
      <c r="AC760" s="12"/>
      <c r="AD760" s="84"/>
      <c r="AE760" s="79"/>
      <c r="AF760" s="68"/>
      <c r="AG760" s="75"/>
      <c r="AH760" s="75"/>
      <c r="AI760" s="81"/>
      <c r="AJ760" s="81"/>
      <c r="AK760" s="81"/>
      <c r="AL760" s="24"/>
      <c r="AM760" s="24"/>
    </row>
    <row r="761" spans="2:39" s="6" customFormat="1" x14ac:dyDescent="0.3">
      <c r="B761" s="14"/>
      <c r="C761" s="14"/>
      <c r="D761" s="14"/>
      <c r="E761" s="24"/>
      <c r="F761" s="24"/>
      <c r="G761" s="14"/>
      <c r="H761" s="15"/>
      <c r="I761" s="29"/>
      <c r="J761" s="15"/>
      <c r="K761" s="15"/>
      <c r="L761" s="14"/>
      <c r="M761" s="35"/>
      <c r="N761" s="15"/>
      <c r="O761" s="88"/>
      <c r="P761" s="25"/>
      <c r="Q761" s="15"/>
      <c r="R761" s="26"/>
      <c r="S761" s="27"/>
      <c r="T761" s="27"/>
      <c r="U761" s="28"/>
      <c r="V761" s="14"/>
      <c r="W761" s="14"/>
      <c r="X761" s="30"/>
      <c r="Y761" s="30"/>
      <c r="Z761" s="64"/>
      <c r="AA761" s="64"/>
      <c r="AB761" s="79"/>
      <c r="AC761" s="12"/>
      <c r="AD761" s="84"/>
      <c r="AE761" s="79"/>
      <c r="AF761" s="68"/>
      <c r="AG761" s="75"/>
      <c r="AH761" s="75"/>
      <c r="AI761" s="81"/>
      <c r="AJ761" s="81"/>
      <c r="AK761" s="81"/>
      <c r="AL761" s="24"/>
      <c r="AM761" s="24"/>
    </row>
    <row r="762" spans="2:39" s="6" customFormat="1" x14ac:dyDescent="0.3">
      <c r="B762" s="14"/>
      <c r="C762" s="14"/>
      <c r="D762" s="14"/>
      <c r="E762" s="24"/>
      <c r="F762" s="24"/>
      <c r="G762" s="14"/>
      <c r="H762" s="15"/>
      <c r="I762" s="29"/>
      <c r="J762" s="15"/>
      <c r="K762" s="15"/>
      <c r="L762" s="14"/>
      <c r="M762" s="35"/>
      <c r="N762" s="15"/>
      <c r="O762" s="88"/>
      <c r="P762" s="25"/>
      <c r="Q762" s="15"/>
      <c r="R762" s="26"/>
      <c r="S762" s="27"/>
      <c r="T762" s="27"/>
      <c r="U762" s="28"/>
      <c r="V762" s="14"/>
      <c r="W762" s="14"/>
      <c r="X762" s="30"/>
      <c r="Y762" s="30"/>
      <c r="Z762" s="64"/>
      <c r="AA762" s="64"/>
      <c r="AB762" s="79"/>
      <c r="AC762" s="12"/>
      <c r="AD762" s="84"/>
      <c r="AE762" s="79"/>
      <c r="AF762" s="68"/>
      <c r="AG762" s="75"/>
      <c r="AH762" s="75"/>
      <c r="AI762" s="81"/>
      <c r="AJ762" s="81"/>
      <c r="AK762" s="81"/>
      <c r="AL762" s="24"/>
      <c r="AM762" s="24"/>
    </row>
    <row r="763" spans="2:39" s="6" customFormat="1" x14ac:dyDescent="0.3">
      <c r="B763" s="14"/>
      <c r="C763" s="14"/>
      <c r="D763" s="14"/>
      <c r="E763" s="24"/>
      <c r="F763" s="24"/>
      <c r="G763" s="14"/>
      <c r="H763" s="15"/>
      <c r="I763" s="29"/>
      <c r="J763" s="15"/>
      <c r="K763" s="15"/>
      <c r="L763" s="14"/>
      <c r="M763" s="35"/>
      <c r="N763" s="15"/>
      <c r="O763" s="88"/>
      <c r="P763" s="25"/>
      <c r="Q763" s="15"/>
      <c r="R763" s="26"/>
      <c r="S763" s="27"/>
      <c r="T763" s="27"/>
      <c r="U763" s="28"/>
      <c r="V763" s="14"/>
      <c r="W763" s="14"/>
      <c r="X763" s="30"/>
      <c r="Y763" s="30"/>
      <c r="Z763" s="64"/>
      <c r="AA763" s="64"/>
      <c r="AB763" s="79"/>
      <c r="AC763" s="12"/>
      <c r="AD763" s="84"/>
      <c r="AE763" s="79"/>
      <c r="AF763" s="68"/>
      <c r="AG763" s="75"/>
      <c r="AH763" s="75"/>
      <c r="AI763" s="81"/>
      <c r="AJ763" s="81"/>
      <c r="AK763" s="81"/>
      <c r="AL763" s="24"/>
      <c r="AM763" s="24"/>
    </row>
    <row r="764" spans="2:39" s="6" customFormat="1" x14ac:dyDescent="0.3">
      <c r="B764" s="14"/>
      <c r="C764" s="14"/>
      <c r="D764" s="14"/>
      <c r="E764" s="24"/>
      <c r="F764" s="24"/>
      <c r="G764" s="14"/>
      <c r="H764" s="15"/>
      <c r="I764" s="29"/>
      <c r="J764" s="15"/>
      <c r="K764" s="15"/>
      <c r="L764" s="14"/>
      <c r="M764" s="35"/>
      <c r="N764" s="15"/>
      <c r="O764" s="88"/>
      <c r="P764" s="25"/>
      <c r="Q764" s="15"/>
      <c r="R764" s="26"/>
      <c r="S764" s="27"/>
      <c r="T764" s="27"/>
      <c r="U764" s="28"/>
      <c r="V764" s="14"/>
      <c r="W764" s="14"/>
      <c r="X764" s="30"/>
      <c r="Y764" s="30"/>
      <c r="Z764" s="64"/>
      <c r="AA764" s="64"/>
      <c r="AB764" s="79"/>
      <c r="AC764" s="12"/>
      <c r="AD764" s="84"/>
      <c r="AE764" s="79"/>
      <c r="AF764" s="68"/>
      <c r="AG764" s="75"/>
      <c r="AH764" s="75"/>
      <c r="AI764" s="81"/>
      <c r="AJ764" s="81"/>
      <c r="AK764" s="81"/>
      <c r="AL764" s="24"/>
      <c r="AM764" s="24"/>
    </row>
    <row r="765" spans="2:39" s="6" customFormat="1" x14ac:dyDescent="0.3">
      <c r="B765" s="14"/>
      <c r="C765" s="14"/>
      <c r="D765" s="14"/>
      <c r="E765" s="24"/>
      <c r="F765" s="24"/>
      <c r="G765" s="14"/>
      <c r="H765" s="15"/>
      <c r="I765" s="29"/>
      <c r="J765" s="15"/>
      <c r="K765" s="15"/>
      <c r="L765" s="14"/>
      <c r="M765" s="35"/>
      <c r="N765" s="15"/>
      <c r="O765" s="88"/>
      <c r="P765" s="25"/>
      <c r="Q765" s="15"/>
      <c r="R765" s="26"/>
      <c r="S765" s="27"/>
      <c r="T765" s="27"/>
      <c r="U765" s="28"/>
      <c r="V765" s="14"/>
      <c r="W765" s="14"/>
      <c r="X765" s="30"/>
      <c r="Y765" s="30"/>
      <c r="Z765" s="64"/>
      <c r="AA765" s="64"/>
      <c r="AB765" s="79"/>
      <c r="AC765" s="12"/>
      <c r="AD765" s="84"/>
      <c r="AE765" s="79"/>
      <c r="AF765" s="68"/>
      <c r="AG765" s="75"/>
      <c r="AH765" s="75"/>
      <c r="AI765" s="81"/>
      <c r="AJ765" s="81"/>
      <c r="AK765" s="81"/>
      <c r="AL765" s="24"/>
      <c r="AM765" s="24"/>
    </row>
    <row r="766" spans="2:39" s="6" customFormat="1" x14ac:dyDescent="0.3">
      <c r="B766" s="14"/>
      <c r="C766" s="14"/>
      <c r="D766" s="14"/>
      <c r="E766" s="24"/>
      <c r="F766" s="24"/>
      <c r="G766" s="14"/>
      <c r="H766" s="15"/>
      <c r="I766" s="29"/>
      <c r="J766" s="15"/>
      <c r="K766" s="15"/>
      <c r="L766" s="14"/>
      <c r="M766" s="35"/>
      <c r="N766" s="15"/>
      <c r="O766" s="88"/>
      <c r="P766" s="25"/>
      <c r="Q766" s="15"/>
      <c r="R766" s="26"/>
      <c r="S766" s="27"/>
      <c r="T766" s="27"/>
      <c r="U766" s="28"/>
      <c r="V766" s="14"/>
      <c r="W766" s="14"/>
      <c r="X766" s="30"/>
      <c r="Y766" s="30"/>
      <c r="Z766" s="64"/>
      <c r="AA766" s="64"/>
      <c r="AB766" s="79"/>
      <c r="AC766" s="12"/>
      <c r="AD766" s="84"/>
      <c r="AE766" s="79"/>
      <c r="AF766" s="68"/>
      <c r="AG766" s="75"/>
      <c r="AH766" s="75"/>
      <c r="AI766" s="81"/>
      <c r="AJ766" s="81"/>
      <c r="AK766" s="81"/>
      <c r="AL766" s="24"/>
      <c r="AM766" s="24"/>
    </row>
    <row r="767" spans="2:39" s="6" customFormat="1" x14ac:dyDescent="0.3">
      <c r="B767" s="14"/>
      <c r="C767" s="14"/>
      <c r="D767" s="14"/>
      <c r="E767" s="24"/>
      <c r="F767" s="24"/>
      <c r="G767" s="14"/>
      <c r="H767" s="15"/>
      <c r="I767" s="29"/>
      <c r="J767" s="15"/>
      <c r="K767" s="15"/>
      <c r="L767" s="14"/>
      <c r="M767" s="35"/>
      <c r="N767" s="15"/>
      <c r="O767" s="88"/>
      <c r="P767" s="25"/>
      <c r="Q767" s="15"/>
      <c r="R767" s="26"/>
      <c r="S767" s="27"/>
      <c r="T767" s="27"/>
      <c r="U767" s="28"/>
      <c r="V767" s="14"/>
      <c r="W767" s="14"/>
      <c r="X767" s="30"/>
      <c r="Y767" s="30"/>
      <c r="Z767" s="64"/>
      <c r="AA767" s="64"/>
      <c r="AB767" s="79"/>
      <c r="AC767" s="12"/>
      <c r="AD767" s="84"/>
      <c r="AE767" s="79"/>
      <c r="AF767" s="68"/>
      <c r="AG767" s="75"/>
      <c r="AH767" s="75"/>
      <c r="AI767" s="81"/>
      <c r="AJ767" s="81"/>
      <c r="AK767" s="81"/>
      <c r="AL767" s="24"/>
      <c r="AM767" s="24"/>
    </row>
    <row r="768" spans="2:39" s="6" customFormat="1" x14ac:dyDescent="0.3">
      <c r="B768" s="14"/>
      <c r="C768" s="14"/>
      <c r="D768" s="14"/>
      <c r="E768" s="24"/>
      <c r="F768" s="24"/>
      <c r="G768" s="14"/>
      <c r="H768" s="15"/>
      <c r="I768" s="29"/>
      <c r="J768" s="15"/>
      <c r="K768" s="15"/>
      <c r="L768" s="14"/>
      <c r="M768" s="35"/>
      <c r="N768" s="15"/>
      <c r="O768" s="88"/>
      <c r="P768" s="25"/>
      <c r="Q768" s="15"/>
      <c r="R768" s="26"/>
      <c r="S768" s="27"/>
      <c r="T768" s="27"/>
      <c r="U768" s="28"/>
      <c r="V768" s="14"/>
      <c r="W768" s="14"/>
      <c r="X768" s="30"/>
      <c r="Y768" s="30"/>
      <c r="Z768" s="64"/>
      <c r="AA768" s="64"/>
      <c r="AB768" s="79"/>
      <c r="AC768" s="12"/>
      <c r="AD768" s="84"/>
      <c r="AE768" s="79"/>
      <c r="AF768" s="68"/>
      <c r="AG768" s="75"/>
      <c r="AH768" s="75"/>
      <c r="AI768" s="81"/>
      <c r="AJ768" s="81"/>
      <c r="AK768" s="81"/>
      <c r="AL768" s="24"/>
      <c r="AM768" s="24"/>
    </row>
    <row r="769" spans="2:39" s="6" customFormat="1" x14ac:dyDescent="0.3">
      <c r="B769" s="14"/>
      <c r="C769" s="14"/>
      <c r="D769" s="14"/>
      <c r="E769" s="24"/>
      <c r="F769" s="24"/>
      <c r="G769" s="14"/>
      <c r="H769" s="15"/>
      <c r="I769" s="29"/>
      <c r="J769" s="15"/>
      <c r="K769" s="15"/>
      <c r="L769" s="14"/>
      <c r="M769" s="35"/>
      <c r="N769" s="15"/>
      <c r="O769" s="88"/>
      <c r="P769" s="25"/>
      <c r="Q769" s="15"/>
      <c r="R769" s="26"/>
      <c r="S769" s="27"/>
      <c r="T769" s="27"/>
      <c r="U769" s="28"/>
      <c r="V769" s="14"/>
      <c r="W769" s="14"/>
      <c r="X769" s="30"/>
      <c r="Y769" s="30"/>
      <c r="Z769" s="64"/>
      <c r="AA769" s="64"/>
      <c r="AB769" s="79"/>
      <c r="AC769" s="12"/>
      <c r="AD769" s="84"/>
      <c r="AE769" s="79"/>
      <c r="AF769" s="68"/>
      <c r="AG769" s="75"/>
      <c r="AH769" s="75"/>
      <c r="AI769" s="81"/>
      <c r="AJ769" s="81"/>
      <c r="AK769" s="81"/>
      <c r="AL769" s="24"/>
      <c r="AM769" s="24"/>
    </row>
    <row r="770" spans="2:39" s="6" customFormat="1" x14ac:dyDescent="0.3">
      <c r="B770" s="14"/>
      <c r="C770" s="14"/>
      <c r="D770" s="14"/>
      <c r="E770" s="24"/>
      <c r="F770" s="24"/>
      <c r="G770" s="14"/>
      <c r="H770" s="15"/>
      <c r="I770" s="29"/>
      <c r="J770" s="15"/>
      <c r="K770" s="15"/>
      <c r="L770" s="14"/>
      <c r="M770" s="35"/>
      <c r="N770" s="15"/>
      <c r="O770" s="88"/>
      <c r="P770" s="25"/>
      <c r="Q770" s="15"/>
      <c r="R770" s="26"/>
      <c r="S770" s="27"/>
      <c r="T770" s="27"/>
      <c r="U770" s="28"/>
      <c r="V770" s="14"/>
      <c r="W770" s="14"/>
      <c r="X770" s="30"/>
      <c r="Y770" s="30"/>
      <c r="Z770" s="64"/>
      <c r="AA770" s="64"/>
      <c r="AB770" s="79"/>
      <c r="AC770" s="12"/>
      <c r="AD770" s="84"/>
      <c r="AE770" s="79"/>
      <c r="AF770" s="68"/>
      <c r="AG770" s="75"/>
      <c r="AH770" s="75"/>
      <c r="AI770" s="81"/>
      <c r="AJ770" s="81"/>
      <c r="AK770" s="81"/>
      <c r="AL770" s="24"/>
      <c r="AM770" s="24"/>
    </row>
    <row r="771" spans="2:39" s="6" customFormat="1" x14ac:dyDescent="0.3">
      <c r="B771" s="14"/>
      <c r="C771" s="14"/>
      <c r="D771" s="14"/>
      <c r="E771" s="24"/>
      <c r="F771" s="24"/>
      <c r="G771" s="14"/>
      <c r="H771" s="15"/>
      <c r="I771" s="29"/>
      <c r="J771" s="15"/>
      <c r="K771" s="15"/>
      <c r="L771" s="14"/>
      <c r="M771" s="35"/>
      <c r="N771" s="15"/>
      <c r="O771" s="88"/>
      <c r="P771" s="25"/>
      <c r="Q771" s="15"/>
      <c r="R771" s="26"/>
      <c r="S771" s="27"/>
      <c r="T771" s="27"/>
      <c r="U771" s="28"/>
      <c r="V771" s="14"/>
      <c r="W771" s="14"/>
      <c r="X771" s="30"/>
      <c r="Y771" s="30"/>
      <c r="Z771" s="64"/>
      <c r="AA771" s="64"/>
      <c r="AB771" s="79"/>
      <c r="AC771" s="12"/>
      <c r="AD771" s="84"/>
      <c r="AE771" s="79"/>
      <c r="AF771" s="68"/>
      <c r="AG771" s="75"/>
      <c r="AH771" s="75"/>
      <c r="AI771" s="81"/>
      <c r="AJ771" s="81"/>
      <c r="AK771" s="81"/>
      <c r="AL771" s="24"/>
      <c r="AM771" s="24"/>
    </row>
    <row r="772" spans="2:39" s="6" customFormat="1" x14ac:dyDescent="0.3">
      <c r="B772" s="14"/>
      <c r="C772" s="14"/>
      <c r="D772" s="14"/>
      <c r="E772" s="24"/>
      <c r="F772" s="24"/>
      <c r="G772" s="14"/>
      <c r="H772" s="15"/>
      <c r="I772" s="29"/>
      <c r="J772" s="15"/>
      <c r="K772" s="15"/>
      <c r="L772" s="14"/>
      <c r="M772" s="35"/>
      <c r="N772" s="15"/>
      <c r="O772" s="88"/>
      <c r="P772" s="25"/>
      <c r="Q772" s="15"/>
      <c r="R772" s="26"/>
      <c r="S772" s="27"/>
      <c r="T772" s="27"/>
      <c r="U772" s="28"/>
      <c r="V772" s="14"/>
      <c r="W772" s="14"/>
      <c r="X772" s="30"/>
      <c r="Y772" s="30"/>
      <c r="Z772" s="64"/>
      <c r="AA772" s="64"/>
      <c r="AB772" s="79"/>
      <c r="AC772" s="12"/>
      <c r="AD772" s="84"/>
      <c r="AE772" s="79"/>
      <c r="AF772" s="68"/>
      <c r="AG772" s="75"/>
      <c r="AH772" s="75"/>
      <c r="AI772" s="81"/>
      <c r="AJ772" s="81"/>
      <c r="AK772" s="81"/>
      <c r="AL772" s="24"/>
      <c r="AM772" s="24"/>
    </row>
    <row r="773" spans="2:39" s="6" customFormat="1" x14ac:dyDescent="0.3">
      <c r="B773" s="14"/>
      <c r="C773" s="14"/>
      <c r="D773" s="14"/>
      <c r="E773" s="24"/>
      <c r="F773" s="24"/>
      <c r="G773" s="14"/>
      <c r="H773" s="15"/>
      <c r="I773" s="29"/>
      <c r="J773" s="15"/>
      <c r="K773" s="15"/>
      <c r="L773" s="14"/>
      <c r="M773" s="35"/>
      <c r="N773" s="15"/>
      <c r="O773" s="88"/>
      <c r="P773" s="25"/>
      <c r="Q773" s="15"/>
      <c r="R773" s="26"/>
      <c r="S773" s="27"/>
      <c r="T773" s="27"/>
      <c r="U773" s="28"/>
      <c r="V773" s="14"/>
      <c r="W773" s="14"/>
      <c r="X773" s="30"/>
      <c r="Y773" s="30"/>
      <c r="Z773" s="64"/>
      <c r="AA773" s="64"/>
      <c r="AB773" s="79"/>
      <c r="AC773" s="12"/>
      <c r="AD773" s="84"/>
      <c r="AE773" s="79"/>
      <c r="AF773" s="68"/>
      <c r="AG773" s="75"/>
      <c r="AH773" s="75"/>
      <c r="AI773" s="81"/>
      <c r="AJ773" s="81"/>
      <c r="AK773" s="81"/>
      <c r="AL773" s="24"/>
      <c r="AM773" s="24"/>
    </row>
    <row r="774" spans="2:39" s="6" customFormat="1" x14ac:dyDescent="0.3">
      <c r="B774" s="14"/>
      <c r="C774" s="14"/>
      <c r="D774" s="14"/>
      <c r="E774" s="24"/>
      <c r="F774" s="24"/>
      <c r="G774" s="14"/>
      <c r="H774" s="15"/>
      <c r="I774" s="29"/>
      <c r="J774" s="15"/>
      <c r="K774" s="15"/>
      <c r="L774" s="14"/>
      <c r="M774" s="35"/>
      <c r="N774" s="15"/>
      <c r="O774" s="88"/>
      <c r="P774" s="25"/>
      <c r="Q774" s="15"/>
      <c r="R774" s="26"/>
      <c r="S774" s="27"/>
      <c r="T774" s="27"/>
      <c r="U774" s="28"/>
      <c r="V774" s="14"/>
      <c r="W774" s="14"/>
      <c r="X774" s="30"/>
      <c r="Y774" s="30"/>
      <c r="Z774" s="64"/>
      <c r="AA774" s="64"/>
      <c r="AB774" s="79"/>
      <c r="AC774" s="12"/>
      <c r="AD774" s="84"/>
      <c r="AE774" s="79"/>
      <c r="AF774" s="68"/>
      <c r="AG774" s="75"/>
      <c r="AH774" s="75"/>
      <c r="AI774" s="81"/>
      <c r="AJ774" s="81"/>
      <c r="AK774" s="81"/>
      <c r="AL774" s="24"/>
      <c r="AM774" s="24"/>
    </row>
    <row r="775" spans="2:39" s="6" customFormat="1" x14ac:dyDescent="0.3">
      <c r="B775" s="14"/>
      <c r="C775" s="14"/>
      <c r="D775" s="14"/>
      <c r="E775" s="24"/>
      <c r="F775" s="24"/>
      <c r="G775" s="14"/>
      <c r="H775" s="15"/>
      <c r="I775" s="29"/>
      <c r="J775" s="15"/>
      <c r="K775" s="15"/>
      <c r="L775" s="14"/>
      <c r="M775" s="35"/>
      <c r="N775" s="15"/>
      <c r="O775" s="88"/>
      <c r="P775" s="25"/>
      <c r="Q775" s="15"/>
      <c r="R775" s="26"/>
      <c r="S775" s="27"/>
      <c r="T775" s="27"/>
      <c r="U775" s="28"/>
      <c r="V775" s="14"/>
      <c r="W775" s="14"/>
      <c r="X775" s="30"/>
      <c r="Y775" s="30"/>
      <c r="Z775" s="64"/>
      <c r="AA775" s="64"/>
      <c r="AB775" s="79"/>
      <c r="AC775" s="12"/>
      <c r="AD775" s="84"/>
      <c r="AE775" s="79"/>
      <c r="AF775" s="68"/>
      <c r="AG775" s="75"/>
      <c r="AH775" s="75"/>
      <c r="AI775" s="81"/>
      <c r="AJ775" s="81"/>
      <c r="AK775" s="81"/>
      <c r="AL775" s="24"/>
      <c r="AM775" s="24"/>
    </row>
    <row r="776" spans="2:39" s="6" customFormat="1" x14ac:dyDescent="0.3">
      <c r="B776" s="14"/>
      <c r="C776" s="14"/>
      <c r="D776" s="14"/>
      <c r="E776" s="24"/>
      <c r="F776" s="24"/>
      <c r="G776" s="14"/>
      <c r="H776" s="15"/>
      <c r="I776" s="29"/>
      <c r="J776" s="15"/>
      <c r="K776" s="15"/>
      <c r="L776" s="14"/>
      <c r="M776" s="35"/>
      <c r="N776" s="15"/>
      <c r="O776" s="88"/>
      <c r="P776" s="25"/>
      <c r="Q776" s="15"/>
      <c r="R776" s="26"/>
      <c r="S776" s="27"/>
      <c r="T776" s="27"/>
      <c r="U776" s="28"/>
      <c r="V776" s="14"/>
      <c r="W776" s="14"/>
      <c r="X776" s="30"/>
      <c r="Y776" s="30"/>
      <c r="Z776" s="64"/>
      <c r="AA776" s="64"/>
      <c r="AB776" s="79"/>
      <c r="AC776" s="12"/>
      <c r="AD776" s="84"/>
      <c r="AE776" s="79"/>
      <c r="AF776" s="68"/>
      <c r="AG776" s="75"/>
      <c r="AH776" s="75"/>
      <c r="AI776" s="81"/>
      <c r="AJ776" s="81"/>
      <c r="AK776" s="81"/>
      <c r="AL776" s="24"/>
      <c r="AM776" s="24"/>
    </row>
    <row r="777" spans="2:39" s="6" customFormat="1" x14ac:dyDescent="0.3">
      <c r="B777" s="14"/>
      <c r="C777" s="14"/>
      <c r="D777" s="14"/>
      <c r="E777" s="24"/>
      <c r="F777" s="24"/>
      <c r="G777" s="14"/>
      <c r="H777" s="15"/>
      <c r="I777" s="29"/>
      <c r="J777" s="15"/>
      <c r="K777" s="15"/>
      <c r="L777" s="14"/>
      <c r="M777" s="35"/>
      <c r="N777" s="15"/>
      <c r="O777" s="88"/>
      <c r="P777" s="25"/>
      <c r="Q777" s="15"/>
      <c r="R777" s="26"/>
      <c r="S777" s="27"/>
      <c r="T777" s="27"/>
      <c r="U777" s="28"/>
      <c r="V777" s="14"/>
      <c r="W777" s="14"/>
      <c r="X777" s="30"/>
      <c r="Y777" s="30"/>
      <c r="Z777" s="64"/>
      <c r="AA777" s="64"/>
      <c r="AB777" s="79"/>
      <c r="AC777" s="12"/>
      <c r="AD777" s="84"/>
      <c r="AE777" s="79"/>
      <c r="AF777" s="68"/>
      <c r="AG777" s="75"/>
      <c r="AH777" s="75"/>
      <c r="AI777" s="81"/>
      <c r="AJ777" s="81"/>
      <c r="AK777" s="81"/>
      <c r="AL777" s="24"/>
      <c r="AM777" s="24"/>
    </row>
    <row r="778" spans="2:39" s="6" customFormat="1" x14ac:dyDescent="0.3">
      <c r="B778" s="14"/>
      <c r="C778" s="14"/>
      <c r="D778" s="14"/>
      <c r="E778" s="24"/>
      <c r="F778" s="24"/>
      <c r="G778" s="14"/>
      <c r="H778" s="15"/>
      <c r="I778" s="29"/>
      <c r="J778" s="15"/>
      <c r="K778" s="15"/>
      <c r="L778" s="14"/>
      <c r="M778" s="35"/>
      <c r="N778" s="15"/>
      <c r="O778" s="88"/>
      <c r="P778" s="25"/>
      <c r="Q778" s="15"/>
      <c r="R778" s="26"/>
      <c r="S778" s="27"/>
      <c r="T778" s="27"/>
      <c r="U778" s="28"/>
      <c r="V778" s="14"/>
      <c r="W778" s="14"/>
      <c r="X778" s="30"/>
      <c r="Y778" s="30"/>
      <c r="Z778" s="64"/>
      <c r="AA778" s="64"/>
      <c r="AB778" s="79"/>
      <c r="AC778" s="12"/>
      <c r="AD778" s="84"/>
      <c r="AE778" s="79"/>
      <c r="AF778" s="68"/>
      <c r="AG778" s="75"/>
      <c r="AH778" s="75"/>
      <c r="AI778" s="81"/>
      <c r="AJ778" s="81"/>
      <c r="AK778" s="81"/>
      <c r="AL778" s="24"/>
      <c r="AM778" s="24"/>
    </row>
    <row r="779" spans="2:39" s="6" customFormat="1" x14ac:dyDescent="0.3">
      <c r="B779" s="14"/>
      <c r="C779" s="14"/>
      <c r="D779" s="14"/>
      <c r="E779" s="24"/>
      <c r="F779" s="24"/>
      <c r="G779" s="14"/>
      <c r="H779" s="15"/>
      <c r="I779" s="29"/>
      <c r="J779" s="15"/>
      <c r="K779" s="15"/>
      <c r="L779" s="14"/>
      <c r="M779" s="35"/>
      <c r="N779" s="15"/>
      <c r="O779" s="88"/>
      <c r="P779" s="25"/>
      <c r="Q779" s="15"/>
      <c r="R779" s="26"/>
      <c r="S779" s="27"/>
      <c r="T779" s="27"/>
      <c r="U779" s="28"/>
      <c r="V779" s="14"/>
      <c r="W779" s="14"/>
      <c r="X779" s="30"/>
      <c r="Y779" s="30"/>
      <c r="Z779" s="64"/>
      <c r="AA779" s="64"/>
      <c r="AB779" s="79"/>
      <c r="AC779" s="12"/>
      <c r="AD779" s="84"/>
      <c r="AE779" s="79"/>
      <c r="AF779" s="68"/>
      <c r="AG779" s="75"/>
      <c r="AH779" s="75"/>
      <c r="AI779" s="81"/>
      <c r="AJ779" s="81"/>
      <c r="AK779" s="81"/>
      <c r="AL779" s="24"/>
      <c r="AM779" s="24"/>
    </row>
    <row r="780" spans="2:39" s="6" customFormat="1" x14ac:dyDescent="0.3">
      <c r="B780" s="14"/>
      <c r="C780" s="14"/>
      <c r="D780" s="14"/>
      <c r="E780" s="24"/>
      <c r="F780" s="24"/>
      <c r="G780" s="14"/>
      <c r="H780" s="15"/>
      <c r="I780" s="29"/>
      <c r="J780" s="15"/>
      <c r="K780" s="15"/>
      <c r="L780" s="14"/>
      <c r="M780" s="35"/>
      <c r="N780" s="15"/>
      <c r="O780" s="88"/>
      <c r="P780" s="25"/>
      <c r="Q780" s="15"/>
      <c r="R780" s="26"/>
      <c r="S780" s="27"/>
      <c r="T780" s="27"/>
      <c r="U780" s="28"/>
      <c r="V780" s="14"/>
      <c r="W780" s="14"/>
      <c r="X780" s="30"/>
      <c r="Y780" s="30"/>
      <c r="Z780" s="64"/>
      <c r="AA780" s="64"/>
      <c r="AB780" s="79"/>
      <c r="AC780" s="12"/>
      <c r="AD780" s="84"/>
      <c r="AE780" s="79"/>
      <c r="AF780" s="68"/>
      <c r="AG780" s="75"/>
      <c r="AH780" s="75"/>
      <c r="AI780" s="81"/>
      <c r="AJ780" s="81"/>
      <c r="AK780" s="81"/>
      <c r="AL780" s="24"/>
      <c r="AM780" s="24"/>
    </row>
    <row r="781" spans="2:39" s="6" customFormat="1" x14ac:dyDescent="0.3">
      <c r="B781" s="14"/>
      <c r="C781" s="14"/>
      <c r="D781" s="14"/>
      <c r="E781" s="24"/>
      <c r="F781" s="24"/>
      <c r="G781" s="14"/>
      <c r="H781" s="15"/>
      <c r="I781" s="29"/>
      <c r="J781" s="15"/>
      <c r="K781" s="15"/>
      <c r="L781" s="14"/>
      <c r="M781" s="35"/>
      <c r="N781" s="15"/>
      <c r="O781" s="88"/>
      <c r="P781" s="25"/>
      <c r="Q781" s="15"/>
      <c r="R781" s="26"/>
      <c r="S781" s="27"/>
      <c r="T781" s="27"/>
      <c r="U781" s="28"/>
      <c r="V781" s="14"/>
      <c r="W781" s="14"/>
      <c r="X781" s="30"/>
      <c r="Y781" s="30"/>
      <c r="Z781" s="64"/>
      <c r="AA781" s="64"/>
      <c r="AB781" s="79"/>
      <c r="AC781" s="12"/>
      <c r="AD781" s="84"/>
      <c r="AE781" s="79"/>
      <c r="AF781" s="68"/>
      <c r="AG781" s="75"/>
      <c r="AH781" s="75"/>
      <c r="AI781" s="81"/>
      <c r="AJ781" s="81"/>
      <c r="AK781" s="81"/>
      <c r="AL781" s="24"/>
      <c r="AM781" s="24"/>
    </row>
    <row r="782" spans="2:39" s="6" customFormat="1" x14ac:dyDescent="0.3">
      <c r="B782" s="14"/>
      <c r="C782" s="14"/>
      <c r="D782" s="14"/>
      <c r="E782" s="24"/>
      <c r="F782" s="24"/>
      <c r="G782" s="14"/>
      <c r="H782" s="15"/>
      <c r="I782" s="29"/>
      <c r="J782" s="15"/>
      <c r="K782" s="15"/>
      <c r="L782" s="14"/>
      <c r="M782" s="35"/>
      <c r="N782" s="15"/>
      <c r="O782" s="88"/>
      <c r="P782" s="25"/>
      <c r="Q782" s="15"/>
      <c r="R782" s="26"/>
      <c r="S782" s="27"/>
      <c r="T782" s="27"/>
      <c r="U782" s="28"/>
      <c r="V782" s="14"/>
      <c r="W782" s="14"/>
      <c r="X782" s="30"/>
      <c r="Y782" s="30"/>
      <c r="Z782" s="64"/>
      <c r="AA782" s="64"/>
      <c r="AB782" s="79"/>
      <c r="AC782" s="12"/>
      <c r="AD782" s="84"/>
      <c r="AE782" s="79"/>
      <c r="AF782" s="68"/>
      <c r="AG782" s="75"/>
      <c r="AH782" s="75"/>
      <c r="AI782" s="81"/>
      <c r="AJ782" s="81"/>
      <c r="AK782" s="81"/>
      <c r="AL782" s="24"/>
      <c r="AM782" s="24"/>
    </row>
    <row r="783" spans="2:39" s="6" customFormat="1" x14ac:dyDescent="0.3">
      <c r="B783" s="14"/>
      <c r="C783" s="14"/>
      <c r="D783" s="14"/>
      <c r="E783" s="24"/>
      <c r="F783" s="24"/>
      <c r="G783" s="14"/>
      <c r="H783" s="15"/>
      <c r="I783" s="29"/>
      <c r="J783" s="15"/>
      <c r="K783" s="15"/>
      <c r="L783" s="14"/>
      <c r="M783" s="35"/>
      <c r="N783" s="15"/>
      <c r="O783" s="88"/>
      <c r="P783" s="25"/>
      <c r="Q783" s="15"/>
      <c r="R783" s="26"/>
      <c r="S783" s="27"/>
      <c r="T783" s="27"/>
      <c r="U783" s="28"/>
      <c r="V783" s="14"/>
      <c r="W783" s="14"/>
      <c r="X783" s="30"/>
      <c r="Y783" s="30"/>
      <c r="Z783" s="64"/>
      <c r="AA783" s="64"/>
      <c r="AB783" s="79"/>
      <c r="AC783" s="12"/>
      <c r="AD783" s="84"/>
      <c r="AE783" s="79"/>
      <c r="AF783" s="68"/>
      <c r="AG783" s="75"/>
      <c r="AH783" s="75"/>
      <c r="AI783" s="81"/>
      <c r="AJ783" s="81"/>
      <c r="AK783" s="81"/>
      <c r="AL783" s="24"/>
      <c r="AM783" s="24"/>
    </row>
    <row r="784" spans="2:39" s="6" customFormat="1" x14ac:dyDescent="0.3">
      <c r="B784" s="14"/>
      <c r="C784" s="14"/>
      <c r="D784" s="14"/>
      <c r="E784" s="24"/>
      <c r="F784" s="24"/>
      <c r="G784" s="14"/>
      <c r="H784" s="15"/>
      <c r="I784" s="29"/>
      <c r="J784" s="15"/>
      <c r="K784" s="15"/>
      <c r="L784" s="14"/>
      <c r="M784" s="35"/>
      <c r="N784" s="15"/>
      <c r="O784" s="88"/>
      <c r="P784" s="25"/>
      <c r="Q784" s="15"/>
      <c r="R784" s="26"/>
      <c r="S784" s="27"/>
      <c r="T784" s="27"/>
      <c r="U784" s="28"/>
      <c r="V784" s="14"/>
      <c r="W784" s="14"/>
      <c r="X784" s="30"/>
      <c r="Y784" s="30"/>
      <c r="Z784" s="64"/>
      <c r="AA784" s="64"/>
      <c r="AB784" s="79"/>
      <c r="AC784" s="12"/>
      <c r="AD784" s="84"/>
      <c r="AE784" s="79"/>
      <c r="AF784" s="68"/>
      <c r="AG784" s="75"/>
      <c r="AH784" s="75"/>
      <c r="AI784" s="81"/>
      <c r="AJ784" s="81"/>
      <c r="AK784" s="81"/>
      <c r="AL784" s="24"/>
      <c r="AM784" s="24"/>
    </row>
    <row r="785" spans="2:39" s="6" customFormat="1" x14ac:dyDescent="0.3">
      <c r="B785" s="14"/>
      <c r="C785" s="14"/>
      <c r="D785" s="14"/>
      <c r="E785" s="24"/>
      <c r="F785" s="24"/>
      <c r="G785" s="14"/>
      <c r="H785" s="15"/>
      <c r="I785" s="29"/>
      <c r="J785" s="15"/>
      <c r="K785" s="15"/>
      <c r="L785" s="14"/>
      <c r="M785" s="35"/>
      <c r="N785" s="15"/>
      <c r="O785" s="88"/>
      <c r="P785" s="25"/>
      <c r="Q785" s="15"/>
      <c r="R785" s="26"/>
      <c r="S785" s="27"/>
      <c r="T785" s="27"/>
      <c r="U785" s="28"/>
      <c r="V785" s="14"/>
      <c r="W785" s="14"/>
      <c r="X785" s="30"/>
      <c r="Y785" s="30"/>
      <c r="Z785" s="64"/>
      <c r="AA785" s="64"/>
      <c r="AB785" s="79"/>
      <c r="AC785" s="12"/>
      <c r="AD785" s="84"/>
      <c r="AE785" s="79"/>
      <c r="AF785" s="68"/>
      <c r="AG785" s="75"/>
      <c r="AH785" s="75"/>
      <c r="AI785" s="81"/>
      <c r="AJ785" s="81"/>
      <c r="AK785" s="81"/>
      <c r="AL785" s="24"/>
      <c r="AM785" s="24"/>
    </row>
    <row r="786" spans="2:39" s="6" customFormat="1" x14ac:dyDescent="0.3">
      <c r="B786" s="14"/>
      <c r="C786" s="14"/>
      <c r="D786" s="14"/>
      <c r="E786" s="24"/>
      <c r="F786" s="24"/>
      <c r="G786" s="14"/>
      <c r="H786" s="15"/>
      <c r="I786" s="29"/>
      <c r="J786" s="15"/>
      <c r="K786" s="15"/>
      <c r="L786" s="14"/>
      <c r="M786" s="35"/>
      <c r="N786" s="15"/>
      <c r="O786" s="88"/>
      <c r="P786" s="25"/>
      <c r="Q786" s="15"/>
      <c r="R786" s="26"/>
      <c r="S786" s="27"/>
      <c r="T786" s="27"/>
      <c r="U786" s="28"/>
      <c r="V786" s="14"/>
      <c r="W786" s="14"/>
      <c r="X786" s="30"/>
      <c r="Y786" s="30"/>
      <c r="Z786" s="64"/>
      <c r="AA786" s="64"/>
      <c r="AB786" s="79"/>
      <c r="AC786" s="12"/>
      <c r="AD786" s="84"/>
      <c r="AE786" s="79"/>
      <c r="AF786" s="68"/>
      <c r="AG786" s="75"/>
      <c r="AH786" s="75"/>
      <c r="AI786" s="81"/>
      <c r="AJ786" s="81"/>
      <c r="AK786" s="81"/>
      <c r="AL786" s="24"/>
      <c r="AM786" s="24"/>
    </row>
    <row r="787" spans="2:39" s="6" customFormat="1" x14ac:dyDescent="0.3">
      <c r="B787" s="14">
        <v>0</v>
      </c>
      <c r="C787" s="14"/>
      <c r="D787" s="14"/>
      <c r="E787" s="24"/>
      <c r="F787" s="24"/>
      <c r="G787" s="14"/>
      <c r="H787" s="15"/>
      <c r="I787" s="29"/>
      <c r="J787" s="15"/>
      <c r="K787" s="15"/>
      <c r="L787" s="14"/>
      <c r="M787" s="35"/>
      <c r="N787" s="15"/>
      <c r="O787" s="25"/>
      <c r="P787" s="25"/>
      <c r="Q787" s="26"/>
      <c r="R787" s="27" t="s">
        <v>461</v>
      </c>
      <c r="S787" s="27"/>
      <c r="T787" s="27"/>
      <c r="U787" s="28"/>
      <c r="V787" s="14"/>
      <c r="W787" s="14"/>
      <c r="X787" s="30" t="str">
        <f>IF(Table13[[#This Row],[value Type]]="","",VLOOKUP(Table13[[#This Row],[value Type]],Table2915[],2,FALSE))</f>
        <v/>
      </c>
      <c r="Y787" s="30" t="str">
        <f>IF(Table13[[#This Row],[value Type]]="","",VLOOKUP(Table13[[#This Row],[value Type]],Table2915[],3,FALSE))</f>
        <v/>
      </c>
      <c r="Z787" s="64" t="str">
        <f>IF(Table13[[#This Row],[value Type]]="","",VLOOKUP(Table13[[#This Row],[value Type]],Table2915[],4,FALSE))</f>
        <v/>
      </c>
      <c r="AA787" s="64" t="str">
        <f>IF(Table13[[#This Row],[value Type]]="","",    IF(Table13[[#This Row],[IP MAX]]="","","@"  )     )</f>
        <v/>
      </c>
      <c r="AB787" s="79" t="str">
        <f>IF(Table13[[#This Row],[value Type]]="","",VLOOKUP(Table13[[#This Row],[value Type]],Table2915[],5,FALSE))</f>
        <v/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7" s="79" t="str">
        <f>IF(Table13[[#This Row],[value Type]]="","",VLOOKUP(Table13[[#This Row],[IP]],Table51117[],2,FALSE))</f>
        <v/>
      </c>
      <c r="AE787" s="79" t="str">
        <f>IF(Table13[[#This Row],[value Type]]="","",    IF(Table13[[#This Row],[IP MAX]]="","0","@"  )     )</f>
        <v/>
      </c>
      <c r="AF787" s="68" t="str">
        <f>IF(Table13[[#This Row],[value Type]]="","",VLOOKUP(Table13[[#This Row],[Acc Type]],Table2[],2,FALSE))</f>
        <v/>
      </c>
      <c r="AG787" s="75" t="str">
        <f>IF(Table13[[#This Row],[value Type]]="","",4*HEX2DEC(Table13[[#This Row],[Addr'[HEX']]]))</f>
        <v/>
      </c>
      <c r="AH787" s="75" t="str">
        <f>IF(Table13[[#This Row],[value Type]]="","",VLOOKUP(Table13[[#This Row],[AddrTypeI]],Table22[],2,FALSE))</f>
        <v/>
      </c>
      <c r="AI787" s="68" t="str">
        <f>IF(Table13[[#This Row],[value Type]]="","",VLOOKUP(Table13[[#This Row],[DataType]],Table351218[],2,FALSE))</f>
        <v/>
      </c>
      <c r="AJ787" s="68" t="str">
        <f>IF(Table13[[#This Row],[value Type]]="","",Table13[[#This Row],[DataWidth]])</f>
        <v/>
      </c>
      <c r="AK787" s="68" t="str">
        <f>IF(Table13[[#This Row],[value Type]]="","", Table13[[#This Row],[DataOffset]])</f>
        <v/>
      </c>
      <c r="AL787" s="24"/>
      <c r="AM787" s="24" t="str">
        <f>IF(Table13[[#This Row],[value Type]]="","", "0x"&amp;DEC2HEX(Table13[[#This Row],[ADDR_Offset]],8) )</f>
        <v/>
      </c>
    </row>
    <row r="788" spans="2:39" s="6" customFormat="1" x14ac:dyDescent="0.3">
      <c r="B788" s="47">
        <v>0</v>
      </c>
      <c r="C788" s="47"/>
      <c r="D788" s="47"/>
      <c r="E788" s="48"/>
      <c r="F788" s="48"/>
      <c r="G788" s="47"/>
      <c r="H788" s="49"/>
      <c r="I788" s="57"/>
      <c r="J788" s="49"/>
      <c r="K788" s="49"/>
      <c r="L788" s="47"/>
      <c r="M788" s="50"/>
      <c r="N788" s="49"/>
      <c r="O788" s="51"/>
      <c r="P788" s="51"/>
      <c r="Q788" s="49"/>
      <c r="R788" s="52"/>
      <c r="S788" s="53"/>
      <c r="T788" s="53"/>
      <c r="U788" s="54"/>
      <c r="V788" s="47"/>
      <c r="W788" s="47"/>
      <c r="X788" s="55" t="str">
        <f>IF(Table13[[#This Row],[value Type]]="","",VLOOKUP(Table13[[#This Row],[value Type]],Table2915[],2,FALSE))</f>
        <v/>
      </c>
      <c r="Y788" s="55" t="str">
        <f>IF(Table13[[#This Row],[value Type]]="","",VLOOKUP(Table13[[#This Row],[value Type]],Table2915[],3,FALSE))</f>
        <v/>
      </c>
      <c r="Z788" s="65" t="str">
        <f>IF(Table13[[#This Row],[value Type]]="","",VLOOKUP(Table13[[#This Row],[value Type]],Table2915[],4,FALSE))</f>
        <v/>
      </c>
      <c r="AA788" s="65" t="str">
        <f>IF(Table13[[#This Row],[value Type]]="","",    IF(Table13[[#This Row],[IP MAX]]="","","@"  )     )</f>
        <v/>
      </c>
      <c r="AB788" s="80" t="str">
        <f>IF(Table13[[#This Row],[value Type]]="","",VLOOKUP(Table13[[#This Row],[value Type]],Table2915[],5,FALSE))</f>
        <v/>
      </c>
      <c r="AC78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8" s="80" t="str">
        <f>IF(Table13[[#This Row],[value Type]]="","",VLOOKUP(Table13[[#This Row],[IP]],Table51117[],2,FALSE))</f>
        <v/>
      </c>
      <c r="AE788" s="80"/>
      <c r="AF788" s="69" t="str">
        <f>IF(Table13[[#This Row],[value Type]]="","",VLOOKUP(Table13[[#This Row],[Acc Type]],Table2[],2,FALSE))</f>
        <v/>
      </c>
      <c r="AG788" s="76" t="str">
        <f>IF(Table13[[#This Row],[value Type]]="","",4*HEX2DEC(Table13[[#This Row],[Addr'[HEX']]]))</f>
        <v/>
      </c>
      <c r="AH788" s="76" t="str">
        <f>IF(Table13[[#This Row],[value Type]]="","",VLOOKUP(Table13[[#This Row],[AddrTypeI]],Table22[],2,FALSE))</f>
        <v/>
      </c>
      <c r="AI788" s="69" t="str">
        <f>IF(Table13[[#This Row],[value Type]]="","",VLOOKUP(Table13[[#This Row],[DataType]],Table351218[],2,FALSE))</f>
        <v/>
      </c>
      <c r="AJ788" s="69" t="str">
        <f>IF(Table13[[#This Row],[value Type]]="","",Table13[[#This Row],[DataWidth]])</f>
        <v/>
      </c>
      <c r="AK788" s="69" t="str">
        <f>IF(Table13[[#This Row],[value Type]]="","", Table13[[#This Row],[DataOffset]])</f>
        <v/>
      </c>
      <c r="AL788" s="48"/>
      <c r="AM788" s="48" t="str">
        <f>IF(Table13[[#This Row],[value Type]]="","", "0x"&amp;DEC2HEX(Table13[[#This Row],[ADDR_Offset]],8) )</f>
        <v/>
      </c>
    </row>
    <row r="789" spans="2:39" s="6" customFormat="1" x14ac:dyDescent="0.3">
      <c r="B789" s="14">
        <v>0</v>
      </c>
      <c r="C789" s="14"/>
      <c r="D789" s="14"/>
      <c r="E789" s="24"/>
      <c r="F789" s="24"/>
      <c r="G789" s="14"/>
      <c r="H789" s="15"/>
      <c r="I789" s="29"/>
      <c r="J789" s="15"/>
      <c r="K789" s="15"/>
      <c r="L789" s="14"/>
      <c r="M789" s="14"/>
      <c r="N789" s="15"/>
      <c r="O789" s="25"/>
      <c r="P789" s="25"/>
      <c r="Q789" s="15"/>
      <c r="R789" s="28"/>
      <c r="S789" s="37"/>
      <c r="T789" s="37"/>
      <c r="U789" s="28"/>
      <c r="V789" s="14"/>
      <c r="W789" s="14"/>
      <c r="X789" s="30"/>
      <c r="Y789" s="30"/>
      <c r="Z789" s="64"/>
      <c r="AA789" s="64"/>
      <c r="AB789" s="79"/>
      <c r="AC789" s="12"/>
      <c r="AD789" s="79"/>
      <c r="AE789" s="79" t="str">
        <f>IF(Table13[[#This Row],[value Type]]="","",    IF(Table13[[#This Row],[IP MAX]]="","0","@"  )     )</f>
        <v/>
      </c>
      <c r="AF789" s="68"/>
      <c r="AG789" s="75"/>
      <c r="AH789" s="75" t="str">
        <f>IF(Table13[[#This Row],[value Type]]="","",VLOOKUP(Table13[[#This Row],[AddrTypeI]],Table22[],2,FALSE))</f>
        <v/>
      </c>
      <c r="AI789" s="68"/>
      <c r="AJ789" s="68"/>
      <c r="AK789" s="68"/>
      <c r="AL789" s="24"/>
      <c r="AM789" s="24"/>
    </row>
    <row r="790" spans="2:39" s="6" customFormat="1" x14ac:dyDescent="0.3">
      <c r="B790" s="14">
        <v>0</v>
      </c>
      <c r="C790" s="14"/>
      <c r="D790" s="14"/>
      <c r="E790" s="24"/>
      <c r="F790" s="24"/>
      <c r="G790" s="14"/>
      <c r="H790" s="15"/>
      <c r="I790" s="29"/>
      <c r="J790" s="15"/>
      <c r="K790" s="15"/>
      <c r="L790" s="14"/>
      <c r="M790" s="14"/>
      <c r="N790" s="15"/>
      <c r="O790" s="88"/>
      <c r="P790" s="25"/>
      <c r="Q790" s="15"/>
      <c r="R790" s="28"/>
      <c r="S790" s="37"/>
      <c r="T790" s="37"/>
      <c r="U790" s="28"/>
      <c r="V790" s="14"/>
      <c r="W790" s="14"/>
      <c r="X790" s="30"/>
      <c r="Y790" s="30"/>
      <c r="Z790" s="64"/>
      <c r="AA790" s="64"/>
      <c r="AB790" s="79"/>
      <c r="AC790" s="12"/>
      <c r="AD790" s="84"/>
      <c r="AE790" s="79"/>
      <c r="AF790" s="68"/>
      <c r="AG790" s="75"/>
      <c r="AH790" s="75"/>
      <c r="AI790" s="81"/>
      <c r="AJ790" s="81"/>
      <c r="AK790" s="81"/>
      <c r="AL790" s="24"/>
      <c r="AM790" s="24"/>
    </row>
    <row r="791" spans="2:39" s="6" customFormat="1" x14ac:dyDescent="0.3">
      <c r="B791" s="12">
        <v>0</v>
      </c>
      <c r="C791" s="14"/>
      <c r="D791" s="14"/>
      <c r="E791" s="24"/>
      <c r="F791" s="24"/>
      <c r="G791" s="14"/>
      <c r="H791" s="15"/>
      <c r="I791" s="101"/>
      <c r="J791" s="15"/>
      <c r="K791" s="15"/>
      <c r="L791" s="14"/>
      <c r="M791" s="35"/>
      <c r="N791" s="15"/>
      <c r="O791" s="25"/>
      <c r="P791" s="25"/>
      <c r="Q791" s="26"/>
      <c r="R791" s="27"/>
      <c r="S791" s="27"/>
      <c r="T791" s="27"/>
      <c r="U791" s="28"/>
      <c r="V791" s="14"/>
      <c r="W791" s="14"/>
      <c r="X791" s="30"/>
      <c r="Y791" s="30"/>
      <c r="Z791" s="64"/>
      <c r="AA791" s="64"/>
      <c r="AB791" s="79"/>
      <c r="AC791" s="12"/>
      <c r="AD791" s="79"/>
      <c r="AE791" s="79"/>
      <c r="AF791" s="68"/>
      <c r="AG791" s="75"/>
      <c r="AH791" s="75"/>
      <c r="AI791" s="68"/>
      <c r="AJ791" s="68"/>
      <c r="AK791" s="68"/>
      <c r="AL791" s="24"/>
      <c r="AM791" s="24"/>
    </row>
    <row r="792" spans="2:39" s="6" customFormat="1" x14ac:dyDescent="0.3">
      <c r="B792" s="14">
        <v>0</v>
      </c>
      <c r="C792" s="14"/>
      <c r="D792" s="14"/>
      <c r="E792" s="24"/>
      <c r="F792" s="24"/>
      <c r="G792" s="14"/>
      <c r="H792" s="15"/>
      <c r="I792" s="29"/>
      <c r="J792" s="15"/>
      <c r="K792" s="15"/>
      <c r="L792" s="14"/>
      <c r="M792" s="35"/>
      <c r="N792" s="15"/>
      <c r="O792" s="25"/>
      <c r="P792" s="25"/>
      <c r="Q792" s="26"/>
      <c r="R792" s="27"/>
      <c r="S792" s="27"/>
      <c r="T792" s="27"/>
      <c r="U792" s="28"/>
      <c r="V792" s="14"/>
      <c r="W792" s="14"/>
      <c r="X792" s="30"/>
      <c r="Y792" s="30"/>
      <c r="Z792" s="64"/>
      <c r="AA792" s="64"/>
      <c r="AB792" s="79"/>
      <c r="AC792" s="12"/>
      <c r="AD792" s="79"/>
      <c r="AE792" s="79" t="str">
        <f>IF(Table13[[#This Row],[value Type]]="","",    IF(Table13[[#This Row],[IP MAX]]="","0","@"  )     )</f>
        <v/>
      </c>
      <c r="AF792" s="68"/>
      <c r="AG792" s="75"/>
      <c r="AH792" s="75" t="str">
        <f>IF(Table13[[#This Row],[value Type]]="","",VLOOKUP(Table13[[#This Row],[AddrTypeI]],Table22[],2,FALSE))</f>
        <v/>
      </c>
      <c r="AI792" s="68"/>
      <c r="AJ792" s="68"/>
      <c r="AK792" s="68"/>
      <c r="AL792" s="24"/>
      <c r="AM792" s="24"/>
    </row>
    <row r="793" spans="2:39" s="6" customFormat="1" x14ac:dyDescent="0.3">
      <c r="B793" s="14">
        <v>0</v>
      </c>
      <c r="C793" s="14" t="s">
        <v>1</v>
      </c>
      <c r="D793" s="14" t="s">
        <v>388</v>
      </c>
      <c r="E793" s="24" t="s">
        <v>242</v>
      </c>
      <c r="F793" s="24"/>
      <c r="G793" s="14" t="s">
        <v>566</v>
      </c>
      <c r="H793" s="15"/>
      <c r="I793" s="29">
        <v>30</v>
      </c>
      <c r="J793" s="15" t="s">
        <v>747</v>
      </c>
      <c r="K793" s="15" t="s">
        <v>51</v>
      </c>
      <c r="L793" s="14">
        <v>1</v>
      </c>
      <c r="M793" s="35">
        <v>31</v>
      </c>
      <c r="N793" s="15" t="s">
        <v>463</v>
      </c>
      <c r="O793" s="25" t="s">
        <v>454</v>
      </c>
      <c r="P793" s="25">
        <v>1</v>
      </c>
      <c r="Q793" s="26" t="s">
        <v>80</v>
      </c>
      <c r="R793" s="27" t="s">
        <v>410</v>
      </c>
      <c r="S793" s="27" t="s">
        <v>405</v>
      </c>
      <c r="T793" s="27">
        <v>0</v>
      </c>
      <c r="U793" s="28"/>
      <c r="V793" s="14"/>
      <c r="W793" s="14"/>
      <c r="X793" s="30" t="str">
        <f>IF(Table13[[#This Row],[value Type]]="","",VLOOKUP(Table13[[#This Row],[value Type]],Table2915[],2,FALSE))</f>
        <v>longout</v>
      </c>
      <c r="Y793" s="30" t="str">
        <f>IF(Table13[[#This Row],[value Type]]="","",VLOOKUP(Table13[[#This Row],[value Type]],Table2915[],3,FALSE))</f>
        <v>asynParamInt32</v>
      </c>
      <c r="Z793" s="64" t="str">
        <f>IF(Table13[[#This Row],[value Type]]="","",VLOOKUP(Table13[[#This Row],[value Type]],Table2915[],4,FALSE))</f>
        <v>"asynInt32"</v>
      </c>
      <c r="AA793" s="64" t="str">
        <f>IF(Table13[[#This Row],[value Type]]="","",    IF(Table13[[#This Row],[IP MAX]]="","","@"  )     )</f>
        <v/>
      </c>
      <c r="AB793" s="79" t="str">
        <f>IF(Table13[[#This Row],[value Type]]="","",VLOOKUP(Table13[[#This Row],[value Type]],Table2915[],5,FALSE))</f>
        <v xml:space="preserve"> </v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93" s="79">
        <f>IF(Table13[[#This Row],[value Type]]="","",VLOOKUP(Table13[[#This Row],[IP]],Table51117[],2,FALSE))</f>
        <v>1</v>
      </c>
      <c r="AE793" s="79" t="str">
        <f>IF(Table13[[#This Row],[value Type]]="","",    IF(Table13[[#This Row],[IP MAX]]="","0","@"  )     )</f>
        <v>0</v>
      </c>
      <c r="AF793" s="68">
        <f>IF(Table13[[#This Row],[value Type]]="","",VLOOKUP(Table13[[#This Row],[Acc Type]],Table2[],2,FALSE))</f>
        <v>0</v>
      </c>
      <c r="AG793" s="75">
        <f>IF(Table13[[#This Row],[value Type]]="","",4*HEX2DEC(Table13[[#This Row],[Addr'[HEX']]]))</f>
        <v>192</v>
      </c>
      <c r="AH793" s="75">
        <f>IF(Table13[[#This Row],[value Type]]="","",VLOOKUP(Table13[[#This Row],[AddrTypeI]],Table22[],2,FALSE))</f>
        <v>0</v>
      </c>
      <c r="AI793" s="68">
        <f>IF(Table13[[#This Row],[value Type]]="","",VLOOKUP(Table13[[#This Row],[DataType]],Table351218[],2,FALSE))</f>
        <v>3</v>
      </c>
      <c r="AJ793" s="68">
        <f>IF(Table13[[#This Row],[value Type]]="","",Table13[[#This Row],[DataWidth]])</f>
        <v>1</v>
      </c>
      <c r="AK793" s="68">
        <f>IF(Table13[[#This Row],[value Type]]="","", Table13[[#This Row],[DataOffset]])</f>
        <v>31</v>
      </c>
      <c r="AL793" s="24"/>
      <c r="AM793" s="24" t="str">
        <f>IF(Table13[[#This Row],[value Type]]="","", "0x"&amp;DEC2HEX(Table13[[#This Row],[ADDR_Offset]],8) )</f>
        <v>0x000000C0</v>
      </c>
    </row>
    <row r="794" spans="2:39" s="6" customFormat="1" x14ac:dyDescent="0.3">
      <c r="B794" s="47">
        <v>0</v>
      </c>
      <c r="C794" s="47"/>
      <c r="D794" s="47"/>
      <c r="E794" s="48"/>
      <c r="F794" s="48"/>
      <c r="G794" s="47"/>
      <c r="H794" s="49"/>
      <c r="I794" s="57"/>
      <c r="J794" s="49"/>
      <c r="K794" s="49"/>
      <c r="L794" s="47"/>
      <c r="M794" s="50"/>
      <c r="N794" s="49"/>
      <c r="O794" s="51"/>
      <c r="P794" s="51"/>
      <c r="Q794" s="49"/>
      <c r="R794" s="52"/>
      <c r="S794" s="53"/>
      <c r="T794" s="53"/>
      <c r="U794" s="54"/>
      <c r="V794" s="47"/>
      <c r="W794" s="47"/>
      <c r="X794" s="55"/>
      <c r="Y794" s="55"/>
      <c r="Z794" s="65"/>
      <c r="AA794" s="65"/>
      <c r="AB794" s="80"/>
      <c r="AC794" s="56"/>
      <c r="AD794" s="80"/>
      <c r="AE794" s="80" t="str">
        <f>IF(Table13[[#This Row],[value Type]]="","",    IF(Table13[[#This Row],[IP MAX]]="","0","@"  )     )</f>
        <v/>
      </c>
      <c r="AF794" s="69"/>
      <c r="AG794" s="76"/>
      <c r="AH794" s="76" t="str">
        <f>IF(Table13[[#This Row],[value Type]]="","",VLOOKUP(Table13[[#This Row],[AddrTypeI]],Table22[],2,FALSE))</f>
        <v/>
      </c>
      <c r="AI794" s="69"/>
      <c r="AJ794" s="69"/>
      <c r="AK794" s="69"/>
      <c r="AL794" s="48"/>
      <c r="AM794" s="48"/>
    </row>
    <row r="795" spans="2:39" s="6" customFormat="1" x14ac:dyDescent="0.3">
      <c r="B795" s="14">
        <v>0</v>
      </c>
      <c r="C795" s="14"/>
      <c r="D795" s="14"/>
      <c r="E795" s="24"/>
      <c r="F795" s="24"/>
      <c r="G795" s="14"/>
      <c r="H795" s="15"/>
      <c r="I795" s="29"/>
      <c r="J795" s="15"/>
      <c r="K795" s="15"/>
      <c r="L795" s="14"/>
      <c r="M795" s="35"/>
      <c r="N795" s="15"/>
      <c r="O795" s="25"/>
      <c r="P795" s="25"/>
      <c r="Q795" s="15"/>
      <c r="R795" s="27"/>
      <c r="S795" s="27"/>
      <c r="T795" s="27"/>
      <c r="U795" s="28"/>
      <c r="V795" s="14"/>
      <c r="W795" s="14"/>
      <c r="X795" s="30"/>
      <c r="Y795" s="30"/>
      <c r="Z795" s="64"/>
      <c r="AA795" s="64"/>
      <c r="AB795" s="79"/>
      <c r="AC795" s="12"/>
      <c r="AD795" s="79"/>
      <c r="AE795" s="79" t="str">
        <f>IF(Table13[[#This Row],[value Type]]="","",    IF(Table13[[#This Row],[IP MAX]]="","0","@"  )     )</f>
        <v/>
      </c>
      <c r="AF795" s="68"/>
      <c r="AG795" s="75"/>
      <c r="AH795" s="75" t="str">
        <f>IF(Table13[[#This Row],[value Type]]="","",VLOOKUP(Table13[[#This Row],[AddrTypeI]],Table22[],2,FALSE))</f>
        <v/>
      </c>
      <c r="AI795" s="68"/>
      <c r="AJ795" s="68"/>
      <c r="AK795" s="68"/>
      <c r="AL795" s="24"/>
      <c r="AM795" s="24"/>
    </row>
    <row r="796" spans="2:39" s="6" customFormat="1" x14ac:dyDescent="0.3">
      <c r="B796" s="14">
        <v>0</v>
      </c>
      <c r="C796" s="14"/>
      <c r="D796" s="14"/>
      <c r="E796" s="24"/>
      <c r="F796" s="24"/>
      <c r="G796" s="14"/>
      <c r="H796" s="15"/>
      <c r="I796" s="29"/>
      <c r="J796" s="15" t="s">
        <v>747</v>
      </c>
      <c r="K796" s="15"/>
      <c r="L796" s="14"/>
      <c r="M796" s="35"/>
      <c r="N796" s="15"/>
      <c r="O796" s="25"/>
      <c r="P796" s="25"/>
      <c r="Q796" s="15"/>
      <c r="R796" s="26"/>
      <c r="S796" s="27"/>
      <c r="T796" s="27"/>
      <c r="U796" s="28"/>
      <c r="V796" s="14"/>
      <c r="W796" s="14"/>
      <c r="X796" s="30" t="str">
        <f>IF(Table13[[#This Row],[value Type]]="","",VLOOKUP(Table13[[#This Row],[value Type]],Table2915[],2,FALSE))</f>
        <v/>
      </c>
      <c r="Y796" s="30" t="str">
        <f>IF(Table13[[#This Row],[value Type]]="","",VLOOKUP(Table13[[#This Row],[value Type]],Table2915[],3,FALSE))</f>
        <v/>
      </c>
      <c r="Z796" s="64" t="str">
        <f>IF(Table13[[#This Row],[value Type]]="","",VLOOKUP(Table13[[#This Row],[value Type]],Table2915[],4,FALSE))</f>
        <v/>
      </c>
      <c r="AA796" s="64" t="str">
        <f>IF(Table13[[#This Row],[value Type]]="","",    IF(Table13[[#This Row],[IP MAX]]="","","@"  )     )</f>
        <v/>
      </c>
      <c r="AB796" s="79" t="str">
        <f>IF(Table13[[#This Row],[value Type]]="","",VLOOKUP(Table13[[#This Row],[value Type]],Table2915[],5,FALSE))</f>
        <v/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6" s="79" t="str">
        <f>IF(Table13[[#This Row],[value Type]]="","",VLOOKUP(Table13[[#This Row],[IP]],Table51117[],2,FALSE))</f>
        <v/>
      </c>
      <c r="AE796" s="79" t="str">
        <f>IF(Table13[[#This Row],[value Type]]="","",    IF(Table13[[#This Row],[IP MAX]]="","0","@"  )     )</f>
        <v/>
      </c>
      <c r="AF796" s="68" t="str">
        <f>IF(Table13[[#This Row],[value Type]]="","",VLOOKUP(Table13[[#This Row],[Acc Type]],Table2[],2,FALSE))</f>
        <v/>
      </c>
      <c r="AG796" s="75" t="str">
        <f>IF(Table13[[#This Row],[value Type]]="","",4*HEX2DEC(Table13[[#This Row],[Addr'[HEX']]]))</f>
        <v/>
      </c>
      <c r="AH796" s="75" t="str">
        <f>IF(Table13[[#This Row],[value Type]]="","",VLOOKUP(Table13[[#This Row],[AddrTypeI]],Table22[],2,FALSE))</f>
        <v/>
      </c>
      <c r="AI796" s="68" t="str">
        <f>IF(Table13[[#This Row],[value Type]]="","",VLOOKUP(Table13[[#This Row],[DataType]],Table351218[],2,FALSE))</f>
        <v/>
      </c>
      <c r="AJ796" s="68" t="str">
        <f>IF(Table13[[#This Row],[value Type]]="","",Table13[[#This Row],[DataWidth]])</f>
        <v/>
      </c>
      <c r="AK796" s="68" t="str">
        <f>IF(Table13[[#This Row],[value Type]]="","", Table13[[#This Row],[DataOffset]])</f>
        <v/>
      </c>
      <c r="AL796" s="24"/>
      <c r="AM796" s="24" t="str">
        <f>IF(Table13[[#This Row],[value Type]]="","", "0x"&amp;DEC2HEX(Table13[[#This Row],[ADDR_Offset]],8) )</f>
        <v/>
      </c>
    </row>
    <row r="797" spans="2:39" s="6" customFormat="1" x14ac:dyDescent="0.3">
      <c r="B797" s="14">
        <v>0</v>
      </c>
      <c r="C797" s="12" t="s">
        <v>82</v>
      </c>
      <c r="D797" s="12" t="s">
        <v>389</v>
      </c>
      <c r="E797" s="24" t="s">
        <v>278</v>
      </c>
      <c r="F797" s="24">
        <v>4</v>
      </c>
      <c r="G797" s="14" t="s">
        <v>469</v>
      </c>
      <c r="H797" s="36"/>
      <c r="I797" s="29" t="s">
        <v>402</v>
      </c>
      <c r="J797" s="15" t="s">
        <v>747</v>
      </c>
      <c r="K797" s="15" t="s">
        <v>52</v>
      </c>
      <c r="L797" s="14">
        <v>32</v>
      </c>
      <c r="M797" s="35">
        <v>0</v>
      </c>
      <c r="N797" s="15" t="s">
        <v>400</v>
      </c>
      <c r="O797" s="25" t="s">
        <v>454</v>
      </c>
      <c r="P797" s="25">
        <v>1</v>
      </c>
      <c r="Q797" s="26" t="s">
        <v>445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longin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2</v>
      </c>
      <c r="AG797" s="75">
        <f>IF(Table13[[#This Row],[value Type]]="","",4*HEX2DEC(Table13[[#This Row],[Addr'[HEX']]]))</f>
        <v>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32</v>
      </c>
      <c r="AK797" s="68">
        <f>IF(Table13[[#This Row],[value Type]]="","", Table13[[#This Row],[DataOffset]])</f>
        <v>0</v>
      </c>
      <c r="AL797" s="24"/>
      <c r="AM797" s="24" t="str">
        <f>IF(Table13[[#This Row],[value Type]]="","", "0x"&amp;DEC2HEX(Table13[[#This Row],[ADDR_Offset]],8) )</f>
        <v>0x00000000</v>
      </c>
    </row>
    <row r="798" spans="2:39" s="6" customFormat="1" x14ac:dyDescent="0.3">
      <c r="B798" s="14">
        <v>0</v>
      </c>
      <c r="C798" s="14"/>
      <c r="D798" s="14"/>
      <c r="E798" s="24"/>
      <c r="F798" s="24"/>
      <c r="G798" s="14"/>
      <c r="H798" s="36"/>
      <c r="I798" s="29"/>
      <c r="J798" s="15" t="s">
        <v>747</v>
      </c>
      <c r="K798" s="15"/>
      <c r="L798" s="14"/>
      <c r="M798" s="35"/>
      <c r="N798" s="15"/>
      <c r="O798" s="88"/>
      <c r="P798" s="25"/>
      <c r="Q798" s="15"/>
      <c r="R798" s="26"/>
      <c r="S798" s="27"/>
      <c r="T798" s="27"/>
      <c r="U798" s="28"/>
      <c r="V798" s="14"/>
      <c r="W798" s="14"/>
      <c r="X798" s="30"/>
      <c r="Y798" s="30"/>
      <c r="Z798" s="64"/>
      <c r="AA798" s="64"/>
      <c r="AB798" s="79"/>
      <c r="AC798" s="12"/>
      <c r="AD798" s="84"/>
      <c r="AE798" s="79"/>
      <c r="AF798" s="68"/>
      <c r="AG798" s="75"/>
      <c r="AH798" s="75" t="str">
        <f>IF(Table13[[#This Row],[value Type]]="","",VLOOKUP(Table13[[#This Row],[AddrTypeI]],Table22[],2,FALSE))</f>
        <v/>
      </c>
      <c r="AI798" s="81"/>
      <c r="AJ798" s="81"/>
      <c r="AK798" s="81"/>
      <c r="AL798" s="24"/>
      <c r="AM798" s="24"/>
    </row>
    <row r="799" spans="2:39" s="6" customFormat="1" x14ac:dyDescent="0.3">
      <c r="B799" s="14">
        <v>0</v>
      </c>
      <c r="C799" s="12" t="s">
        <v>82</v>
      </c>
      <c r="D799" s="12" t="s">
        <v>389</v>
      </c>
      <c r="E799" s="24" t="s">
        <v>278</v>
      </c>
      <c r="F799" s="24">
        <v>4</v>
      </c>
      <c r="G799" s="14" t="s">
        <v>470</v>
      </c>
      <c r="H799" s="15"/>
      <c r="I799" s="29" t="s">
        <v>414</v>
      </c>
      <c r="J799" s="15" t="s">
        <v>747</v>
      </c>
      <c r="K799" s="15" t="s">
        <v>52</v>
      </c>
      <c r="L799" s="14">
        <v>32</v>
      </c>
      <c r="M799" s="35">
        <v>0</v>
      </c>
      <c r="N799" s="15" t="s">
        <v>400</v>
      </c>
      <c r="O799" s="25" t="s">
        <v>402</v>
      </c>
      <c r="P799" s="25">
        <v>1</v>
      </c>
      <c r="Q799" s="26" t="s">
        <v>445</v>
      </c>
      <c r="R799" s="27" t="s">
        <v>461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longin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2</v>
      </c>
      <c r="AG799" s="75">
        <f>IF(Table13[[#This Row],[value Type]]="","",4*HEX2DEC(Table13[[#This Row],[Addr'[HEX']]]))</f>
        <v>4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32</v>
      </c>
      <c r="AK799" s="68">
        <f>IF(Table13[[#This Row],[value Type]]="","", Table13[[#This Row],[DataOffset]])</f>
        <v>0</v>
      </c>
      <c r="AL799" s="24"/>
      <c r="AM799" s="24" t="str">
        <f>IF(Table13[[#This Row],[value Type]]="","", "0x"&amp;DEC2HEX(Table13[[#This Row],[ADDR_Offset]],8) )</f>
        <v>0x00000004</v>
      </c>
    </row>
    <row r="800" spans="2:39" s="6" customFormat="1" x14ac:dyDescent="0.3">
      <c r="B800" s="14">
        <v>0</v>
      </c>
      <c r="C800" s="12" t="s">
        <v>82</v>
      </c>
      <c r="D800" s="12" t="s">
        <v>389</v>
      </c>
      <c r="E800" s="24" t="s">
        <v>278</v>
      </c>
      <c r="F800" s="24">
        <v>4</v>
      </c>
      <c r="G800" s="14" t="s">
        <v>471</v>
      </c>
      <c r="H800" s="15"/>
      <c r="I800" s="29" t="s">
        <v>417</v>
      </c>
      <c r="J800" s="15" t="s">
        <v>747</v>
      </c>
      <c r="K800" s="15" t="s">
        <v>52</v>
      </c>
      <c r="L800" s="14">
        <v>32</v>
      </c>
      <c r="M800" s="35">
        <v>0</v>
      </c>
      <c r="N800" s="15" t="s">
        <v>400</v>
      </c>
      <c r="O800" s="25" t="s">
        <v>402</v>
      </c>
      <c r="P800" s="25">
        <v>1</v>
      </c>
      <c r="Q800" s="26" t="s">
        <v>445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longin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2</v>
      </c>
      <c r="AG800" s="75">
        <f>IF(Table13[[#This Row],[value Type]]="","",4*HEX2DEC(Table13[[#This Row],[Addr'[HEX']]]))</f>
        <v>8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32</v>
      </c>
      <c r="AK800" s="68">
        <f>IF(Table13[[#This Row],[value Type]]="","", Table13[[#This Row],[DataOffset]])</f>
        <v>0</v>
      </c>
      <c r="AL800" s="24"/>
      <c r="AM800" s="24" t="str">
        <f>IF(Table13[[#This Row],[value Type]]="","", "0x"&amp;DEC2HEX(Table13[[#This Row],[ADDR_Offset]],8) )</f>
        <v>0x00000008</v>
      </c>
    </row>
    <row r="801" spans="2:39" s="6" customFormat="1" x14ac:dyDescent="0.3">
      <c r="B801" s="14">
        <v>0</v>
      </c>
      <c r="C801" s="12" t="s">
        <v>82</v>
      </c>
      <c r="D801" s="12" t="s">
        <v>389</v>
      </c>
      <c r="E801" s="24" t="s">
        <v>278</v>
      </c>
      <c r="F801" s="24">
        <v>4</v>
      </c>
      <c r="G801" s="14" t="s">
        <v>472</v>
      </c>
      <c r="H801" s="15"/>
      <c r="I801" s="29" t="s">
        <v>466</v>
      </c>
      <c r="J801" s="15" t="s">
        <v>747</v>
      </c>
      <c r="K801" s="15" t="s">
        <v>52</v>
      </c>
      <c r="L801" s="14">
        <v>32</v>
      </c>
      <c r="M801" s="35">
        <v>0</v>
      </c>
      <c r="N801" s="15" t="s">
        <v>400</v>
      </c>
      <c r="O801" s="25" t="s">
        <v>454</v>
      </c>
      <c r="P801" s="25">
        <v>1</v>
      </c>
      <c r="Q801" s="26" t="s">
        <v>445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longin</v>
      </c>
      <c r="Y801" s="30" t="str">
        <f>IF(Table13[[#This Row],[value Type]]="","",VLOOKUP(Table13[[#This Row],[value Type]],Table2915[],3,FALSE))</f>
        <v>asynParamInt32</v>
      </c>
      <c r="Z801" s="64" t="str">
        <f>IF(Table13[[#This Row],[value Type]]="","",VLOOKUP(Table13[[#This Row],[value Type]],Table2915[],4,FALSE))</f>
        <v>"asynInt32"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2</v>
      </c>
      <c r="AG801" s="75">
        <f>IF(Table13[[#This Row],[value Type]]="","",4*HEX2DEC(Table13[[#This Row],[Addr'[HEX']]]))</f>
        <v>12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32</v>
      </c>
      <c r="AK801" s="68">
        <f>IF(Table13[[#This Row],[value Type]]="","", Table13[[#This Row],[DataOffset]])</f>
        <v>0</v>
      </c>
      <c r="AL801" s="24"/>
      <c r="AM801" s="24" t="str">
        <f>IF(Table13[[#This Row],[value Type]]="","", "0x"&amp;DEC2HEX(Table13[[#This Row],[ADDR_Offset]],8) )</f>
        <v>0x0000000C</v>
      </c>
    </row>
    <row r="802" spans="2:39" s="6" customFormat="1" x14ac:dyDescent="0.3">
      <c r="B802" s="14">
        <v>0</v>
      </c>
      <c r="C802" s="14"/>
      <c r="D802" s="14"/>
      <c r="E802" s="24"/>
      <c r="F802" s="24"/>
      <c r="G802" s="14"/>
      <c r="H802" s="15"/>
      <c r="I802" s="29"/>
      <c r="J802" s="15" t="s">
        <v>747</v>
      </c>
      <c r="K802" s="15"/>
      <c r="L802" s="14"/>
      <c r="M802" s="35"/>
      <c r="N802" s="15"/>
      <c r="O802" s="25"/>
      <c r="P802" s="25"/>
      <c r="Q802" s="15"/>
      <c r="R802" s="26"/>
      <c r="S802" s="27"/>
      <c r="T802" s="27"/>
      <c r="U802" s="28"/>
      <c r="V802" s="14"/>
      <c r="W802" s="14"/>
      <c r="X802" s="30" t="str">
        <f>IF(Table13[[#This Row],[value Type]]="","",VLOOKUP(Table13[[#This Row],[value Type]],Table2915[],2,FALSE))</f>
        <v/>
      </c>
      <c r="Y802" s="30" t="str">
        <f>IF(Table13[[#This Row],[value Type]]="","",VLOOKUP(Table13[[#This Row],[value Type]],Table2915[],3,FALSE))</f>
        <v/>
      </c>
      <c r="Z802" s="64" t="str">
        <f>IF(Table13[[#This Row],[value Type]]="","",VLOOKUP(Table13[[#This Row],[value Type]],Table2915[],4,FALSE))</f>
        <v/>
      </c>
      <c r="AA802" s="64" t="str">
        <f>IF(Table13[[#This Row],[value Type]]="","",    IF(Table13[[#This Row],[IP MAX]]="","","@"  )     )</f>
        <v/>
      </c>
      <c r="AB802" s="79" t="str">
        <f>IF(Table13[[#This Row],[value Type]]="","",VLOOKUP(Table13[[#This Row],[value Type]],Table2915[],5,FALSE))</f>
        <v/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2" s="79" t="str">
        <f>IF(Table13[[#This Row],[value Type]]="","",VLOOKUP(Table13[[#This Row],[IP]],Table51117[],2,FALSE))</f>
        <v/>
      </c>
      <c r="AE802" s="79" t="str">
        <f>IF(Table13[[#This Row],[value Type]]="","",    IF(Table13[[#This Row],[IP MAX]]="","0","@"  )     )</f>
        <v/>
      </c>
      <c r="AF802" s="68" t="str">
        <f>IF(Table13[[#This Row],[value Type]]="","",VLOOKUP(Table13[[#This Row],[Acc Type]],Table2[],2,FALSE))</f>
        <v/>
      </c>
      <c r="AG802" s="75" t="str">
        <f>IF(Table13[[#This Row],[value Type]]="","",4*HEX2DEC(Table13[[#This Row],[Addr'[HEX']]]))</f>
        <v/>
      </c>
      <c r="AH802" s="75" t="str">
        <f>IF(Table13[[#This Row],[value Type]]="","",VLOOKUP(Table13[[#This Row],[AddrTypeI]],Table22[],2,FALSE))</f>
        <v/>
      </c>
      <c r="AI802" s="68" t="str">
        <f>IF(Table13[[#This Row],[value Type]]="","",VLOOKUP(Table13[[#This Row],[DataType]],Table351218[],2,FALSE))</f>
        <v/>
      </c>
      <c r="AJ802" s="68" t="str">
        <f>IF(Table13[[#This Row],[value Type]]="","",Table13[[#This Row],[DataWidth]])</f>
        <v/>
      </c>
      <c r="AK802" s="68" t="str">
        <f>IF(Table13[[#This Row],[value Type]]="","", Table13[[#This Row],[DataOffset]])</f>
        <v/>
      </c>
      <c r="AL802" s="24"/>
      <c r="AM802" s="24" t="str">
        <f>IF(Table13[[#This Row],[value Type]]="","", "0x"&amp;DEC2HEX(Table13[[#This Row],[ADDR_Offset]],8) )</f>
        <v/>
      </c>
    </row>
    <row r="803" spans="2:39" s="6" customFormat="1" x14ac:dyDescent="0.3">
      <c r="B803" s="14">
        <v>0</v>
      </c>
      <c r="C803" s="12" t="s">
        <v>1</v>
      </c>
      <c r="D803" s="12" t="s">
        <v>389</v>
      </c>
      <c r="E803" s="24" t="s">
        <v>278</v>
      </c>
      <c r="F803" s="24">
        <v>4</v>
      </c>
      <c r="G803" s="14" t="s">
        <v>485</v>
      </c>
      <c r="H803" s="36"/>
      <c r="I803" s="29" t="s">
        <v>702</v>
      </c>
      <c r="J803" s="15" t="s">
        <v>747</v>
      </c>
      <c r="K803" s="15" t="s">
        <v>52</v>
      </c>
      <c r="L803" s="14">
        <v>32</v>
      </c>
      <c r="M803" s="35">
        <v>0</v>
      </c>
      <c r="N803" s="15" t="s">
        <v>400</v>
      </c>
      <c r="O803" s="25" t="s">
        <v>402</v>
      </c>
      <c r="P803" s="25">
        <v>1</v>
      </c>
      <c r="Q803" s="26" t="s">
        <v>80</v>
      </c>
      <c r="R803" s="27" t="s">
        <v>410</v>
      </c>
      <c r="S803" s="27" t="s">
        <v>405</v>
      </c>
      <c r="T803" s="27">
        <v>0</v>
      </c>
      <c r="U803" s="28"/>
      <c r="V803" s="14"/>
      <c r="W803" s="14"/>
      <c r="X803" s="30" t="str">
        <f>IF(Table13[[#This Row],[value Type]]="","",VLOOKUP(Table13[[#This Row],[value Type]],Table2915[],2,FALSE))</f>
        <v>longout</v>
      </c>
      <c r="Y803" s="30" t="str">
        <f>IF(Table13[[#This Row],[value Type]]="","",VLOOKUP(Table13[[#This Row],[value Type]],Table2915[],3,FALSE))</f>
        <v>asynParamInt32</v>
      </c>
      <c r="Z803" s="64" t="str">
        <f>IF(Table13[[#This Row],[value Type]]="","",VLOOKUP(Table13[[#This Row],[value Type]],Table2915[],4,FALSE))</f>
        <v>"asynInt32"</v>
      </c>
      <c r="AA803" s="64" t="str">
        <f>IF(Table13[[#This Row],[value Type]]="","",    IF(Table13[[#This Row],[IP MAX]]="","","@"  )     )</f>
        <v>@</v>
      </c>
      <c r="AB803" s="79" t="str">
        <f>IF(Table13[[#This Row],[value Type]]="","",VLOOKUP(Table13[[#This Row],[value Type]],Table2915[],5,FALSE))</f>
        <v xml:space="preserve"> </v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803" s="79">
        <f>IF(Table13[[#This Row],[value Type]]="","",VLOOKUP(Table13[[#This Row],[IP]],Table51117[],2,FALSE))</f>
        <v>6</v>
      </c>
      <c r="AE803" s="79" t="str">
        <f>IF(Table13[[#This Row],[value Type]]="","",    IF(Table13[[#This Row],[IP MAX]]="","0","@"  )     )</f>
        <v>@</v>
      </c>
      <c r="AF803" s="68">
        <f>IF(Table13[[#This Row],[value Type]]="","",VLOOKUP(Table13[[#This Row],[Acc Type]],Table2[],2,FALSE))</f>
        <v>2</v>
      </c>
      <c r="AG803" s="75">
        <f>IF(Table13[[#This Row],[value Type]]="","",4*HEX2DEC(Table13[[#This Row],[Addr'[HEX']]]))</f>
        <v>64</v>
      </c>
      <c r="AH803" s="75">
        <f>IF(Table13[[#This Row],[value Type]]="","",VLOOKUP(Table13[[#This Row],[AddrTypeI]],Table22[],2,FALSE))</f>
        <v>0</v>
      </c>
      <c r="AI803" s="68">
        <f>IF(Table13[[#This Row],[value Type]]="","",VLOOKUP(Table13[[#This Row],[DataType]],Table351218[],2,FALSE))</f>
        <v>0</v>
      </c>
      <c r="AJ803" s="68">
        <f>IF(Table13[[#This Row],[value Type]]="","",Table13[[#This Row],[DataWidth]])</f>
        <v>32</v>
      </c>
      <c r="AK803" s="68">
        <f>IF(Table13[[#This Row],[value Type]]="","", Table13[[#This Row],[DataOffset]])</f>
        <v>0</v>
      </c>
      <c r="AL803" s="24"/>
      <c r="AM803" s="24" t="str">
        <f>IF(Table13[[#This Row],[value Type]]="","", "0x"&amp;DEC2HEX(Table13[[#This Row],[ADDR_Offset]],8) )</f>
        <v>0x00000040</v>
      </c>
    </row>
    <row r="804" spans="2:39" s="6" customFormat="1" x14ac:dyDescent="0.3">
      <c r="B804" s="14">
        <v>0</v>
      </c>
      <c r="C804" s="12" t="s">
        <v>1</v>
      </c>
      <c r="D804" s="12" t="s">
        <v>389</v>
      </c>
      <c r="E804" s="24" t="s">
        <v>278</v>
      </c>
      <c r="F804" s="24">
        <v>4</v>
      </c>
      <c r="G804" s="14" t="s">
        <v>486</v>
      </c>
      <c r="H804" s="36"/>
      <c r="I804" s="29" t="s">
        <v>703</v>
      </c>
      <c r="J804" s="15" t="s">
        <v>747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longout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2</v>
      </c>
      <c r="AG804" s="75">
        <f>IF(Table13[[#This Row],[value Type]]="","",4*HEX2DEC(Table13[[#This Row],[Addr'[HEX']]]))</f>
        <v>68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0x00000044</v>
      </c>
    </row>
    <row r="805" spans="2:39" s="6" customFormat="1" x14ac:dyDescent="0.3">
      <c r="B805" s="14">
        <v>0</v>
      </c>
      <c r="C805" s="12" t="s">
        <v>1</v>
      </c>
      <c r="D805" s="12" t="s">
        <v>389</v>
      </c>
      <c r="E805" s="24" t="s">
        <v>278</v>
      </c>
      <c r="F805" s="24">
        <v>4</v>
      </c>
      <c r="G805" s="14" t="s">
        <v>487</v>
      </c>
      <c r="H805" s="36"/>
      <c r="I805" s="29" t="s">
        <v>704</v>
      </c>
      <c r="J805" s="15" t="s">
        <v>747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longout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2</v>
      </c>
      <c r="AG805" s="75">
        <f>IF(Table13[[#This Row],[value Type]]="","",4*HEX2DEC(Table13[[#This Row],[Addr'[HEX']]]))</f>
        <v>80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0x00000050</v>
      </c>
    </row>
    <row r="806" spans="2:39" s="6" customFormat="1" x14ac:dyDescent="0.3">
      <c r="B806" s="14">
        <v>0</v>
      </c>
      <c r="C806" s="12" t="s">
        <v>1</v>
      </c>
      <c r="D806" s="12" t="s">
        <v>389</v>
      </c>
      <c r="E806" s="24" t="s">
        <v>278</v>
      </c>
      <c r="F806" s="24">
        <v>4</v>
      </c>
      <c r="G806" s="14" t="s">
        <v>488</v>
      </c>
      <c r="H806" s="36"/>
      <c r="I806" s="29" t="s">
        <v>705</v>
      </c>
      <c r="J806" s="15" t="s">
        <v>747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476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longout</v>
      </c>
      <c r="Y806" s="30" t="str">
        <f>IF(Table13[[#This Row],[value Type]]="","",VLOOKUP(Table13[[#This Row],[value Type]],Table2915[],3,FALSE))</f>
        <v>asynParamInt32</v>
      </c>
      <c r="Z806" s="64" t="str">
        <f>IF(Table13[[#This Row],[value Type]]="","",VLOOKUP(Table13[[#This Row],[value Type]],Table2915[],4,FALSE))</f>
        <v>"asynInt32"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2</v>
      </c>
      <c r="AG806" s="75">
        <f>IF(Table13[[#This Row],[value Type]]="","",4*HEX2DEC(Table13[[#This Row],[Addr'[HEX']]]))</f>
        <v>84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0x00000054</v>
      </c>
    </row>
    <row r="807" spans="2:39" s="6" customFormat="1" x14ac:dyDescent="0.3">
      <c r="B807" s="14">
        <v>0</v>
      </c>
      <c r="C807" s="12" t="s">
        <v>1</v>
      </c>
      <c r="D807" s="12" t="s">
        <v>389</v>
      </c>
      <c r="E807" s="24" t="s">
        <v>278</v>
      </c>
      <c r="F807" s="24">
        <v>4</v>
      </c>
      <c r="G807" s="14" t="s">
        <v>489</v>
      </c>
      <c r="H807" s="36"/>
      <c r="I807" s="29" t="s">
        <v>706</v>
      </c>
      <c r="J807" s="15" t="s">
        <v>747</v>
      </c>
      <c r="K807" s="15" t="s">
        <v>52</v>
      </c>
      <c r="L807" s="14">
        <v>32</v>
      </c>
      <c r="M807" s="35">
        <v>0</v>
      </c>
      <c r="N807" s="15" t="s">
        <v>400</v>
      </c>
      <c r="O807" s="25" t="s">
        <v>402</v>
      </c>
      <c r="P807" s="25">
        <v>1</v>
      </c>
      <c r="Q807" s="26" t="s">
        <v>80</v>
      </c>
      <c r="R807" s="27" t="s">
        <v>410</v>
      </c>
      <c r="S807" s="27" t="s">
        <v>405</v>
      </c>
      <c r="T807" s="27">
        <v>0</v>
      </c>
      <c r="U807" s="28"/>
      <c r="V807" s="14"/>
      <c r="W807" s="14"/>
      <c r="X807" s="30" t="str">
        <f>IF(Table13[[#This Row],[value Type]]="","",VLOOKUP(Table13[[#This Row],[value Type]],Table2915[],2,FALSE))</f>
        <v>longout</v>
      </c>
      <c r="Y807" s="30" t="str">
        <f>IF(Table13[[#This Row],[value Type]]="","",VLOOKUP(Table13[[#This Row],[value Type]],Table2915[],3,FALSE))</f>
        <v>asynParamInt32</v>
      </c>
      <c r="Z807" s="64" t="str">
        <f>IF(Table13[[#This Row],[value Type]]="","",VLOOKUP(Table13[[#This Row],[value Type]],Table2915[],4,FALSE))</f>
        <v>"asynInt32"</v>
      </c>
      <c r="AA807" s="64" t="str">
        <f>IF(Table13[[#This Row],[value Type]]="","",    IF(Table13[[#This Row],[IP MAX]]="","","@"  )     )</f>
        <v>@</v>
      </c>
      <c r="AB807" s="79" t="str">
        <f>IF(Table13[[#This Row],[value Type]]="","",VLOOKUP(Table13[[#This Row],[value Type]],Table2915[],5,FALSE))</f>
        <v xml:space="preserve"> </v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807" s="79">
        <f>IF(Table13[[#This Row],[value Type]]="","",VLOOKUP(Table13[[#This Row],[IP]],Table51117[],2,FALSE))</f>
        <v>6</v>
      </c>
      <c r="AE807" s="79" t="str">
        <f>IF(Table13[[#This Row],[value Type]]="","",    IF(Table13[[#This Row],[IP MAX]]="","0","@"  )     )</f>
        <v>@</v>
      </c>
      <c r="AF807" s="68">
        <f>IF(Table13[[#This Row],[value Type]]="","",VLOOKUP(Table13[[#This Row],[Acc Type]],Table2[],2,FALSE))</f>
        <v>2</v>
      </c>
      <c r="AG807" s="75">
        <f>IF(Table13[[#This Row],[value Type]]="","",4*HEX2DEC(Table13[[#This Row],[Addr'[HEX']]]))</f>
        <v>88</v>
      </c>
      <c r="AH807" s="75">
        <f>IF(Table13[[#This Row],[value Type]]="","",VLOOKUP(Table13[[#This Row],[AddrTypeI]],Table22[],2,FALSE))</f>
        <v>0</v>
      </c>
      <c r="AI807" s="68">
        <f>IF(Table13[[#This Row],[value Type]]="","",VLOOKUP(Table13[[#This Row],[DataType]],Table351218[],2,FALSE))</f>
        <v>0</v>
      </c>
      <c r="AJ807" s="68">
        <f>IF(Table13[[#This Row],[value Type]]="","",Table13[[#This Row],[DataWidth]])</f>
        <v>32</v>
      </c>
      <c r="AK807" s="68">
        <f>IF(Table13[[#This Row],[value Type]]="","", Table13[[#This Row],[DataOffset]])</f>
        <v>0</v>
      </c>
      <c r="AL807" s="24"/>
      <c r="AM807" s="24" t="str">
        <f>IF(Table13[[#This Row],[value Type]]="","", "0x"&amp;DEC2HEX(Table13[[#This Row],[ADDR_Offset]],8) )</f>
        <v>0x00000058</v>
      </c>
    </row>
    <row r="808" spans="2:39" s="6" customFormat="1" x14ac:dyDescent="0.3">
      <c r="B808" s="14">
        <v>0</v>
      </c>
      <c r="C808" s="14"/>
      <c r="D808" s="14"/>
      <c r="E808" s="24"/>
      <c r="F808" s="24"/>
      <c r="G808" s="14"/>
      <c r="H808" s="36"/>
      <c r="I808" s="29"/>
      <c r="J808" s="15" t="s">
        <v>747</v>
      </c>
      <c r="K808" s="15"/>
      <c r="L808" s="14"/>
      <c r="M808" s="35"/>
      <c r="N808" s="15"/>
      <c r="O808" s="88"/>
      <c r="P808" s="25"/>
      <c r="Q808" s="15"/>
      <c r="R808" s="26"/>
      <c r="S808" s="27"/>
      <c r="T808" s="27"/>
      <c r="U808" s="28"/>
      <c r="V808" s="14"/>
      <c r="W808" s="14"/>
      <c r="X808" s="30"/>
      <c r="Y808" s="30"/>
      <c r="Z808" s="64"/>
      <c r="AA808" s="64"/>
      <c r="AB808" s="79"/>
      <c r="AC808" s="12"/>
      <c r="AD808" s="84"/>
      <c r="AE808" s="79"/>
      <c r="AF808" s="68"/>
      <c r="AG808" s="75"/>
      <c r="AH808" s="75" t="str">
        <f>IF(Table13[[#This Row],[value Type]]="","",VLOOKUP(Table13[[#This Row],[AddrTypeI]],Table22[],2,FALSE))</f>
        <v/>
      </c>
      <c r="AI808" s="81"/>
      <c r="AJ808" s="81"/>
      <c r="AK808" s="81"/>
      <c r="AL808" s="24"/>
      <c r="AM808" s="24"/>
    </row>
    <row r="809" spans="2:39" s="6" customFormat="1" x14ac:dyDescent="0.3">
      <c r="B809" s="14">
        <v>0</v>
      </c>
      <c r="C809" s="14" t="s">
        <v>82</v>
      </c>
      <c r="D809" s="14" t="s">
        <v>388</v>
      </c>
      <c r="E809" s="24" t="s">
        <v>278</v>
      </c>
      <c r="F809" s="24">
        <v>4</v>
      </c>
      <c r="G809" s="14" t="s">
        <v>473</v>
      </c>
      <c r="H809" s="36"/>
      <c r="I809" s="29" t="s">
        <v>663</v>
      </c>
      <c r="J809" s="15" t="s">
        <v>747</v>
      </c>
      <c r="K809" s="15" t="s">
        <v>52</v>
      </c>
      <c r="L809" s="14">
        <v>32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445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longin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736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32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0x000002E0</v>
      </c>
    </row>
    <row r="810" spans="2:39" s="6" customFormat="1" x14ac:dyDescent="0.3">
      <c r="B810" s="14">
        <v>0</v>
      </c>
      <c r="C810" s="14" t="s">
        <v>82</v>
      </c>
      <c r="D810" s="14" t="s">
        <v>388</v>
      </c>
      <c r="E810" s="24" t="s">
        <v>278</v>
      </c>
      <c r="F810" s="24">
        <v>4</v>
      </c>
      <c r="G810" s="14" t="s">
        <v>474</v>
      </c>
      <c r="H810" s="15"/>
      <c r="I810" s="29" t="s">
        <v>664</v>
      </c>
      <c r="J810" s="15" t="s">
        <v>747</v>
      </c>
      <c r="K810" s="15" t="s">
        <v>52</v>
      </c>
      <c r="L810" s="14">
        <v>32</v>
      </c>
      <c r="M810" s="35">
        <v>0</v>
      </c>
      <c r="N810" s="15" t="s">
        <v>400</v>
      </c>
      <c r="O810" s="25" t="s">
        <v>402</v>
      </c>
      <c r="P810" s="25">
        <v>1</v>
      </c>
      <c r="Q810" s="26" t="s">
        <v>445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longin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740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32</v>
      </c>
      <c r="AK810" s="68">
        <f>IF(Table13[[#This Row],[value Type]]="","", Table13[[#This Row],[DataOffset]])</f>
        <v>0</v>
      </c>
      <c r="AL810" s="24"/>
      <c r="AM810" s="24" t="str">
        <f>IF(Table13[[#This Row],[value Type]]="","", "0x"&amp;DEC2HEX(Table13[[#This Row],[ADDR_Offset]],8) )</f>
        <v>0x000002E4</v>
      </c>
    </row>
    <row r="811" spans="2:39" s="6" customFormat="1" x14ac:dyDescent="0.3">
      <c r="B811" s="14">
        <v>0</v>
      </c>
      <c r="C811" s="14"/>
      <c r="D811" s="14"/>
      <c r="E811" s="24"/>
      <c r="F811" s="24"/>
      <c r="G811" s="14"/>
      <c r="H811" s="15"/>
      <c r="I811" s="29"/>
      <c r="J811" s="15" t="s">
        <v>747</v>
      </c>
      <c r="K811" s="15"/>
      <c r="L811" s="14"/>
      <c r="M811" s="35"/>
      <c r="N811" s="15"/>
      <c r="O811" s="25"/>
      <c r="P811" s="25"/>
      <c r="Q811" s="15"/>
      <c r="R811" s="26"/>
      <c r="S811" s="27"/>
      <c r="T811" s="27"/>
      <c r="U811" s="28"/>
      <c r="V811" s="14"/>
      <c r="W811" s="14"/>
      <c r="X811" s="30" t="str">
        <f>IF(Table13[[#This Row],[value Type]]="","",VLOOKUP(Table13[[#This Row],[value Type]],Table2915[],2,FALSE))</f>
        <v/>
      </c>
      <c r="Y811" s="30" t="str">
        <f>IF(Table13[[#This Row],[value Type]]="","",VLOOKUP(Table13[[#This Row],[value Type]],Table2915[],3,FALSE))</f>
        <v/>
      </c>
      <c r="Z811" s="64" t="str">
        <f>IF(Table13[[#This Row],[value Type]]="","",VLOOKUP(Table13[[#This Row],[value Type]],Table2915[],4,FALSE))</f>
        <v/>
      </c>
      <c r="AA811" s="64" t="str">
        <f>IF(Table13[[#This Row],[value Type]]="","",    IF(Table13[[#This Row],[IP MAX]]="","","@"  )     )</f>
        <v/>
      </c>
      <c r="AB811" s="79" t="str">
        <f>IF(Table13[[#This Row],[value Type]]="","",VLOOKUP(Table13[[#This Row],[value Type]],Table2915[],5,FALSE))</f>
        <v/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1" s="79" t="str">
        <f>IF(Table13[[#This Row],[value Type]]="","",VLOOKUP(Table13[[#This Row],[IP]],Table51117[],2,FALSE))</f>
        <v/>
      </c>
      <c r="AE811" s="79" t="str">
        <f>IF(Table13[[#This Row],[value Type]]="","",    IF(Table13[[#This Row],[IP MAX]]="","0","@"  )     )</f>
        <v/>
      </c>
      <c r="AF811" s="68" t="str">
        <f>IF(Table13[[#This Row],[value Type]]="","",VLOOKUP(Table13[[#This Row],[Acc Type]],Table2[],2,FALSE))</f>
        <v/>
      </c>
      <c r="AG811" s="75" t="str">
        <f>IF(Table13[[#This Row],[value Type]]="","",4*HEX2DEC(Table13[[#This Row],[Addr'[HEX']]]))</f>
        <v/>
      </c>
      <c r="AH811" s="75" t="str">
        <f>IF(Table13[[#This Row],[value Type]]="","",VLOOKUP(Table13[[#This Row],[AddrTypeI]],Table22[],2,FALSE))</f>
        <v/>
      </c>
      <c r="AI811" s="68" t="str">
        <f>IF(Table13[[#This Row],[value Type]]="","",VLOOKUP(Table13[[#This Row],[DataType]],Table351218[],2,FALSE))</f>
        <v/>
      </c>
      <c r="AJ811" s="68" t="str">
        <f>IF(Table13[[#This Row],[value Type]]="","",Table13[[#This Row],[DataWidth]])</f>
        <v/>
      </c>
      <c r="AK811" s="68" t="str">
        <f>IF(Table13[[#This Row],[value Type]]="","", Table13[[#This Row],[DataOffset]])</f>
        <v/>
      </c>
      <c r="AL811" s="24"/>
      <c r="AM811" s="24" t="str">
        <f>IF(Table13[[#This Row],[value Type]]="","", "0x"&amp;DEC2HEX(Table13[[#This Row],[ADDR_Offset]],8) )</f>
        <v/>
      </c>
    </row>
    <row r="812" spans="2:39" s="6" customFormat="1" x14ac:dyDescent="0.3">
      <c r="B812" s="14">
        <v>0</v>
      </c>
      <c r="C812" s="14" t="s">
        <v>800</v>
      </c>
      <c r="D812" s="14" t="s">
        <v>388</v>
      </c>
      <c r="E812" s="24" t="s">
        <v>278</v>
      </c>
      <c r="F812" s="24">
        <v>4</v>
      </c>
      <c r="G812" s="14" t="s">
        <v>283</v>
      </c>
      <c r="H812" s="15" t="s">
        <v>54</v>
      </c>
      <c r="I812" s="29" t="s">
        <v>665</v>
      </c>
      <c r="J812" s="15" t="s">
        <v>747</v>
      </c>
      <c r="K812" s="15" t="s">
        <v>52</v>
      </c>
      <c r="L812" s="14">
        <v>32</v>
      </c>
      <c r="M812" s="35">
        <v>0</v>
      </c>
      <c r="N812" s="15" t="s">
        <v>400</v>
      </c>
      <c r="O812" s="25" t="s">
        <v>402</v>
      </c>
      <c r="P812" s="25">
        <v>1</v>
      </c>
      <c r="Q812" s="26" t="s">
        <v>475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ai</v>
      </c>
      <c r="Y812" s="30" t="str">
        <f>IF(Table13[[#This Row],[value Type]]="","",VLOOKUP(Table13[[#This Row],[value Type]],Table2915[],3,FALSE))</f>
        <v>asynParamFloat64</v>
      </c>
      <c r="Z812" s="64" t="str">
        <f>IF(Table13[[#This Row],[value Type]]="","",VLOOKUP(Table13[[#This Row],[value Type]],Table2915[],4,FALSE))</f>
        <v>"asynFloat64"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672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32</v>
      </c>
      <c r="AK812" s="68">
        <f>IF(Table13[[#This Row],[value Type]]="","", Table13[[#This Row],[DataOffset]])</f>
        <v>0</v>
      </c>
      <c r="AL812" s="24"/>
      <c r="AM812" s="24" t="str">
        <f>IF(Table13[[#This Row],[value Type]]="","", "0x"&amp;DEC2HEX(Table13[[#This Row],[ADDR_Offset]],8) )</f>
        <v>0x000002A0</v>
      </c>
    </row>
    <row r="813" spans="2:39" s="6" customFormat="1" x14ac:dyDescent="0.3">
      <c r="B813" s="14">
        <v>0</v>
      </c>
      <c r="C813" s="14"/>
      <c r="D813" s="14"/>
      <c r="E813" s="24"/>
      <c r="F813" s="24"/>
      <c r="G813" s="14"/>
      <c r="H813" s="15"/>
      <c r="I813" s="29"/>
      <c r="J813" s="15" t="s">
        <v>747</v>
      </c>
      <c r="K813" s="15"/>
      <c r="L813" s="14"/>
      <c r="M813" s="35"/>
      <c r="N813" s="15"/>
      <c r="O813" s="88"/>
      <c r="P813" s="25"/>
      <c r="Q813" s="15"/>
      <c r="R813" s="26"/>
      <c r="S813" s="27"/>
      <c r="T813" s="27"/>
      <c r="U813" s="28"/>
      <c r="V813" s="14"/>
      <c r="W813" s="14"/>
      <c r="X813" s="30"/>
      <c r="Y813" s="30"/>
      <c r="Z813" s="64"/>
      <c r="AA813" s="64"/>
      <c r="AB813" s="79"/>
      <c r="AC813" s="12"/>
      <c r="AD813" s="84"/>
      <c r="AE813" s="79"/>
      <c r="AF813" s="68"/>
      <c r="AG813" s="75"/>
      <c r="AH813" s="75" t="str">
        <f>IF(Table13[[#This Row],[value Type]]="","",VLOOKUP(Table13[[#This Row],[AddrTypeI]],Table22[],2,FALSE))</f>
        <v/>
      </c>
      <c r="AI813" s="81"/>
      <c r="AJ813" s="81"/>
      <c r="AK813" s="81"/>
      <c r="AL813" s="24"/>
      <c r="AM813" s="24"/>
    </row>
    <row r="814" spans="2:39" s="6" customFormat="1" x14ac:dyDescent="0.3">
      <c r="B814" s="14">
        <v>0</v>
      </c>
      <c r="C814" s="14" t="s">
        <v>800</v>
      </c>
      <c r="D814" s="14" t="s">
        <v>388</v>
      </c>
      <c r="E814" s="24" t="s">
        <v>278</v>
      </c>
      <c r="F814" s="24">
        <v>4</v>
      </c>
      <c r="G814" s="14" t="s">
        <v>283</v>
      </c>
      <c r="H814" s="15" t="s">
        <v>19</v>
      </c>
      <c r="I814" s="29" t="s">
        <v>666</v>
      </c>
      <c r="J814" s="15" t="s">
        <v>747</v>
      </c>
      <c r="K814" s="15" t="s">
        <v>52</v>
      </c>
      <c r="L814" s="14">
        <v>32</v>
      </c>
      <c r="M814" s="35">
        <v>0</v>
      </c>
      <c r="N814" s="15" t="s">
        <v>400</v>
      </c>
      <c r="O814" s="25" t="s">
        <v>402</v>
      </c>
      <c r="P814" s="25">
        <v>1</v>
      </c>
      <c r="Q814" s="26" t="s">
        <v>475</v>
      </c>
      <c r="R814" s="27" t="s">
        <v>410</v>
      </c>
      <c r="S814" s="27" t="s">
        <v>476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ai</v>
      </c>
      <c r="Y814" s="30" t="str">
        <f>IF(Table13[[#This Row],[value Type]]="","",VLOOKUP(Table13[[#This Row],[value Type]],Table2915[],3,FALSE))</f>
        <v>asynParamFloat64</v>
      </c>
      <c r="Z814" s="64" t="str">
        <f>IF(Table13[[#This Row],[value Type]]="","",VLOOKUP(Table13[[#This Row],[value Type]],Table2915[],4,FALSE))</f>
        <v>"asynFloat64"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676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32</v>
      </c>
      <c r="AK814" s="68">
        <f>IF(Table13[[#This Row],[value Type]]="","", Table13[[#This Row],[DataOffset]])</f>
        <v>0</v>
      </c>
      <c r="AL814" s="24"/>
      <c r="AM814" s="24" t="str">
        <f>IF(Table13[[#This Row],[value Type]]="","", "0x"&amp;DEC2HEX(Table13[[#This Row],[ADDR_Offset]],8) )</f>
        <v>0x000002A4</v>
      </c>
    </row>
    <row r="815" spans="2:39" s="6" customFormat="1" x14ac:dyDescent="0.3">
      <c r="B815" s="14">
        <v>0</v>
      </c>
      <c r="C815" s="14" t="s">
        <v>800</v>
      </c>
      <c r="D815" s="14" t="s">
        <v>388</v>
      </c>
      <c r="E815" s="24" t="s">
        <v>278</v>
      </c>
      <c r="F815" s="24">
        <v>4</v>
      </c>
      <c r="G815" s="14" t="s">
        <v>283</v>
      </c>
      <c r="H815" s="15" t="s">
        <v>6</v>
      </c>
      <c r="I815" s="29" t="s">
        <v>667</v>
      </c>
      <c r="J815" s="15" t="s">
        <v>747</v>
      </c>
      <c r="K815" s="15" t="s">
        <v>52</v>
      </c>
      <c r="L815" s="14">
        <v>32</v>
      </c>
      <c r="M815" s="35">
        <v>0</v>
      </c>
      <c r="N815" s="15" t="s">
        <v>400</v>
      </c>
      <c r="O815" s="25" t="s">
        <v>454</v>
      </c>
      <c r="P815" s="25">
        <v>1</v>
      </c>
      <c r="Q815" s="26" t="s">
        <v>477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ai</v>
      </c>
      <c r="Y815" s="30" t="str">
        <f>IF(Table13[[#This Row],[value Type]]="","",VLOOKUP(Table13[[#This Row],[value Type]],Table2915[],3,FALSE))</f>
        <v>asynParamFloat64</v>
      </c>
      <c r="Z815" s="64" t="str">
        <f>IF(Table13[[#This Row],[value Type]]="","",VLOOKUP(Table13[[#This Row],[value Type]],Table2915[],4,FALSE))</f>
        <v>"asynFloat64"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680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32</v>
      </c>
      <c r="AK815" s="68">
        <f>IF(Table13[[#This Row],[value Type]]="","", Table13[[#This Row],[DataOffset]])</f>
        <v>0</v>
      </c>
      <c r="AL815" s="24"/>
      <c r="AM815" s="24" t="str">
        <f>IF(Table13[[#This Row],[value Type]]="","", "0x"&amp;DEC2HEX(Table13[[#This Row],[ADDR_Offset]],8) )</f>
        <v>0x000002A8</v>
      </c>
    </row>
    <row r="816" spans="2:39" s="6" customFormat="1" x14ac:dyDescent="0.3">
      <c r="B816" s="14">
        <v>0</v>
      </c>
      <c r="C816" s="14" t="s">
        <v>800</v>
      </c>
      <c r="D816" s="14" t="s">
        <v>388</v>
      </c>
      <c r="E816" s="24" t="s">
        <v>278</v>
      </c>
      <c r="F816" s="24">
        <v>4</v>
      </c>
      <c r="G816" s="14" t="s">
        <v>283</v>
      </c>
      <c r="H816" s="15" t="s">
        <v>7</v>
      </c>
      <c r="I816" s="29" t="s">
        <v>668</v>
      </c>
      <c r="J816" s="15" t="s">
        <v>747</v>
      </c>
      <c r="K816" s="15" t="s">
        <v>52</v>
      </c>
      <c r="L816" s="14">
        <v>32</v>
      </c>
      <c r="M816" s="35">
        <v>0</v>
      </c>
      <c r="N816" s="15" t="s">
        <v>463</v>
      </c>
      <c r="O816" s="25" t="s">
        <v>402</v>
      </c>
      <c r="P816" s="25">
        <v>1</v>
      </c>
      <c r="Q816" s="26" t="s">
        <v>475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ai</v>
      </c>
      <c r="Y816" s="30" t="str">
        <f>IF(Table13[[#This Row],[value Type]]="","",VLOOKUP(Table13[[#This Row],[value Type]],Table2915[],3,FALSE))</f>
        <v>asynParamFloat64</v>
      </c>
      <c r="Z816" s="64" t="str">
        <f>IF(Table13[[#This Row],[value Type]]="","",VLOOKUP(Table13[[#This Row],[value Type]],Table2915[],4,FALSE))</f>
        <v>"asynFloat64"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684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32</v>
      </c>
      <c r="AK816" s="68">
        <f>IF(Table13[[#This Row],[value Type]]="","", Table13[[#This Row],[DataOffset]])</f>
        <v>0</v>
      </c>
      <c r="AL816" s="24"/>
      <c r="AM816" s="24" t="str">
        <f>IF(Table13[[#This Row],[value Type]]="","", "0x"&amp;DEC2HEX(Table13[[#This Row],[ADDR_Offset]],8) )</f>
        <v>0x000002AC</v>
      </c>
    </row>
    <row r="817" spans="2:39" s="6" customFormat="1" x14ac:dyDescent="0.3">
      <c r="B817" s="14">
        <v>0</v>
      </c>
      <c r="C817" s="14" t="s">
        <v>800</v>
      </c>
      <c r="D817" s="14" t="s">
        <v>388</v>
      </c>
      <c r="E817" s="24" t="s">
        <v>278</v>
      </c>
      <c r="F817" s="24">
        <v>4</v>
      </c>
      <c r="G817" s="14" t="s">
        <v>283</v>
      </c>
      <c r="H817" s="15" t="s">
        <v>8</v>
      </c>
      <c r="I817" s="29" t="s">
        <v>669</v>
      </c>
      <c r="J817" s="15" t="s">
        <v>747</v>
      </c>
      <c r="K817" s="15" t="s">
        <v>52</v>
      </c>
      <c r="L817" s="14">
        <v>32</v>
      </c>
      <c r="M817" s="35">
        <v>0</v>
      </c>
      <c r="N817" s="15" t="s">
        <v>400</v>
      </c>
      <c r="O817" s="25" t="s">
        <v>402</v>
      </c>
      <c r="P817" s="25">
        <v>1</v>
      </c>
      <c r="Q817" s="26" t="s">
        <v>475</v>
      </c>
      <c r="R817" s="27" t="s">
        <v>461</v>
      </c>
      <c r="S817" s="27" t="s">
        <v>405</v>
      </c>
      <c r="T817" s="27">
        <v>0</v>
      </c>
      <c r="U817" s="28"/>
      <c r="V817" s="14"/>
      <c r="W817" s="14"/>
      <c r="X817" s="30" t="str">
        <f>IF(Table13[[#This Row],[value Type]]="","",VLOOKUP(Table13[[#This Row],[value Type]],Table2915[],2,FALSE))</f>
        <v>ai</v>
      </c>
      <c r="Y817" s="30" t="str">
        <f>IF(Table13[[#This Row],[value Type]]="","",VLOOKUP(Table13[[#This Row],[value Type]],Table2915[],3,FALSE))</f>
        <v>asynParamFloat64</v>
      </c>
      <c r="Z817" s="64" t="str">
        <f>IF(Table13[[#This Row],[value Type]]="","",VLOOKUP(Table13[[#This Row],[value Type]],Table2915[],4,FALSE))</f>
        <v>"asynFloat64"</v>
      </c>
      <c r="AA817" s="64" t="str">
        <f>IF(Table13[[#This Row],[value Type]]="","",    IF(Table13[[#This Row],[IP MAX]]="","","@"  )     )</f>
        <v>@</v>
      </c>
      <c r="AB817" s="79" t="str">
        <f>IF(Table13[[#This Row],[value Type]]="","",VLOOKUP(Table13[[#This Row],[value Type]],Table2915[],5,FALSE))</f>
        <v xml:space="preserve"> </v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817" s="79">
        <f>IF(Table13[[#This Row],[value Type]]="","",VLOOKUP(Table13[[#This Row],[IP]],Table51117[],2,FALSE))</f>
        <v>6</v>
      </c>
      <c r="AE817" s="79" t="str">
        <f>IF(Table13[[#This Row],[value Type]]="","",    IF(Table13[[#This Row],[IP MAX]]="","0","@"  )     )</f>
        <v>@</v>
      </c>
      <c r="AF817" s="68">
        <f>IF(Table13[[#This Row],[value Type]]="","",VLOOKUP(Table13[[#This Row],[Acc Type]],Table2[],2,FALSE))</f>
        <v>0</v>
      </c>
      <c r="AG817" s="75">
        <f>IF(Table13[[#This Row],[value Type]]="","",4*HEX2DEC(Table13[[#This Row],[Addr'[HEX']]]))</f>
        <v>688</v>
      </c>
      <c r="AH817" s="75">
        <f>IF(Table13[[#This Row],[value Type]]="","",VLOOKUP(Table13[[#This Row],[AddrTypeI]],Table22[],2,FALSE))</f>
        <v>0</v>
      </c>
      <c r="AI817" s="68">
        <f>IF(Table13[[#This Row],[value Type]]="","",VLOOKUP(Table13[[#This Row],[DataType]],Table351218[],2,FALSE))</f>
        <v>0</v>
      </c>
      <c r="AJ817" s="68">
        <f>IF(Table13[[#This Row],[value Type]]="","",Table13[[#This Row],[DataWidth]])</f>
        <v>32</v>
      </c>
      <c r="AK817" s="68">
        <f>IF(Table13[[#This Row],[value Type]]="","", Table13[[#This Row],[DataOffset]])</f>
        <v>0</v>
      </c>
      <c r="AL817" s="24"/>
      <c r="AM817" s="24" t="str">
        <f>IF(Table13[[#This Row],[value Type]]="","", "0x"&amp;DEC2HEX(Table13[[#This Row],[ADDR_Offset]],8) )</f>
        <v>0x000002B0</v>
      </c>
    </row>
    <row r="818" spans="2:39" s="6" customFormat="1" x14ac:dyDescent="0.3">
      <c r="B818" s="14">
        <v>0</v>
      </c>
      <c r="C818" s="14" t="s">
        <v>800</v>
      </c>
      <c r="D818" s="14" t="s">
        <v>388</v>
      </c>
      <c r="E818" s="24" t="s">
        <v>278</v>
      </c>
      <c r="F818" s="24">
        <v>4</v>
      </c>
      <c r="G818" s="14" t="s">
        <v>283</v>
      </c>
      <c r="H818" s="15" t="s">
        <v>9</v>
      </c>
      <c r="I818" s="29" t="s">
        <v>670</v>
      </c>
      <c r="J818" s="15" t="s">
        <v>747</v>
      </c>
      <c r="K818" s="15" t="s">
        <v>52</v>
      </c>
      <c r="L818" s="14">
        <v>32</v>
      </c>
      <c r="M818" s="35">
        <v>0</v>
      </c>
      <c r="N818" s="15" t="s">
        <v>400</v>
      </c>
      <c r="O818" s="25" t="s">
        <v>402</v>
      </c>
      <c r="P818" s="25">
        <v>1</v>
      </c>
      <c r="Q818" s="26" t="s">
        <v>475</v>
      </c>
      <c r="R818" s="27" t="s">
        <v>410</v>
      </c>
      <c r="S818" s="27" t="s">
        <v>405</v>
      </c>
      <c r="T818" s="27">
        <v>0</v>
      </c>
      <c r="U818" s="28"/>
      <c r="V818" s="14"/>
      <c r="W818" s="14"/>
      <c r="X818" s="30" t="str">
        <f>IF(Table13[[#This Row],[value Type]]="","",VLOOKUP(Table13[[#This Row],[value Type]],Table2915[],2,FALSE))</f>
        <v>ai</v>
      </c>
      <c r="Y818" s="30" t="str">
        <f>IF(Table13[[#This Row],[value Type]]="","",VLOOKUP(Table13[[#This Row],[value Type]],Table2915[],3,FALSE))</f>
        <v>asynParamFloat64</v>
      </c>
      <c r="Z818" s="64" t="str">
        <f>IF(Table13[[#This Row],[value Type]]="","",VLOOKUP(Table13[[#This Row],[value Type]],Table2915[],4,FALSE))</f>
        <v>"asynFloat64"</v>
      </c>
      <c r="AA818" s="64" t="str">
        <f>IF(Table13[[#This Row],[value Type]]="","",    IF(Table13[[#This Row],[IP MAX]]="","","@"  )     )</f>
        <v>@</v>
      </c>
      <c r="AB818" s="79" t="str">
        <f>IF(Table13[[#This Row],[value Type]]="","",VLOOKUP(Table13[[#This Row],[value Type]],Table2915[],5,FALSE))</f>
        <v xml:space="preserve"> </v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818" s="79">
        <f>IF(Table13[[#This Row],[value Type]]="","",VLOOKUP(Table13[[#This Row],[IP]],Table51117[],2,FALSE))</f>
        <v>6</v>
      </c>
      <c r="AE818" s="79" t="str">
        <f>IF(Table13[[#This Row],[value Type]]="","",    IF(Table13[[#This Row],[IP MAX]]="","0","@"  )     )</f>
        <v>@</v>
      </c>
      <c r="AF818" s="68">
        <f>IF(Table13[[#This Row],[value Type]]="","",VLOOKUP(Table13[[#This Row],[Acc Type]],Table2[],2,FALSE))</f>
        <v>0</v>
      </c>
      <c r="AG818" s="75">
        <f>IF(Table13[[#This Row],[value Type]]="","",4*HEX2DEC(Table13[[#This Row],[Addr'[HEX']]]))</f>
        <v>692</v>
      </c>
      <c r="AH818" s="75">
        <f>IF(Table13[[#This Row],[value Type]]="","",VLOOKUP(Table13[[#This Row],[AddrTypeI]],Table22[],2,FALSE))</f>
        <v>0</v>
      </c>
      <c r="AI818" s="68">
        <f>IF(Table13[[#This Row],[value Type]]="","",VLOOKUP(Table13[[#This Row],[DataType]],Table351218[],2,FALSE))</f>
        <v>0</v>
      </c>
      <c r="AJ818" s="68">
        <f>IF(Table13[[#This Row],[value Type]]="","",Table13[[#This Row],[DataWidth]])</f>
        <v>32</v>
      </c>
      <c r="AK818" s="68">
        <f>IF(Table13[[#This Row],[value Type]]="","", Table13[[#This Row],[DataOffset]])</f>
        <v>0</v>
      </c>
      <c r="AL818" s="24"/>
      <c r="AM818" s="24" t="str">
        <f>IF(Table13[[#This Row],[value Type]]="","", "0x"&amp;DEC2HEX(Table13[[#This Row],[ADDR_Offset]],8) )</f>
        <v>0x000002B4</v>
      </c>
    </row>
    <row r="819" spans="2:39" s="6" customFormat="1" x14ac:dyDescent="0.3">
      <c r="B819" s="14">
        <v>0</v>
      </c>
      <c r="C819" s="14" t="s">
        <v>800</v>
      </c>
      <c r="D819" s="14" t="s">
        <v>388</v>
      </c>
      <c r="E819" s="24" t="s">
        <v>278</v>
      </c>
      <c r="F819" s="24">
        <v>4</v>
      </c>
      <c r="G819" s="14" t="s">
        <v>283</v>
      </c>
      <c r="H819" s="15" t="s">
        <v>10</v>
      </c>
      <c r="I819" s="29" t="s">
        <v>671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475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ai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696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0x000002B8</v>
      </c>
    </row>
    <row r="820" spans="2:39" s="6" customFormat="1" x14ac:dyDescent="0.3">
      <c r="B820" s="14">
        <v>0</v>
      </c>
      <c r="C820" s="14" t="s">
        <v>800</v>
      </c>
      <c r="D820" s="14" t="s">
        <v>388</v>
      </c>
      <c r="E820" s="24" t="s">
        <v>278</v>
      </c>
      <c r="F820" s="24">
        <v>4</v>
      </c>
      <c r="G820" s="14" t="s">
        <v>283</v>
      </c>
      <c r="H820" s="15" t="s">
        <v>11</v>
      </c>
      <c r="I820" s="29" t="s">
        <v>672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475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ai</v>
      </c>
      <c r="Y820" s="30" t="str">
        <f>IF(Table13[[#This Row],[value Type]]="","",VLOOKUP(Table13[[#This Row],[value Type]],Table2915[],3,FALSE))</f>
        <v>asynParamFloat64</v>
      </c>
      <c r="Z820" s="64" t="str">
        <f>IF(Table13[[#This Row],[value Type]]="","",VLOOKUP(Table13[[#This Row],[value Type]],Table2915[],4,FALSE))</f>
        <v>"asynFloat64"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700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0x000002BC</v>
      </c>
    </row>
    <row r="821" spans="2:39" s="6" customFormat="1" x14ac:dyDescent="0.3">
      <c r="B821" s="14">
        <v>0</v>
      </c>
      <c r="C821" s="14" t="s">
        <v>800</v>
      </c>
      <c r="D821" s="14" t="s">
        <v>388</v>
      </c>
      <c r="E821" s="24" t="s">
        <v>278</v>
      </c>
      <c r="F821" s="24">
        <v>4</v>
      </c>
      <c r="G821" s="14" t="s">
        <v>283</v>
      </c>
      <c r="H821" s="15" t="s">
        <v>12</v>
      </c>
      <c r="I821" s="29" t="s">
        <v>673</v>
      </c>
      <c r="J821" s="15" t="s">
        <v>747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475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ai</v>
      </c>
      <c r="Y821" s="30" t="str">
        <f>IF(Table13[[#This Row],[value Type]]="","",VLOOKUP(Table13[[#This Row],[value Type]],Table2915[],3,FALSE))</f>
        <v>asynParamFloat64</v>
      </c>
      <c r="Z821" s="64" t="str">
        <f>IF(Table13[[#This Row],[value Type]]="","",VLOOKUP(Table13[[#This Row],[value Type]],Table2915[],4,FALSE))</f>
        <v>"asynFloat64"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704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0x000002C0</v>
      </c>
    </row>
    <row r="822" spans="2:39" s="6" customFormat="1" x14ac:dyDescent="0.3">
      <c r="B822" s="14">
        <v>0</v>
      </c>
      <c r="C822" s="14" t="s">
        <v>800</v>
      </c>
      <c r="D822" s="14" t="s">
        <v>388</v>
      </c>
      <c r="E822" s="24" t="s">
        <v>278</v>
      </c>
      <c r="F822" s="24">
        <v>4</v>
      </c>
      <c r="G822" s="14" t="s">
        <v>283</v>
      </c>
      <c r="H822" s="15" t="s">
        <v>13</v>
      </c>
      <c r="I822" s="29" t="s">
        <v>674</v>
      </c>
      <c r="J822" s="15" t="s">
        <v>747</v>
      </c>
      <c r="K822" s="15" t="s">
        <v>52</v>
      </c>
      <c r="L822" s="14">
        <v>32</v>
      </c>
      <c r="M822" s="35">
        <v>0</v>
      </c>
      <c r="N822" s="15" t="s">
        <v>463</v>
      </c>
      <c r="O822" s="25" t="s">
        <v>402</v>
      </c>
      <c r="P822" s="25">
        <v>1</v>
      </c>
      <c r="Q822" s="26" t="s">
        <v>475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ai</v>
      </c>
      <c r="Y822" s="30" t="str">
        <f>IF(Table13[[#This Row],[value Type]]="","",VLOOKUP(Table13[[#This Row],[value Type]],Table2915[],3,FALSE))</f>
        <v>asynParamFloat64</v>
      </c>
      <c r="Z822" s="64" t="str">
        <f>IF(Table13[[#This Row],[value Type]]="","",VLOOKUP(Table13[[#This Row],[value Type]],Table2915[],4,FALSE))</f>
        <v>"asynFloat64"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708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0x000002C4</v>
      </c>
    </row>
    <row r="823" spans="2:39" s="6" customFormat="1" x14ac:dyDescent="0.3">
      <c r="B823" s="14">
        <v>0</v>
      </c>
      <c r="C823" s="14" t="s">
        <v>800</v>
      </c>
      <c r="D823" s="14" t="s">
        <v>388</v>
      </c>
      <c r="E823" s="24" t="s">
        <v>278</v>
      </c>
      <c r="F823" s="24">
        <v>4</v>
      </c>
      <c r="G823" s="14" t="s">
        <v>283</v>
      </c>
      <c r="H823" s="15" t="s">
        <v>20</v>
      </c>
      <c r="I823" s="29" t="s">
        <v>675</v>
      </c>
      <c r="J823" s="15" t="s">
        <v>747</v>
      </c>
      <c r="K823" s="15" t="s">
        <v>52</v>
      </c>
      <c r="L823" s="14">
        <v>32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475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ai</v>
      </c>
      <c r="Y823" s="30" t="str">
        <f>IF(Table13[[#This Row],[value Type]]="","",VLOOKUP(Table13[[#This Row],[value Type]],Table2915[],3,FALSE))</f>
        <v>asynParamFloat64</v>
      </c>
      <c r="Z823" s="64" t="str">
        <f>IF(Table13[[#This Row],[value Type]]="","",VLOOKUP(Table13[[#This Row],[value Type]],Table2915[],4,FALSE))</f>
        <v>"asynFloat64"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712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32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0x000002C8</v>
      </c>
    </row>
    <row r="824" spans="2:39" s="6" customFormat="1" x14ac:dyDescent="0.3">
      <c r="B824" s="14">
        <v>0</v>
      </c>
      <c r="C824" s="14" t="s">
        <v>800</v>
      </c>
      <c r="D824" s="14" t="s">
        <v>388</v>
      </c>
      <c r="E824" s="24" t="s">
        <v>278</v>
      </c>
      <c r="F824" s="24">
        <v>4</v>
      </c>
      <c r="G824" s="14" t="s">
        <v>283</v>
      </c>
      <c r="H824" s="15" t="s">
        <v>21</v>
      </c>
      <c r="I824" s="29" t="s">
        <v>676</v>
      </c>
      <c r="J824" s="15" t="s">
        <v>747</v>
      </c>
      <c r="K824" s="15" t="s">
        <v>52</v>
      </c>
      <c r="L824" s="14">
        <v>32</v>
      </c>
      <c r="M824" s="35">
        <v>0</v>
      </c>
      <c r="N824" s="15" t="s">
        <v>400</v>
      </c>
      <c r="O824" s="25" t="s">
        <v>402</v>
      </c>
      <c r="P824" s="25">
        <v>1</v>
      </c>
      <c r="Q824" s="26" t="s">
        <v>475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ai</v>
      </c>
      <c r="Y824" s="30" t="str">
        <f>IF(Table13[[#This Row],[value Type]]="","",VLOOKUP(Table13[[#This Row],[value Type]],Table2915[],3,FALSE))</f>
        <v>asynParamFloat64</v>
      </c>
      <c r="Z824" s="64" t="str">
        <f>IF(Table13[[#This Row],[value Type]]="","",VLOOKUP(Table13[[#This Row],[value Type]],Table2915[],4,FALSE))</f>
        <v>"asynFloat64"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716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0x000002CC</v>
      </c>
    </row>
    <row r="825" spans="2:39" s="6" customFormat="1" x14ac:dyDescent="0.3">
      <c r="B825" s="14">
        <v>0</v>
      </c>
      <c r="C825" s="14" t="s">
        <v>800</v>
      </c>
      <c r="D825" s="14" t="s">
        <v>388</v>
      </c>
      <c r="E825" s="24" t="s">
        <v>278</v>
      </c>
      <c r="F825" s="24">
        <v>4</v>
      </c>
      <c r="G825" s="14" t="s">
        <v>283</v>
      </c>
      <c r="H825" s="15" t="s">
        <v>22</v>
      </c>
      <c r="I825" s="29" t="s">
        <v>677</v>
      </c>
      <c r="J825" s="15" t="s">
        <v>747</v>
      </c>
      <c r="K825" s="15" t="s">
        <v>52</v>
      </c>
      <c r="L825" s="14">
        <v>32</v>
      </c>
      <c r="M825" s="35">
        <v>0</v>
      </c>
      <c r="N825" s="15" t="s">
        <v>400</v>
      </c>
      <c r="O825" s="25" t="s">
        <v>402</v>
      </c>
      <c r="P825" s="25">
        <v>1</v>
      </c>
      <c r="Q825" s="26" t="s">
        <v>475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ai</v>
      </c>
      <c r="Y825" s="30" t="str">
        <f>IF(Table13[[#This Row],[value Type]]="","",VLOOKUP(Table13[[#This Row],[value Type]],Table2915[],3,FALSE))</f>
        <v>asynParamFloat64</v>
      </c>
      <c r="Z825" s="64" t="str">
        <f>IF(Table13[[#This Row],[value Type]]="","",VLOOKUP(Table13[[#This Row],[value Type]],Table2915[],4,FALSE))</f>
        <v>"asynFloat64"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720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0x000002D0</v>
      </c>
    </row>
    <row r="826" spans="2:39" s="6" customFormat="1" x14ac:dyDescent="0.3">
      <c r="B826" s="14">
        <v>0</v>
      </c>
      <c r="C826" s="14" t="s">
        <v>800</v>
      </c>
      <c r="D826" s="14" t="s">
        <v>388</v>
      </c>
      <c r="E826" s="24" t="s">
        <v>278</v>
      </c>
      <c r="F826" s="24">
        <v>4</v>
      </c>
      <c r="G826" s="14" t="s">
        <v>283</v>
      </c>
      <c r="H826" s="15" t="s">
        <v>23</v>
      </c>
      <c r="I826" s="29" t="s">
        <v>678</v>
      </c>
      <c r="J826" s="15" t="s">
        <v>747</v>
      </c>
      <c r="K826" s="15" t="s">
        <v>52</v>
      </c>
      <c r="L826" s="14">
        <v>32</v>
      </c>
      <c r="M826" s="35">
        <v>0</v>
      </c>
      <c r="N826" s="15" t="s">
        <v>400</v>
      </c>
      <c r="O826" s="25" t="s">
        <v>402</v>
      </c>
      <c r="P826" s="25">
        <v>1</v>
      </c>
      <c r="Q826" s="26" t="s">
        <v>475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ai</v>
      </c>
      <c r="Y826" s="30" t="str">
        <f>IF(Table13[[#This Row],[value Type]]="","",VLOOKUP(Table13[[#This Row],[value Type]],Table2915[],3,FALSE))</f>
        <v>asynParamFloat64</v>
      </c>
      <c r="Z826" s="64" t="str">
        <f>IF(Table13[[#This Row],[value Type]]="","",VLOOKUP(Table13[[#This Row],[value Type]],Table2915[],4,FALSE))</f>
        <v>"asynFloat64"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724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0x000002D4</v>
      </c>
    </row>
    <row r="827" spans="2:39" s="6" customFormat="1" x14ac:dyDescent="0.3">
      <c r="B827" s="14">
        <v>0</v>
      </c>
      <c r="C827" s="14" t="s">
        <v>800</v>
      </c>
      <c r="D827" s="14" t="s">
        <v>388</v>
      </c>
      <c r="E827" s="24" t="s">
        <v>278</v>
      </c>
      <c r="F827" s="24">
        <v>4</v>
      </c>
      <c r="G827" s="14" t="s">
        <v>283</v>
      </c>
      <c r="H827" s="15" t="s">
        <v>24</v>
      </c>
      <c r="I827" s="29" t="s">
        <v>679</v>
      </c>
      <c r="J827" s="15" t="s">
        <v>747</v>
      </c>
      <c r="K827" s="15" t="s">
        <v>52</v>
      </c>
      <c r="L827" s="14">
        <v>32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475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ai</v>
      </c>
      <c r="Y827" s="30" t="str">
        <f>IF(Table13[[#This Row],[value Type]]="","",VLOOKUP(Table13[[#This Row],[value Type]],Table2915[],3,FALSE))</f>
        <v>asynParamFloat64</v>
      </c>
      <c r="Z827" s="64" t="str">
        <f>IF(Table13[[#This Row],[value Type]]="","",VLOOKUP(Table13[[#This Row],[value Type]],Table2915[],4,FALSE))</f>
        <v>"asynFloat64"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728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0x000002D8</v>
      </c>
    </row>
    <row r="828" spans="2:39" s="6" customFormat="1" x14ac:dyDescent="0.3">
      <c r="B828" s="14">
        <v>0</v>
      </c>
      <c r="C828" s="14" t="s">
        <v>800</v>
      </c>
      <c r="D828" s="14" t="s">
        <v>388</v>
      </c>
      <c r="E828" s="24" t="s">
        <v>278</v>
      </c>
      <c r="F828" s="24">
        <v>4</v>
      </c>
      <c r="G828" s="14" t="s">
        <v>283</v>
      </c>
      <c r="H828" s="15" t="s">
        <v>25</v>
      </c>
      <c r="I828" s="29" t="s">
        <v>680</v>
      </c>
      <c r="J828" s="15" t="s">
        <v>747</v>
      </c>
      <c r="K828" s="15" t="s">
        <v>52</v>
      </c>
      <c r="L828" s="14">
        <v>32</v>
      </c>
      <c r="M828" s="35">
        <v>0</v>
      </c>
      <c r="N828" s="15" t="s">
        <v>400</v>
      </c>
      <c r="O828" s="25" t="s">
        <v>402</v>
      </c>
      <c r="P828" s="25">
        <v>1</v>
      </c>
      <c r="Q828" s="26" t="s">
        <v>475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ai</v>
      </c>
      <c r="Y828" s="30" t="str">
        <f>IF(Table13[[#This Row],[value Type]]="","",VLOOKUP(Table13[[#This Row],[value Type]],Table2915[],3,FALSE))</f>
        <v>asynParamFloat64</v>
      </c>
      <c r="Z828" s="64" t="str">
        <f>IF(Table13[[#This Row],[value Type]]="","",VLOOKUP(Table13[[#This Row],[value Type]],Table2915[],4,FALSE))</f>
        <v>"asynFloat64"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732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0x000002DC</v>
      </c>
    </row>
    <row r="829" spans="2:39" s="6" customFormat="1" x14ac:dyDescent="0.3">
      <c r="B829" s="14">
        <v>0</v>
      </c>
      <c r="C829" s="14" t="s">
        <v>800</v>
      </c>
      <c r="D829" s="14" t="s">
        <v>388</v>
      </c>
      <c r="E829" s="24" t="s">
        <v>278</v>
      </c>
      <c r="F829" s="24">
        <v>4</v>
      </c>
      <c r="G829" s="14" t="s">
        <v>478</v>
      </c>
      <c r="H829" s="15" t="s">
        <v>54</v>
      </c>
      <c r="I829" s="29" t="s">
        <v>681</v>
      </c>
      <c r="J829" s="15" t="s">
        <v>747</v>
      </c>
      <c r="K829" s="15" t="s">
        <v>52</v>
      </c>
      <c r="L829" s="14">
        <v>32</v>
      </c>
      <c r="M829" s="35">
        <v>0</v>
      </c>
      <c r="N829" s="15" t="s">
        <v>400</v>
      </c>
      <c r="O829" s="25" t="s">
        <v>402</v>
      </c>
      <c r="P829" s="25">
        <v>1</v>
      </c>
      <c r="Q829" s="26" t="s">
        <v>475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ai</v>
      </c>
      <c r="Y829" s="30" t="str">
        <f>IF(Table13[[#This Row],[value Type]]="","",VLOOKUP(Table13[[#This Row],[value Type]],Table2915[],3,FALSE))</f>
        <v>asynParamFloat64</v>
      </c>
      <c r="Z829" s="64" t="str">
        <f>IF(Table13[[#This Row],[value Type]]="","",VLOOKUP(Table13[[#This Row],[value Type]],Table2915[],4,FALSE))</f>
        <v>"asynFloat64"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768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0x00000300</v>
      </c>
    </row>
    <row r="830" spans="2:39" s="6" customFormat="1" x14ac:dyDescent="0.3">
      <c r="B830" s="14">
        <v>0</v>
      </c>
      <c r="C830" s="14" t="s">
        <v>800</v>
      </c>
      <c r="D830" s="14" t="s">
        <v>388</v>
      </c>
      <c r="E830" s="24" t="s">
        <v>278</v>
      </c>
      <c r="F830" s="24">
        <v>4</v>
      </c>
      <c r="G830" s="14" t="s">
        <v>478</v>
      </c>
      <c r="H830" s="15" t="s">
        <v>19</v>
      </c>
      <c r="I830" s="29" t="s">
        <v>682</v>
      </c>
      <c r="J830" s="15" t="s">
        <v>747</v>
      </c>
      <c r="K830" s="15" t="s">
        <v>52</v>
      </c>
      <c r="L830" s="14">
        <v>32</v>
      </c>
      <c r="M830" s="35">
        <v>0</v>
      </c>
      <c r="N830" s="15" t="s">
        <v>400</v>
      </c>
      <c r="O830" s="25" t="s">
        <v>402</v>
      </c>
      <c r="P830" s="25">
        <v>1</v>
      </c>
      <c r="Q830" s="26" t="s">
        <v>475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ai</v>
      </c>
      <c r="Y830" s="30" t="str">
        <f>IF(Table13[[#This Row],[value Type]]="","",VLOOKUP(Table13[[#This Row],[value Type]],Table2915[],3,FALSE))</f>
        <v>asynParamFloat64</v>
      </c>
      <c r="Z830" s="64" t="str">
        <f>IF(Table13[[#This Row],[value Type]]="","",VLOOKUP(Table13[[#This Row],[value Type]],Table2915[],4,FALSE))</f>
        <v>"asynFloat64"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772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0x00000304</v>
      </c>
    </row>
    <row r="831" spans="2:39" s="6" customFormat="1" x14ac:dyDescent="0.3">
      <c r="B831" s="14">
        <v>0</v>
      </c>
      <c r="C831" s="14" t="s">
        <v>800</v>
      </c>
      <c r="D831" s="14" t="s">
        <v>388</v>
      </c>
      <c r="E831" s="24" t="s">
        <v>278</v>
      </c>
      <c r="F831" s="24">
        <v>4</v>
      </c>
      <c r="G831" s="14" t="s">
        <v>478</v>
      </c>
      <c r="H831" s="15" t="s">
        <v>6</v>
      </c>
      <c r="I831" s="29" t="s">
        <v>683</v>
      </c>
      <c r="J831" s="15" t="s">
        <v>747</v>
      </c>
      <c r="K831" s="15" t="s">
        <v>52</v>
      </c>
      <c r="L831" s="14">
        <v>32</v>
      </c>
      <c r="M831" s="35">
        <v>0</v>
      </c>
      <c r="N831" s="15" t="s">
        <v>400</v>
      </c>
      <c r="O831" s="25" t="s">
        <v>402</v>
      </c>
      <c r="P831" s="25">
        <v>1</v>
      </c>
      <c r="Q831" s="26" t="s">
        <v>475</v>
      </c>
      <c r="R831" s="27" t="s">
        <v>410</v>
      </c>
      <c r="S831" s="27" t="s">
        <v>405</v>
      </c>
      <c r="T831" s="27">
        <v>0</v>
      </c>
      <c r="U831" s="28"/>
      <c r="V831" s="14"/>
      <c r="W831" s="14"/>
      <c r="X831" s="30" t="str">
        <f>IF(Table13[[#This Row],[value Type]]="","",VLOOKUP(Table13[[#This Row],[value Type]],Table2915[],2,FALSE))</f>
        <v>ai</v>
      </c>
      <c r="Y831" s="30" t="str">
        <f>IF(Table13[[#This Row],[value Type]]="","",VLOOKUP(Table13[[#This Row],[value Type]],Table2915[],3,FALSE))</f>
        <v>asynParamFloat64</v>
      </c>
      <c r="Z831" s="64" t="str">
        <f>IF(Table13[[#This Row],[value Type]]="","",VLOOKUP(Table13[[#This Row],[value Type]],Table2915[],4,FALSE))</f>
        <v>"asynFloat64"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 xml:space="preserve"> 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776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0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0x00000308</v>
      </c>
    </row>
    <row r="832" spans="2:39" s="6" customFormat="1" x14ac:dyDescent="0.3">
      <c r="B832" s="14">
        <v>0</v>
      </c>
      <c r="C832" s="14" t="s">
        <v>800</v>
      </c>
      <c r="D832" s="14" t="s">
        <v>388</v>
      </c>
      <c r="E832" s="24" t="s">
        <v>278</v>
      </c>
      <c r="F832" s="24">
        <v>4</v>
      </c>
      <c r="G832" s="14" t="s">
        <v>478</v>
      </c>
      <c r="H832" s="15" t="s">
        <v>7</v>
      </c>
      <c r="I832" s="29" t="s">
        <v>684</v>
      </c>
      <c r="J832" s="15" t="s">
        <v>747</v>
      </c>
      <c r="K832" s="15" t="s">
        <v>52</v>
      </c>
      <c r="L832" s="14">
        <v>32</v>
      </c>
      <c r="M832" s="35">
        <v>0</v>
      </c>
      <c r="N832" s="15" t="s">
        <v>400</v>
      </c>
      <c r="O832" s="25" t="s">
        <v>402</v>
      </c>
      <c r="P832" s="25">
        <v>1</v>
      </c>
      <c r="Q832" s="26" t="s">
        <v>475</v>
      </c>
      <c r="R832" s="27" t="s">
        <v>410</v>
      </c>
      <c r="S832" s="27" t="s">
        <v>405</v>
      </c>
      <c r="T832" s="27">
        <v>0</v>
      </c>
      <c r="U832" s="28"/>
      <c r="V832" s="14"/>
      <c r="W832" s="14"/>
      <c r="X832" s="30" t="str">
        <f>IF(Table13[[#This Row],[value Type]]="","",VLOOKUP(Table13[[#This Row],[value Type]],Table2915[],2,FALSE))</f>
        <v>ai</v>
      </c>
      <c r="Y832" s="30" t="str">
        <f>IF(Table13[[#This Row],[value Type]]="","",VLOOKUP(Table13[[#This Row],[value Type]],Table2915[],3,FALSE))</f>
        <v>asynParamFloat64</v>
      </c>
      <c r="Z832" s="64" t="str">
        <f>IF(Table13[[#This Row],[value Type]]="","",VLOOKUP(Table13[[#This Row],[value Type]],Table2915[],4,FALSE))</f>
        <v>"asynFloat64"</v>
      </c>
      <c r="AA832" s="64" t="str">
        <f>IF(Table13[[#This Row],[value Type]]="","",    IF(Table13[[#This Row],[IP MAX]]="","","@"  )     )</f>
        <v>@</v>
      </c>
      <c r="AB832" s="79" t="str">
        <f>IF(Table13[[#This Row],[value Type]]="","",VLOOKUP(Table13[[#This Row],[value Type]],Table2915[],5,FALSE))</f>
        <v xml:space="preserve"> </v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832" s="79">
        <f>IF(Table13[[#This Row],[value Type]]="","",VLOOKUP(Table13[[#This Row],[IP]],Table51117[],2,FALSE))</f>
        <v>6</v>
      </c>
      <c r="AE832" s="79" t="str">
        <f>IF(Table13[[#This Row],[value Type]]="","",    IF(Table13[[#This Row],[IP MAX]]="","0","@"  )     )</f>
        <v>@</v>
      </c>
      <c r="AF832" s="68">
        <f>IF(Table13[[#This Row],[value Type]]="","",VLOOKUP(Table13[[#This Row],[Acc Type]],Table2[],2,FALSE))</f>
        <v>0</v>
      </c>
      <c r="AG832" s="75">
        <f>IF(Table13[[#This Row],[value Type]]="","",4*HEX2DEC(Table13[[#This Row],[Addr'[HEX']]]))</f>
        <v>780</v>
      </c>
      <c r="AH832" s="75">
        <f>IF(Table13[[#This Row],[value Type]]="","",VLOOKUP(Table13[[#This Row],[AddrTypeI]],Table22[],2,FALSE))</f>
        <v>0</v>
      </c>
      <c r="AI832" s="68">
        <f>IF(Table13[[#This Row],[value Type]]="","",VLOOKUP(Table13[[#This Row],[DataType]],Table351218[],2,FALSE))</f>
        <v>0</v>
      </c>
      <c r="AJ832" s="68">
        <f>IF(Table13[[#This Row],[value Type]]="","",Table13[[#This Row],[DataWidth]])</f>
        <v>32</v>
      </c>
      <c r="AK832" s="68">
        <f>IF(Table13[[#This Row],[value Type]]="","", Table13[[#This Row],[DataOffset]])</f>
        <v>0</v>
      </c>
      <c r="AL832" s="24"/>
      <c r="AM832" s="24" t="str">
        <f>IF(Table13[[#This Row],[value Type]]="","", "0x"&amp;DEC2HEX(Table13[[#This Row],[ADDR_Offset]],8) )</f>
        <v>0x0000030C</v>
      </c>
    </row>
    <row r="833" spans="2:39" s="6" customFormat="1" x14ac:dyDescent="0.3">
      <c r="B833" s="14">
        <v>0</v>
      </c>
      <c r="C833" s="14" t="s">
        <v>800</v>
      </c>
      <c r="D833" s="14" t="s">
        <v>388</v>
      </c>
      <c r="E833" s="24" t="s">
        <v>278</v>
      </c>
      <c r="F833" s="24">
        <v>4</v>
      </c>
      <c r="G833" s="14" t="s">
        <v>478</v>
      </c>
      <c r="H833" s="15" t="s">
        <v>8</v>
      </c>
      <c r="I833" s="29" t="s">
        <v>685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475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ai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784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0x00000310</v>
      </c>
    </row>
    <row r="834" spans="2:39" s="6" customFormat="1" x14ac:dyDescent="0.3">
      <c r="B834" s="14">
        <v>0</v>
      </c>
      <c r="C834" s="14" t="s">
        <v>800</v>
      </c>
      <c r="D834" s="14" t="s">
        <v>388</v>
      </c>
      <c r="E834" s="24" t="s">
        <v>278</v>
      </c>
      <c r="F834" s="24">
        <v>4</v>
      </c>
      <c r="G834" s="14" t="s">
        <v>478</v>
      </c>
      <c r="H834" s="15" t="s">
        <v>9</v>
      </c>
      <c r="I834" s="29" t="s">
        <v>686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475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ai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788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0x00000314</v>
      </c>
    </row>
    <row r="835" spans="2:39" s="6" customFormat="1" x14ac:dyDescent="0.3">
      <c r="B835" s="14">
        <v>0</v>
      </c>
      <c r="C835" s="14" t="s">
        <v>800</v>
      </c>
      <c r="D835" s="14" t="s">
        <v>388</v>
      </c>
      <c r="E835" s="24" t="s">
        <v>278</v>
      </c>
      <c r="F835" s="24">
        <v>4</v>
      </c>
      <c r="G835" s="14" t="s">
        <v>478</v>
      </c>
      <c r="H835" s="15" t="s">
        <v>10</v>
      </c>
      <c r="I835" s="29" t="s">
        <v>687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475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ai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792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0x00000318</v>
      </c>
    </row>
    <row r="836" spans="2:39" s="6" customFormat="1" x14ac:dyDescent="0.3">
      <c r="B836" s="14">
        <v>0</v>
      </c>
      <c r="C836" s="14" t="s">
        <v>800</v>
      </c>
      <c r="D836" s="14" t="s">
        <v>388</v>
      </c>
      <c r="E836" s="24" t="s">
        <v>278</v>
      </c>
      <c r="F836" s="24">
        <v>4</v>
      </c>
      <c r="G836" s="14" t="s">
        <v>478</v>
      </c>
      <c r="H836" s="15" t="s">
        <v>11</v>
      </c>
      <c r="I836" s="29" t="s">
        <v>688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475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ai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796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0x0000031C</v>
      </c>
    </row>
    <row r="837" spans="2:39" s="6" customFormat="1" x14ac:dyDescent="0.3">
      <c r="B837" s="14">
        <v>0</v>
      </c>
      <c r="C837" s="14" t="s">
        <v>800</v>
      </c>
      <c r="D837" s="14" t="s">
        <v>388</v>
      </c>
      <c r="E837" s="24" t="s">
        <v>278</v>
      </c>
      <c r="F837" s="24">
        <v>4</v>
      </c>
      <c r="G837" s="14" t="s">
        <v>478</v>
      </c>
      <c r="H837" s="15" t="s">
        <v>12</v>
      </c>
      <c r="I837" s="29" t="s">
        <v>689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475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ai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800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0x00000320</v>
      </c>
    </row>
    <row r="838" spans="2:39" s="6" customFormat="1" x14ac:dyDescent="0.3">
      <c r="B838" s="14">
        <v>0</v>
      </c>
      <c r="C838" s="14" t="s">
        <v>800</v>
      </c>
      <c r="D838" s="14" t="s">
        <v>388</v>
      </c>
      <c r="E838" s="24" t="s">
        <v>278</v>
      </c>
      <c r="F838" s="24">
        <v>4</v>
      </c>
      <c r="G838" s="14" t="s">
        <v>478</v>
      </c>
      <c r="H838" s="15" t="s">
        <v>13</v>
      </c>
      <c r="I838" s="29" t="s">
        <v>690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475</v>
      </c>
      <c r="R838" s="27" t="s">
        <v>410</v>
      </c>
      <c r="S838" s="27" t="s">
        <v>476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ai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804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0x00000324</v>
      </c>
    </row>
    <row r="839" spans="2:39" s="6" customFormat="1" x14ac:dyDescent="0.3">
      <c r="B839" s="14">
        <v>0</v>
      </c>
      <c r="C839" s="14" t="s">
        <v>800</v>
      </c>
      <c r="D839" s="14" t="s">
        <v>388</v>
      </c>
      <c r="E839" s="24" t="s">
        <v>278</v>
      </c>
      <c r="F839" s="24">
        <v>4</v>
      </c>
      <c r="G839" s="14" t="s">
        <v>478</v>
      </c>
      <c r="H839" s="15" t="s">
        <v>20</v>
      </c>
      <c r="I839" s="29" t="s">
        <v>691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475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ai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808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0x00000328</v>
      </c>
    </row>
    <row r="840" spans="2:39" s="6" customFormat="1" x14ac:dyDescent="0.3">
      <c r="B840" s="14">
        <v>0</v>
      </c>
      <c r="C840" s="14" t="s">
        <v>800</v>
      </c>
      <c r="D840" s="14" t="s">
        <v>388</v>
      </c>
      <c r="E840" s="24" t="s">
        <v>278</v>
      </c>
      <c r="F840" s="24">
        <v>4</v>
      </c>
      <c r="G840" s="14" t="s">
        <v>478</v>
      </c>
      <c r="H840" s="15" t="s">
        <v>21</v>
      </c>
      <c r="I840" s="29" t="s">
        <v>692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475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ai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812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0x0000032C</v>
      </c>
    </row>
    <row r="841" spans="2:39" s="6" customFormat="1" x14ac:dyDescent="0.3">
      <c r="B841" s="14">
        <v>0</v>
      </c>
      <c r="C841" s="14" t="s">
        <v>800</v>
      </c>
      <c r="D841" s="14" t="s">
        <v>388</v>
      </c>
      <c r="E841" s="24" t="s">
        <v>278</v>
      </c>
      <c r="F841" s="24">
        <v>4</v>
      </c>
      <c r="G841" s="14" t="s">
        <v>478</v>
      </c>
      <c r="H841" s="15" t="s">
        <v>22</v>
      </c>
      <c r="I841" s="29" t="s">
        <v>693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475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ai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816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0x00000330</v>
      </c>
    </row>
    <row r="842" spans="2:39" s="6" customFormat="1" x14ac:dyDescent="0.3">
      <c r="B842" s="14">
        <v>0</v>
      </c>
      <c r="C842" s="14" t="s">
        <v>800</v>
      </c>
      <c r="D842" s="14" t="s">
        <v>388</v>
      </c>
      <c r="E842" s="24" t="s">
        <v>278</v>
      </c>
      <c r="F842" s="24">
        <v>4</v>
      </c>
      <c r="G842" s="14" t="s">
        <v>478</v>
      </c>
      <c r="H842" s="15" t="s">
        <v>23</v>
      </c>
      <c r="I842" s="29" t="s">
        <v>694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475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ai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820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0x00000334</v>
      </c>
    </row>
    <row r="843" spans="2:39" s="6" customFormat="1" x14ac:dyDescent="0.3">
      <c r="B843" s="14">
        <v>0</v>
      </c>
      <c r="C843" s="14" t="s">
        <v>800</v>
      </c>
      <c r="D843" s="14" t="s">
        <v>388</v>
      </c>
      <c r="E843" s="24" t="s">
        <v>278</v>
      </c>
      <c r="F843" s="24">
        <v>4</v>
      </c>
      <c r="G843" s="14" t="s">
        <v>478</v>
      </c>
      <c r="H843" s="15" t="s">
        <v>24</v>
      </c>
      <c r="I843" s="29" t="s">
        <v>695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475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ai</v>
      </c>
      <c r="Y843" s="30" t="str">
        <f>IF(Table13[[#This Row],[value Type]]="","",VLOOKUP(Table13[[#This Row],[value Type]],Table2915[],3,FALSE))</f>
        <v>asynParamFloat64</v>
      </c>
      <c r="Z843" s="64" t="str">
        <f>IF(Table13[[#This Row],[value Type]]="","",VLOOKUP(Table13[[#This Row],[value Type]],Table2915[],4,FALSE))</f>
        <v>"asynFloat64"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824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0x00000338</v>
      </c>
    </row>
    <row r="844" spans="2:39" s="6" customFormat="1" x14ac:dyDescent="0.3">
      <c r="B844" s="14">
        <v>0</v>
      </c>
      <c r="C844" s="14" t="s">
        <v>800</v>
      </c>
      <c r="D844" s="14" t="s">
        <v>388</v>
      </c>
      <c r="E844" s="24" t="s">
        <v>278</v>
      </c>
      <c r="F844" s="24">
        <v>4</v>
      </c>
      <c r="G844" s="14" t="s">
        <v>478</v>
      </c>
      <c r="H844" s="15" t="s">
        <v>25</v>
      </c>
      <c r="I844" s="29" t="s">
        <v>696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463</v>
      </c>
      <c r="O844" s="25" t="s">
        <v>402</v>
      </c>
      <c r="P844" s="25">
        <v>1</v>
      </c>
      <c r="Q844" s="26" t="s">
        <v>475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ai</v>
      </c>
      <c r="Y844" s="30" t="str">
        <f>IF(Table13[[#This Row],[value Type]]="","",VLOOKUP(Table13[[#This Row],[value Type]],Table2915[],3,FALSE))</f>
        <v>asynParamFloat64</v>
      </c>
      <c r="Z844" s="64" t="str">
        <f>IF(Table13[[#This Row],[value Type]]="","",VLOOKUP(Table13[[#This Row],[value Type]],Table2915[],4,FALSE))</f>
        <v>"asynFloat64"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828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0x0000033C</v>
      </c>
    </row>
    <row r="845" spans="2:39" s="6" customFormat="1" x14ac:dyDescent="0.3">
      <c r="B845" s="14">
        <v>0</v>
      </c>
      <c r="C845" s="14"/>
      <c r="D845" s="14"/>
      <c r="E845" s="24"/>
      <c r="F845" s="24"/>
      <c r="G845" s="14"/>
      <c r="H845" s="15"/>
      <c r="I845" s="29"/>
      <c r="J845" s="15" t="s">
        <v>747</v>
      </c>
      <c r="K845" s="15"/>
      <c r="L845" s="14"/>
      <c r="M845" s="35"/>
      <c r="N845" s="15"/>
      <c r="O845" s="25"/>
      <c r="P845" s="25"/>
      <c r="Q845" s="15"/>
      <c r="R845" s="26"/>
      <c r="S845" s="27"/>
      <c r="T845" s="27"/>
      <c r="U845" s="28"/>
      <c r="V845" s="14"/>
      <c r="W845" s="14"/>
      <c r="X845" s="30" t="str">
        <f>IF(Table13[[#This Row],[value Type]]="","",VLOOKUP(Table13[[#This Row],[value Type]],Table2915[],2,FALSE))</f>
        <v/>
      </c>
      <c r="Y845" s="30" t="str">
        <f>IF(Table13[[#This Row],[value Type]]="","",VLOOKUP(Table13[[#This Row],[value Type]],Table2915[],3,FALSE))</f>
        <v/>
      </c>
      <c r="Z845" s="64" t="str">
        <f>IF(Table13[[#This Row],[value Type]]="","",VLOOKUP(Table13[[#This Row],[value Type]],Table2915[],4,FALSE))</f>
        <v/>
      </c>
      <c r="AA845" s="64" t="str">
        <f>IF(Table13[[#This Row],[value Type]]="","",    IF(Table13[[#This Row],[IP MAX]]="","","@"  )     )</f>
        <v/>
      </c>
      <c r="AB845" s="79" t="str">
        <f>IF(Table13[[#This Row],[value Type]]="","",VLOOKUP(Table13[[#This Row],[value Type]],Table2915[],5,FALSE))</f>
        <v/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45" s="79" t="str">
        <f>IF(Table13[[#This Row],[value Type]]="","",VLOOKUP(Table13[[#This Row],[IP]],Table51117[],2,FALSE))</f>
        <v/>
      </c>
      <c r="AE845" s="79" t="str">
        <f>IF(Table13[[#This Row],[value Type]]="","",    IF(Table13[[#This Row],[IP MAX]]="","0","@"  )     )</f>
        <v/>
      </c>
      <c r="AF845" s="68" t="str">
        <f>IF(Table13[[#This Row],[value Type]]="","",VLOOKUP(Table13[[#This Row],[Acc Type]],Table2[],2,FALSE))</f>
        <v/>
      </c>
      <c r="AG845" s="75" t="str">
        <f>IF(Table13[[#This Row],[value Type]]="","",4*HEX2DEC(Table13[[#This Row],[Addr'[HEX']]]))</f>
        <v/>
      </c>
      <c r="AH845" s="75" t="str">
        <f>IF(Table13[[#This Row],[value Type]]="","",VLOOKUP(Table13[[#This Row],[AddrTypeI]],Table22[],2,FALSE))</f>
        <v/>
      </c>
      <c r="AI845" s="68" t="str">
        <f>IF(Table13[[#This Row],[value Type]]="","",VLOOKUP(Table13[[#This Row],[DataType]],Table351218[],2,FALSE))</f>
        <v/>
      </c>
      <c r="AJ845" s="68" t="str">
        <f>IF(Table13[[#This Row],[value Type]]="","",Table13[[#This Row],[DataWidth]])</f>
        <v/>
      </c>
      <c r="AK845" s="68" t="str">
        <f>IF(Table13[[#This Row],[value Type]]="","", Table13[[#This Row],[DataOffset]])</f>
        <v/>
      </c>
      <c r="AL845" s="24"/>
      <c r="AM845" s="24" t="str">
        <f>IF(Table13[[#This Row],[value Type]]="","", "0x"&amp;DEC2HEX(Table13[[#This Row],[ADDR_Offset]],8) )</f>
        <v/>
      </c>
    </row>
    <row r="846" spans="2:39" s="6" customFormat="1" x14ac:dyDescent="0.3">
      <c r="B846" s="14">
        <v>0</v>
      </c>
      <c r="C846" s="14" t="s">
        <v>82</v>
      </c>
      <c r="D846" s="14" t="s">
        <v>388</v>
      </c>
      <c r="E846" s="24" t="s">
        <v>278</v>
      </c>
      <c r="F846" s="24">
        <v>4</v>
      </c>
      <c r="G846" s="14" t="s">
        <v>479</v>
      </c>
      <c r="H846" s="15" t="s">
        <v>354</v>
      </c>
      <c r="I846" s="29" t="s">
        <v>697</v>
      </c>
      <c r="J846" s="15" t="s">
        <v>747</v>
      </c>
      <c r="K846" s="15" t="s">
        <v>52</v>
      </c>
      <c r="L846" s="14">
        <v>1</v>
      </c>
      <c r="M846" s="35">
        <v>0</v>
      </c>
      <c r="N846" s="15" t="s">
        <v>400</v>
      </c>
      <c r="O846" s="25" t="s">
        <v>402</v>
      </c>
      <c r="P846" s="25">
        <v>1</v>
      </c>
      <c r="Q846" s="26" t="s">
        <v>445</v>
      </c>
      <c r="R846" s="27" t="s">
        <v>410</v>
      </c>
      <c r="S846" s="27" t="s">
        <v>405</v>
      </c>
      <c r="T846" s="27">
        <v>0</v>
      </c>
      <c r="U846" s="28"/>
      <c r="V846" s="14"/>
      <c r="W846" s="14"/>
      <c r="X846" s="30" t="str">
        <f>IF(Table13[[#This Row],[value Type]]="","",VLOOKUP(Table13[[#This Row],[value Type]],Table2915[],2,FALSE))</f>
        <v>longin</v>
      </c>
      <c r="Y846" s="30" t="str">
        <f>IF(Table13[[#This Row],[value Type]]="","",VLOOKUP(Table13[[#This Row],[value Type]],Table2915[],3,FALSE))</f>
        <v>asynParamInt32</v>
      </c>
      <c r="Z846" s="64" t="str">
        <f>IF(Table13[[#This Row],[value Type]]="","",VLOOKUP(Table13[[#This Row],[value Type]],Table2915[],4,FALSE))</f>
        <v>"asynInt32"</v>
      </c>
      <c r="AA846" s="64" t="str">
        <f>IF(Table13[[#This Row],[value Type]]="","",    IF(Table13[[#This Row],[IP MAX]]="","","@"  )     )</f>
        <v>@</v>
      </c>
      <c r="AB846" s="79" t="str">
        <f>IF(Table13[[#This Row],[value Type]]="","",VLOOKUP(Table13[[#This Row],[value Type]],Table2915[],5,FALSE))</f>
        <v xml:space="preserve"> </v>
      </c>
      <c r="AC8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846" s="79">
        <f>IF(Table13[[#This Row],[value Type]]="","",VLOOKUP(Table13[[#This Row],[IP]],Table51117[],2,FALSE))</f>
        <v>6</v>
      </c>
      <c r="AE846" s="79" t="str">
        <f>IF(Table13[[#This Row],[value Type]]="","",    IF(Table13[[#This Row],[IP MAX]]="","0","@"  )     )</f>
        <v>@</v>
      </c>
      <c r="AF846" s="68">
        <f>IF(Table13[[#This Row],[value Type]]="","",VLOOKUP(Table13[[#This Row],[Acc Type]],Table2[],2,FALSE))</f>
        <v>0</v>
      </c>
      <c r="AG846" s="75">
        <f>IF(Table13[[#This Row],[value Type]]="","",4*HEX2DEC(Table13[[#This Row],[Addr'[HEX']]]))</f>
        <v>648</v>
      </c>
      <c r="AH846" s="75">
        <f>IF(Table13[[#This Row],[value Type]]="","",VLOOKUP(Table13[[#This Row],[AddrTypeI]],Table22[],2,FALSE))</f>
        <v>0</v>
      </c>
      <c r="AI846" s="68">
        <f>IF(Table13[[#This Row],[value Type]]="","",VLOOKUP(Table13[[#This Row],[DataType]],Table351218[],2,FALSE))</f>
        <v>0</v>
      </c>
      <c r="AJ846" s="68">
        <f>IF(Table13[[#This Row],[value Type]]="","",Table13[[#This Row],[DataWidth]])</f>
        <v>1</v>
      </c>
      <c r="AK846" s="68">
        <f>IF(Table13[[#This Row],[value Type]]="","", Table13[[#This Row],[DataOffset]])</f>
        <v>0</v>
      </c>
      <c r="AL846" s="24"/>
      <c r="AM846" s="24" t="str">
        <f>IF(Table13[[#This Row],[value Type]]="","", "0x"&amp;DEC2HEX(Table13[[#This Row],[ADDR_Offset]],8) )</f>
        <v>0x00000288</v>
      </c>
    </row>
    <row r="847" spans="2:39" s="6" customFormat="1" x14ac:dyDescent="0.3">
      <c r="B847" s="14">
        <v>0</v>
      </c>
      <c r="C847" s="14" t="s">
        <v>82</v>
      </c>
      <c r="D847" s="14" t="s">
        <v>388</v>
      </c>
      <c r="E847" s="24" t="s">
        <v>278</v>
      </c>
      <c r="F847" s="24">
        <v>4</v>
      </c>
      <c r="G847" s="14" t="s">
        <v>479</v>
      </c>
      <c r="H847" s="15" t="s">
        <v>355</v>
      </c>
      <c r="I847" s="29" t="s">
        <v>697</v>
      </c>
      <c r="J847" s="15" t="s">
        <v>747</v>
      </c>
      <c r="K847" s="15" t="s">
        <v>52</v>
      </c>
      <c r="L847" s="14">
        <v>1</v>
      </c>
      <c r="M847" s="35">
        <v>1</v>
      </c>
      <c r="N847" s="15" t="s">
        <v>400</v>
      </c>
      <c r="O847" s="25" t="s">
        <v>402</v>
      </c>
      <c r="P847" s="25">
        <v>1</v>
      </c>
      <c r="Q847" s="26" t="s">
        <v>445</v>
      </c>
      <c r="R847" s="27" t="s">
        <v>410</v>
      </c>
      <c r="S847" s="27" t="s">
        <v>405</v>
      </c>
      <c r="T847" s="27">
        <v>0</v>
      </c>
      <c r="U847" s="28"/>
      <c r="V847" s="14"/>
      <c r="W847" s="14"/>
      <c r="X847" s="30" t="str">
        <f>IF(Table13[[#This Row],[value Type]]="","",VLOOKUP(Table13[[#This Row],[value Type]],Table2915[],2,FALSE))</f>
        <v>longin</v>
      </c>
      <c r="Y847" s="30" t="str">
        <f>IF(Table13[[#This Row],[value Type]]="","",VLOOKUP(Table13[[#This Row],[value Type]],Table2915[],3,FALSE))</f>
        <v>asynParamInt32</v>
      </c>
      <c r="Z847" s="64" t="str">
        <f>IF(Table13[[#This Row],[value Type]]="","",VLOOKUP(Table13[[#This Row],[value Type]],Table2915[],4,FALSE))</f>
        <v>"asynInt32"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 xml:space="preserve"> 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648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0</v>
      </c>
      <c r="AJ847" s="68">
        <f>IF(Table13[[#This Row],[value Type]]="","",Table13[[#This Row],[DataWidth]])</f>
        <v>1</v>
      </c>
      <c r="AK847" s="68">
        <f>IF(Table13[[#This Row],[value Type]]="","", Table13[[#This Row],[DataOffset]])</f>
        <v>1</v>
      </c>
      <c r="AL847" s="24"/>
      <c r="AM847" s="24" t="str">
        <f>IF(Table13[[#This Row],[value Type]]="","", "0x"&amp;DEC2HEX(Table13[[#This Row],[ADDR_Offset]],8) )</f>
        <v>0x00000288</v>
      </c>
    </row>
    <row r="848" spans="2:39" s="6" customFormat="1" x14ac:dyDescent="0.3">
      <c r="B848" s="14">
        <v>0</v>
      </c>
      <c r="C848" s="14" t="s">
        <v>82</v>
      </c>
      <c r="D848" s="14" t="s">
        <v>388</v>
      </c>
      <c r="E848" s="24" t="s">
        <v>278</v>
      </c>
      <c r="F848" s="24">
        <v>4</v>
      </c>
      <c r="G848" s="14" t="s">
        <v>479</v>
      </c>
      <c r="H848" s="15" t="s">
        <v>356</v>
      </c>
      <c r="I848" s="29" t="s">
        <v>697</v>
      </c>
      <c r="J848" s="15" t="s">
        <v>747</v>
      </c>
      <c r="K848" s="15" t="s">
        <v>52</v>
      </c>
      <c r="L848" s="14">
        <v>1</v>
      </c>
      <c r="M848" s="35">
        <v>2</v>
      </c>
      <c r="N848" s="15" t="s">
        <v>400</v>
      </c>
      <c r="O848" s="25" t="s">
        <v>402</v>
      </c>
      <c r="P848" s="25">
        <v>1</v>
      </c>
      <c r="Q848" s="26" t="s">
        <v>445</v>
      </c>
      <c r="R848" s="27" t="s">
        <v>410</v>
      </c>
      <c r="S848" s="27" t="s">
        <v>405</v>
      </c>
      <c r="T848" s="27">
        <v>0</v>
      </c>
      <c r="U848" s="28"/>
      <c r="V848" s="14"/>
      <c r="W848" s="14"/>
      <c r="X848" s="30" t="str">
        <f>IF(Table13[[#This Row],[value Type]]="","",VLOOKUP(Table13[[#This Row],[value Type]],Table2915[],2,FALSE))</f>
        <v>longin</v>
      </c>
      <c r="Y848" s="30" t="str">
        <f>IF(Table13[[#This Row],[value Type]]="","",VLOOKUP(Table13[[#This Row],[value Type]],Table2915[],3,FALSE))</f>
        <v>asynParamInt32</v>
      </c>
      <c r="Z848" s="64" t="str">
        <f>IF(Table13[[#This Row],[value Type]]="","",VLOOKUP(Table13[[#This Row],[value Type]],Table2915[],4,FALSE))</f>
        <v>"asynInt32"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 xml:space="preserve"> 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648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0</v>
      </c>
      <c r="AJ848" s="68">
        <f>IF(Table13[[#This Row],[value Type]]="","",Table13[[#This Row],[DataWidth]])</f>
        <v>1</v>
      </c>
      <c r="AK848" s="68">
        <f>IF(Table13[[#This Row],[value Type]]="","", Table13[[#This Row],[DataOffset]])</f>
        <v>2</v>
      </c>
      <c r="AL848" s="24"/>
      <c r="AM848" s="24" t="str">
        <f>IF(Table13[[#This Row],[value Type]]="","", "0x"&amp;DEC2HEX(Table13[[#This Row],[ADDR_Offset]],8) )</f>
        <v>0x00000288</v>
      </c>
    </row>
    <row r="849" spans="2:39" s="6" customFormat="1" x14ac:dyDescent="0.3">
      <c r="B849" s="14">
        <v>0</v>
      </c>
      <c r="C849" s="14" t="s">
        <v>82</v>
      </c>
      <c r="D849" s="14" t="s">
        <v>388</v>
      </c>
      <c r="E849" s="24" t="s">
        <v>278</v>
      </c>
      <c r="F849" s="24">
        <v>4</v>
      </c>
      <c r="G849" s="14" t="s">
        <v>479</v>
      </c>
      <c r="H849" s="15" t="s">
        <v>357</v>
      </c>
      <c r="I849" s="29" t="s">
        <v>697</v>
      </c>
      <c r="J849" s="15" t="s">
        <v>747</v>
      </c>
      <c r="K849" s="15" t="s">
        <v>52</v>
      </c>
      <c r="L849" s="14">
        <v>1</v>
      </c>
      <c r="M849" s="35">
        <v>3</v>
      </c>
      <c r="N849" s="15" t="s">
        <v>400</v>
      </c>
      <c r="O849" s="25" t="s">
        <v>402</v>
      </c>
      <c r="P849" s="25">
        <v>1</v>
      </c>
      <c r="Q849" s="26" t="s">
        <v>445</v>
      </c>
      <c r="R849" s="27" t="s">
        <v>410</v>
      </c>
      <c r="S849" s="27" t="s">
        <v>405</v>
      </c>
      <c r="T849" s="27">
        <v>0</v>
      </c>
      <c r="U849" s="28"/>
      <c r="V849" s="14"/>
      <c r="W849" s="14"/>
      <c r="X849" s="30" t="str">
        <f>IF(Table13[[#This Row],[value Type]]="","",VLOOKUP(Table13[[#This Row],[value Type]],Table2915[],2,FALSE))</f>
        <v>longin</v>
      </c>
      <c r="Y849" s="30" t="str">
        <f>IF(Table13[[#This Row],[value Type]]="","",VLOOKUP(Table13[[#This Row],[value Type]],Table2915[],3,FALSE))</f>
        <v>asynParamInt32</v>
      </c>
      <c r="Z849" s="64" t="str">
        <f>IF(Table13[[#This Row],[value Type]]="","",VLOOKUP(Table13[[#This Row],[value Type]],Table2915[],4,FALSE))</f>
        <v>"asynInt32"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 xml:space="preserve"> 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648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0</v>
      </c>
      <c r="AJ849" s="68">
        <f>IF(Table13[[#This Row],[value Type]]="","",Table13[[#This Row],[DataWidth]])</f>
        <v>1</v>
      </c>
      <c r="AK849" s="68">
        <f>IF(Table13[[#This Row],[value Type]]="","", Table13[[#This Row],[DataOffset]])</f>
        <v>3</v>
      </c>
      <c r="AL849" s="24"/>
      <c r="AM849" s="24" t="str">
        <f>IF(Table13[[#This Row],[value Type]]="","", "0x"&amp;DEC2HEX(Table13[[#This Row],[ADDR_Offset]],8) )</f>
        <v>0x00000288</v>
      </c>
    </row>
    <row r="850" spans="2:39" s="6" customFormat="1" x14ac:dyDescent="0.3">
      <c r="B850" s="14">
        <v>0</v>
      </c>
      <c r="C850" s="14" t="s">
        <v>82</v>
      </c>
      <c r="D850" s="14" t="s">
        <v>388</v>
      </c>
      <c r="E850" s="24" t="s">
        <v>278</v>
      </c>
      <c r="F850" s="24">
        <v>4</v>
      </c>
      <c r="G850" s="14" t="s">
        <v>479</v>
      </c>
      <c r="H850" s="15" t="s">
        <v>358</v>
      </c>
      <c r="I850" s="29" t="s">
        <v>697</v>
      </c>
      <c r="J850" s="15" t="s">
        <v>747</v>
      </c>
      <c r="K850" s="15" t="s">
        <v>52</v>
      </c>
      <c r="L850" s="14">
        <v>1</v>
      </c>
      <c r="M850" s="35">
        <v>4</v>
      </c>
      <c r="N850" s="15" t="s">
        <v>463</v>
      </c>
      <c r="O850" s="25" t="s">
        <v>402</v>
      </c>
      <c r="P850" s="25">
        <v>1</v>
      </c>
      <c r="Q850" s="26" t="s">
        <v>445</v>
      </c>
      <c r="R850" s="27" t="s">
        <v>410</v>
      </c>
      <c r="S850" s="27" t="s">
        <v>405</v>
      </c>
      <c r="T850" s="27">
        <v>0</v>
      </c>
      <c r="U850" s="28"/>
      <c r="V850" s="14"/>
      <c r="W850" s="14"/>
      <c r="X850" s="30" t="str">
        <f>IF(Table13[[#This Row],[value Type]]="","",VLOOKUP(Table13[[#This Row],[value Type]],Table2915[],2,FALSE))</f>
        <v>longin</v>
      </c>
      <c r="Y850" s="30" t="str">
        <f>IF(Table13[[#This Row],[value Type]]="","",VLOOKUP(Table13[[#This Row],[value Type]],Table2915[],3,FALSE))</f>
        <v>asynParamInt32</v>
      </c>
      <c r="Z850" s="64" t="str">
        <f>IF(Table13[[#This Row],[value Type]]="","",VLOOKUP(Table13[[#This Row],[value Type]],Table2915[],4,FALSE))</f>
        <v>"asynInt32"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 xml:space="preserve"> 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648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0</v>
      </c>
      <c r="AJ850" s="68">
        <f>IF(Table13[[#This Row],[value Type]]="","",Table13[[#This Row],[DataWidth]])</f>
        <v>1</v>
      </c>
      <c r="AK850" s="68">
        <f>IF(Table13[[#This Row],[value Type]]="","", Table13[[#This Row],[DataOffset]])</f>
        <v>4</v>
      </c>
      <c r="AL850" s="24"/>
      <c r="AM850" s="24" t="str">
        <f>IF(Table13[[#This Row],[value Type]]="","", "0x"&amp;DEC2HEX(Table13[[#This Row],[ADDR_Offset]],8) )</f>
        <v>0x00000288</v>
      </c>
    </row>
    <row r="851" spans="2:39" s="6" customFormat="1" x14ac:dyDescent="0.3">
      <c r="B851" s="14">
        <v>0</v>
      </c>
      <c r="C851" s="14" t="s">
        <v>82</v>
      </c>
      <c r="D851" s="14" t="s">
        <v>388</v>
      </c>
      <c r="E851" s="24" t="s">
        <v>278</v>
      </c>
      <c r="F851" s="24">
        <v>4</v>
      </c>
      <c r="G851" s="14" t="s">
        <v>479</v>
      </c>
      <c r="H851" s="15" t="s">
        <v>359</v>
      </c>
      <c r="I851" s="29" t="s">
        <v>697</v>
      </c>
      <c r="J851" s="15" t="s">
        <v>747</v>
      </c>
      <c r="K851" s="15" t="s">
        <v>52</v>
      </c>
      <c r="L851" s="14">
        <v>1</v>
      </c>
      <c r="M851" s="35">
        <v>5</v>
      </c>
      <c r="N851" s="15" t="s">
        <v>400</v>
      </c>
      <c r="O851" s="25" t="s">
        <v>402</v>
      </c>
      <c r="P851" s="25">
        <v>1</v>
      </c>
      <c r="Q851" s="26" t="s">
        <v>445</v>
      </c>
      <c r="R851" s="27" t="s">
        <v>410</v>
      </c>
      <c r="S851" s="27" t="s">
        <v>405</v>
      </c>
      <c r="T851" s="27">
        <v>0</v>
      </c>
      <c r="U851" s="28"/>
      <c r="V851" s="14"/>
      <c r="W851" s="14"/>
      <c r="X851" s="30" t="str">
        <f>IF(Table13[[#This Row],[value Type]]="","",VLOOKUP(Table13[[#This Row],[value Type]],Table2915[],2,FALSE))</f>
        <v>longin</v>
      </c>
      <c r="Y851" s="30" t="str">
        <f>IF(Table13[[#This Row],[value Type]]="","",VLOOKUP(Table13[[#This Row],[value Type]],Table2915[],3,FALSE))</f>
        <v>asynParamInt32</v>
      </c>
      <c r="Z851" s="64" t="str">
        <f>IF(Table13[[#This Row],[value Type]]="","",VLOOKUP(Table13[[#This Row],[value Type]],Table2915[],4,FALSE))</f>
        <v>"asynInt32"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 xml:space="preserve"> 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648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0</v>
      </c>
      <c r="AJ851" s="68">
        <f>IF(Table13[[#This Row],[value Type]]="","",Table13[[#This Row],[DataWidth]])</f>
        <v>1</v>
      </c>
      <c r="AK851" s="68">
        <f>IF(Table13[[#This Row],[value Type]]="","", Table13[[#This Row],[DataOffset]])</f>
        <v>5</v>
      </c>
      <c r="AL851" s="24"/>
      <c r="AM851" s="24" t="str">
        <f>IF(Table13[[#This Row],[value Type]]="","", "0x"&amp;DEC2HEX(Table13[[#This Row],[ADDR_Offset]],8) )</f>
        <v>0x00000288</v>
      </c>
    </row>
    <row r="852" spans="2:39" s="6" customFormat="1" x14ac:dyDescent="0.3">
      <c r="B852" s="14">
        <v>0</v>
      </c>
      <c r="C852" s="14" t="s">
        <v>82</v>
      </c>
      <c r="D852" s="14" t="s">
        <v>388</v>
      </c>
      <c r="E852" s="24" t="s">
        <v>278</v>
      </c>
      <c r="F852" s="24">
        <v>4</v>
      </c>
      <c r="G852" s="14" t="s">
        <v>479</v>
      </c>
      <c r="H852" s="15" t="s">
        <v>360</v>
      </c>
      <c r="I852" s="29" t="s">
        <v>697</v>
      </c>
      <c r="J852" s="15" t="s">
        <v>747</v>
      </c>
      <c r="K852" s="15" t="s">
        <v>52</v>
      </c>
      <c r="L852" s="14">
        <v>1</v>
      </c>
      <c r="M852" s="35">
        <v>6</v>
      </c>
      <c r="N852" s="15" t="s">
        <v>400</v>
      </c>
      <c r="O852" s="25" t="s">
        <v>402</v>
      </c>
      <c r="P852" s="25">
        <v>1</v>
      </c>
      <c r="Q852" s="26" t="s">
        <v>445</v>
      </c>
      <c r="R852" s="27" t="s">
        <v>410</v>
      </c>
      <c r="S852" s="27" t="s">
        <v>405</v>
      </c>
      <c r="T852" s="27">
        <v>0</v>
      </c>
      <c r="U852" s="28"/>
      <c r="V852" s="14"/>
      <c r="W852" s="14"/>
      <c r="X852" s="30" t="str">
        <f>IF(Table13[[#This Row],[value Type]]="","",VLOOKUP(Table13[[#This Row],[value Type]],Table2915[],2,FALSE))</f>
        <v>longin</v>
      </c>
      <c r="Y852" s="30" t="str">
        <f>IF(Table13[[#This Row],[value Type]]="","",VLOOKUP(Table13[[#This Row],[value Type]],Table2915[],3,FALSE))</f>
        <v>asynParamInt32</v>
      </c>
      <c r="Z852" s="64" t="str">
        <f>IF(Table13[[#This Row],[value Type]]="","",VLOOKUP(Table13[[#This Row],[value Type]],Table2915[],4,FALSE))</f>
        <v>"asynInt32"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 xml:space="preserve"> 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648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0</v>
      </c>
      <c r="AJ852" s="68">
        <f>IF(Table13[[#This Row],[value Type]]="","",Table13[[#This Row],[DataWidth]])</f>
        <v>1</v>
      </c>
      <c r="AK852" s="68">
        <f>IF(Table13[[#This Row],[value Type]]="","", Table13[[#This Row],[DataOffset]])</f>
        <v>6</v>
      </c>
      <c r="AL852" s="24"/>
      <c r="AM852" s="24" t="str">
        <f>IF(Table13[[#This Row],[value Type]]="","", "0x"&amp;DEC2HEX(Table13[[#This Row],[ADDR_Offset]],8) )</f>
        <v>0x00000288</v>
      </c>
    </row>
    <row r="853" spans="2:39" s="6" customFormat="1" x14ac:dyDescent="0.3">
      <c r="B853" s="14">
        <v>0</v>
      </c>
      <c r="C853" s="14" t="s">
        <v>82</v>
      </c>
      <c r="D853" s="14" t="s">
        <v>388</v>
      </c>
      <c r="E853" s="24" t="s">
        <v>278</v>
      </c>
      <c r="F853" s="24">
        <v>4</v>
      </c>
      <c r="G853" s="14" t="s">
        <v>479</v>
      </c>
      <c r="H853" s="15" t="s">
        <v>361</v>
      </c>
      <c r="I853" s="29" t="s">
        <v>697</v>
      </c>
      <c r="J853" s="15" t="s">
        <v>747</v>
      </c>
      <c r="K853" s="15" t="s">
        <v>52</v>
      </c>
      <c r="L853" s="14">
        <v>1</v>
      </c>
      <c r="M853" s="35">
        <v>7</v>
      </c>
      <c r="N853" s="15" t="s">
        <v>400</v>
      </c>
      <c r="O853" s="25" t="s">
        <v>402</v>
      </c>
      <c r="P853" s="25">
        <v>1</v>
      </c>
      <c r="Q853" s="26" t="s">
        <v>445</v>
      </c>
      <c r="R853" s="27" t="s">
        <v>410</v>
      </c>
      <c r="S853" s="27" t="s">
        <v>405</v>
      </c>
      <c r="T853" s="27">
        <v>0</v>
      </c>
      <c r="U853" s="28"/>
      <c r="V853" s="14"/>
      <c r="W853" s="14"/>
      <c r="X853" s="30" t="str">
        <f>IF(Table13[[#This Row],[value Type]]="","",VLOOKUP(Table13[[#This Row],[value Type]],Table2915[],2,FALSE))</f>
        <v>longin</v>
      </c>
      <c r="Y853" s="30" t="str">
        <f>IF(Table13[[#This Row],[value Type]]="","",VLOOKUP(Table13[[#This Row],[value Type]],Table2915[],3,FALSE))</f>
        <v>asynParamInt32</v>
      </c>
      <c r="Z853" s="64" t="str">
        <f>IF(Table13[[#This Row],[value Type]]="","",VLOOKUP(Table13[[#This Row],[value Type]],Table2915[],4,FALSE))</f>
        <v>"asynInt32"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 xml:space="preserve"> 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648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0</v>
      </c>
      <c r="AJ853" s="68">
        <f>IF(Table13[[#This Row],[value Type]]="","",Table13[[#This Row],[DataWidth]])</f>
        <v>1</v>
      </c>
      <c r="AK853" s="68">
        <f>IF(Table13[[#This Row],[value Type]]="","", Table13[[#This Row],[DataOffset]])</f>
        <v>7</v>
      </c>
      <c r="AL853" s="24"/>
      <c r="AM853" s="24" t="str">
        <f>IF(Table13[[#This Row],[value Type]]="","", "0x"&amp;DEC2HEX(Table13[[#This Row],[ADDR_Offset]],8) )</f>
        <v>0x00000288</v>
      </c>
    </row>
    <row r="854" spans="2:39" s="6" customFormat="1" x14ac:dyDescent="0.3">
      <c r="B854" s="14">
        <v>0</v>
      </c>
      <c r="C854" s="14" t="s">
        <v>82</v>
      </c>
      <c r="D854" s="14" t="s">
        <v>388</v>
      </c>
      <c r="E854" s="24" t="s">
        <v>278</v>
      </c>
      <c r="F854" s="24">
        <v>4</v>
      </c>
      <c r="G854" s="14" t="s">
        <v>479</v>
      </c>
      <c r="H854" s="15" t="s">
        <v>362</v>
      </c>
      <c r="I854" s="29" t="s">
        <v>698</v>
      </c>
      <c r="J854" s="15" t="s">
        <v>747</v>
      </c>
      <c r="K854" s="15" t="s">
        <v>52</v>
      </c>
      <c r="L854" s="14">
        <v>1</v>
      </c>
      <c r="M854" s="35">
        <v>0</v>
      </c>
      <c r="N854" s="15" t="s">
        <v>400</v>
      </c>
      <c r="O854" s="25" t="s">
        <v>402</v>
      </c>
      <c r="P854" s="25">
        <v>1</v>
      </c>
      <c r="Q854" s="26" t="s">
        <v>445</v>
      </c>
      <c r="R854" s="27" t="s">
        <v>410</v>
      </c>
      <c r="S854" s="27" t="s">
        <v>405</v>
      </c>
      <c r="T854" s="27">
        <v>0</v>
      </c>
      <c r="U854" s="28"/>
      <c r="V854" s="14"/>
      <c r="W854" s="14"/>
      <c r="X854" s="30" t="str">
        <f>IF(Table13[[#This Row],[value Type]]="","",VLOOKUP(Table13[[#This Row],[value Type]],Table2915[],2,FALSE))</f>
        <v>longin</v>
      </c>
      <c r="Y854" s="30" t="str">
        <f>IF(Table13[[#This Row],[value Type]]="","",VLOOKUP(Table13[[#This Row],[value Type]],Table2915[],3,FALSE))</f>
        <v>asynParamInt32</v>
      </c>
      <c r="Z854" s="64" t="str">
        <f>IF(Table13[[#This Row],[value Type]]="","",VLOOKUP(Table13[[#This Row],[value Type]],Table2915[],4,FALSE))</f>
        <v>"asynInt32"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 xml:space="preserve"> 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652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0</v>
      </c>
      <c r="AJ854" s="68">
        <f>IF(Table13[[#This Row],[value Type]]="","",Table13[[#This Row],[DataWidth]])</f>
        <v>1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0x0000028C</v>
      </c>
    </row>
    <row r="855" spans="2:39" s="6" customFormat="1" x14ac:dyDescent="0.3">
      <c r="B855" s="14">
        <v>0</v>
      </c>
      <c r="C855" s="14" t="s">
        <v>82</v>
      </c>
      <c r="D855" s="14" t="s">
        <v>388</v>
      </c>
      <c r="E855" s="24" t="s">
        <v>278</v>
      </c>
      <c r="F855" s="24">
        <v>4</v>
      </c>
      <c r="G855" s="14" t="s">
        <v>479</v>
      </c>
      <c r="H855" s="15" t="s">
        <v>363</v>
      </c>
      <c r="I855" s="29" t="s">
        <v>698</v>
      </c>
      <c r="J855" s="15" t="s">
        <v>747</v>
      </c>
      <c r="K855" s="15" t="s">
        <v>52</v>
      </c>
      <c r="L855" s="14">
        <v>1</v>
      </c>
      <c r="M855" s="35">
        <v>1</v>
      </c>
      <c r="N855" s="15" t="s">
        <v>400</v>
      </c>
      <c r="O855" s="25" t="s">
        <v>402</v>
      </c>
      <c r="P855" s="25">
        <v>1</v>
      </c>
      <c r="Q855" s="26" t="s">
        <v>445</v>
      </c>
      <c r="R855" s="27" t="s">
        <v>410</v>
      </c>
      <c r="S855" s="27" t="s">
        <v>405</v>
      </c>
      <c r="T855" s="27">
        <v>0</v>
      </c>
      <c r="U855" s="28"/>
      <c r="V855" s="14"/>
      <c r="W855" s="14"/>
      <c r="X855" s="30" t="str">
        <f>IF(Table13[[#This Row],[value Type]]="","",VLOOKUP(Table13[[#This Row],[value Type]],Table2915[],2,FALSE))</f>
        <v>longin</v>
      </c>
      <c r="Y855" s="30" t="str">
        <f>IF(Table13[[#This Row],[value Type]]="","",VLOOKUP(Table13[[#This Row],[value Type]],Table2915[],3,FALSE))</f>
        <v>asynParamInt32</v>
      </c>
      <c r="Z855" s="64" t="str">
        <f>IF(Table13[[#This Row],[value Type]]="","",VLOOKUP(Table13[[#This Row],[value Type]],Table2915[],4,FALSE))</f>
        <v>"asynInt32"</v>
      </c>
      <c r="AA855" s="64" t="str">
        <f>IF(Table13[[#This Row],[value Type]]="","",    IF(Table13[[#This Row],[IP MAX]]="","","@"  )     )</f>
        <v>@</v>
      </c>
      <c r="AB855" s="79" t="str">
        <f>IF(Table13[[#This Row],[value Type]]="","",VLOOKUP(Table13[[#This Row],[value Type]],Table2915[],5,FALSE))</f>
        <v xml:space="preserve"> </v>
      </c>
      <c r="AC8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855" s="79">
        <f>IF(Table13[[#This Row],[value Type]]="","",VLOOKUP(Table13[[#This Row],[IP]],Table51117[],2,FALSE))</f>
        <v>6</v>
      </c>
      <c r="AE855" s="79" t="str">
        <f>IF(Table13[[#This Row],[value Type]]="","",    IF(Table13[[#This Row],[IP MAX]]="","0","@"  )     )</f>
        <v>@</v>
      </c>
      <c r="AF855" s="68">
        <f>IF(Table13[[#This Row],[value Type]]="","",VLOOKUP(Table13[[#This Row],[Acc Type]],Table2[],2,FALSE))</f>
        <v>0</v>
      </c>
      <c r="AG855" s="75">
        <f>IF(Table13[[#This Row],[value Type]]="","",4*HEX2DEC(Table13[[#This Row],[Addr'[HEX']]]))</f>
        <v>652</v>
      </c>
      <c r="AH855" s="75">
        <f>IF(Table13[[#This Row],[value Type]]="","",VLOOKUP(Table13[[#This Row],[AddrTypeI]],Table22[],2,FALSE))</f>
        <v>0</v>
      </c>
      <c r="AI855" s="68">
        <f>IF(Table13[[#This Row],[value Type]]="","",VLOOKUP(Table13[[#This Row],[DataType]],Table351218[],2,FALSE))</f>
        <v>0</v>
      </c>
      <c r="AJ855" s="68">
        <f>IF(Table13[[#This Row],[value Type]]="","",Table13[[#This Row],[DataWidth]])</f>
        <v>1</v>
      </c>
      <c r="AK855" s="68">
        <f>IF(Table13[[#This Row],[value Type]]="","", Table13[[#This Row],[DataOffset]])</f>
        <v>1</v>
      </c>
      <c r="AL855" s="24"/>
      <c r="AM855" s="24" t="str">
        <f>IF(Table13[[#This Row],[value Type]]="","", "0x"&amp;DEC2HEX(Table13[[#This Row],[ADDR_Offset]],8) )</f>
        <v>0x0000028C</v>
      </c>
    </row>
    <row r="856" spans="2:39" s="6" customFormat="1" x14ac:dyDescent="0.3">
      <c r="B856" s="14">
        <v>0</v>
      </c>
      <c r="C856" s="14" t="s">
        <v>82</v>
      </c>
      <c r="D856" s="14" t="s">
        <v>388</v>
      </c>
      <c r="E856" s="24" t="s">
        <v>278</v>
      </c>
      <c r="F856" s="24">
        <v>4</v>
      </c>
      <c r="G856" s="14" t="s">
        <v>479</v>
      </c>
      <c r="H856" s="15" t="s">
        <v>364</v>
      </c>
      <c r="I856" s="29" t="s">
        <v>698</v>
      </c>
      <c r="J856" s="15" t="s">
        <v>747</v>
      </c>
      <c r="K856" s="15" t="s">
        <v>52</v>
      </c>
      <c r="L856" s="14">
        <v>1</v>
      </c>
      <c r="M856" s="35">
        <v>2</v>
      </c>
      <c r="N856" s="15" t="s">
        <v>400</v>
      </c>
      <c r="O856" s="25" t="s">
        <v>402</v>
      </c>
      <c r="P856" s="25">
        <v>1</v>
      </c>
      <c r="Q856" s="26" t="s">
        <v>445</v>
      </c>
      <c r="R856" s="27" t="s">
        <v>410</v>
      </c>
      <c r="S856" s="27" t="s">
        <v>405</v>
      </c>
      <c r="T856" s="27">
        <v>0</v>
      </c>
      <c r="U856" s="28"/>
      <c r="V856" s="14"/>
      <c r="W856" s="14"/>
      <c r="X856" s="30" t="str">
        <f>IF(Table13[[#This Row],[value Type]]="","",VLOOKUP(Table13[[#This Row],[value Type]],Table2915[],2,FALSE))</f>
        <v>longin</v>
      </c>
      <c r="Y856" s="30" t="str">
        <f>IF(Table13[[#This Row],[value Type]]="","",VLOOKUP(Table13[[#This Row],[value Type]],Table2915[],3,FALSE))</f>
        <v>asynParamInt32</v>
      </c>
      <c r="Z856" s="64" t="str">
        <f>IF(Table13[[#This Row],[value Type]]="","",VLOOKUP(Table13[[#This Row],[value Type]],Table2915[],4,FALSE))</f>
        <v>"asynInt32"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 xml:space="preserve"> 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652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0</v>
      </c>
      <c r="AJ856" s="68">
        <f>IF(Table13[[#This Row],[value Type]]="","",Table13[[#This Row],[DataWidth]])</f>
        <v>1</v>
      </c>
      <c r="AK856" s="68">
        <f>IF(Table13[[#This Row],[value Type]]="","", Table13[[#This Row],[DataOffset]])</f>
        <v>2</v>
      </c>
      <c r="AL856" s="24"/>
      <c r="AM856" s="24" t="str">
        <f>IF(Table13[[#This Row],[value Type]]="","", "0x"&amp;DEC2HEX(Table13[[#This Row],[ADDR_Offset]],8) )</f>
        <v>0x0000028C</v>
      </c>
    </row>
    <row r="857" spans="2:39" x14ac:dyDescent="0.3">
      <c r="B857" s="14">
        <v>0</v>
      </c>
      <c r="C857" s="14" t="s">
        <v>82</v>
      </c>
      <c r="D857" s="14" t="s">
        <v>388</v>
      </c>
      <c r="E857" s="24" t="s">
        <v>278</v>
      </c>
      <c r="F857" s="24">
        <v>4</v>
      </c>
      <c r="G857" s="14" t="s">
        <v>479</v>
      </c>
      <c r="H857" s="15" t="s">
        <v>365</v>
      </c>
      <c r="I857" s="29" t="s">
        <v>698</v>
      </c>
      <c r="J857" s="15" t="s">
        <v>747</v>
      </c>
      <c r="K857" s="15" t="s">
        <v>52</v>
      </c>
      <c r="L857" s="14">
        <v>1</v>
      </c>
      <c r="M857" s="35">
        <v>3</v>
      </c>
      <c r="N857" s="15" t="s">
        <v>400</v>
      </c>
      <c r="O857" s="25" t="s">
        <v>402</v>
      </c>
      <c r="P857" s="25">
        <v>1</v>
      </c>
      <c r="Q857" s="26" t="s">
        <v>445</v>
      </c>
      <c r="R857" s="27" t="s">
        <v>410</v>
      </c>
      <c r="S857" s="27" t="s">
        <v>405</v>
      </c>
      <c r="T857" s="27">
        <v>0</v>
      </c>
      <c r="U857" s="28"/>
      <c r="V857" s="14"/>
      <c r="W857" s="14"/>
      <c r="X857" s="30" t="str">
        <f>IF(Table13[[#This Row],[value Type]]="","",VLOOKUP(Table13[[#This Row],[value Type]],Table2915[],2,FALSE))</f>
        <v>longin</v>
      </c>
      <c r="Y857" s="30" t="str">
        <f>IF(Table13[[#This Row],[value Type]]="","",VLOOKUP(Table13[[#This Row],[value Type]],Table2915[],3,FALSE))</f>
        <v>asynParamInt32</v>
      </c>
      <c r="Z857" s="64" t="str">
        <f>IF(Table13[[#This Row],[value Type]]="","",VLOOKUP(Table13[[#This Row],[value Type]],Table2915[],4,FALSE))</f>
        <v>"asynInt32"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 xml:space="preserve"> 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652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0</v>
      </c>
      <c r="AJ857" s="68">
        <f>IF(Table13[[#This Row],[value Type]]="","",Table13[[#This Row],[DataWidth]])</f>
        <v>1</v>
      </c>
      <c r="AK857" s="68">
        <f>IF(Table13[[#This Row],[value Type]]="","", Table13[[#This Row],[DataOffset]])</f>
        <v>3</v>
      </c>
      <c r="AL857" s="24"/>
      <c r="AM857" s="24" t="str">
        <f>IF(Table13[[#This Row],[value Type]]="","", "0x"&amp;DEC2HEX(Table13[[#This Row],[ADDR_Offset]],8) )</f>
        <v>0x0000028C</v>
      </c>
    </row>
    <row r="858" spans="2:39" x14ac:dyDescent="0.3">
      <c r="B858" s="14">
        <v>0</v>
      </c>
      <c r="C858" s="14" t="s">
        <v>82</v>
      </c>
      <c r="D858" s="14" t="s">
        <v>388</v>
      </c>
      <c r="E858" s="24" t="s">
        <v>278</v>
      </c>
      <c r="F858" s="24">
        <v>4</v>
      </c>
      <c r="G858" s="14" t="s">
        <v>479</v>
      </c>
      <c r="H858" s="15" t="s">
        <v>366</v>
      </c>
      <c r="I858" s="29" t="s">
        <v>698</v>
      </c>
      <c r="J858" s="15" t="s">
        <v>747</v>
      </c>
      <c r="K858" s="15" t="s">
        <v>52</v>
      </c>
      <c r="L858" s="14">
        <v>1</v>
      </c>
      <c r="M858" s="35">
        <v>4</v>
      </c>
      <c r="N858" s="15" t="s">
        <v>400</v>
      </c>
      <c r="O858" s="25" t="s">
        <v>402</v>
      </c>
      <c r="P858" s="25">
        <v>1</v>
      </c>
      <c r="Q858" s="26" t="s">
        <v>445</v>
      </c>
      <c r="R858" s="27" t="s">
        <v>410</v>
      </c>
      <c r="S858" s="27" t="s">
        <v>405</v>
      </c>
      <c r="T858" s="27">
        <v>0</v>
      </c>
      <c r="U858" s="28"/>
      <c r="V858" s="14"/>
      <c r="W858" s="14"/>
      <c r="X858" s="30" t="str">
        <f>IF(Table13[[#This Row],[value Type]]="","",VLOOKUP(Table13[[#This Row],[value Type]],Table2915[],2,FALSE))</f>
        <v>longin</v>
      </c>
      <c r="Y858" s="30" t="str">
        <f>IF(Table13[[#This Row],[value Type]]="","",VLOOKUP(Table13[[#This Row],[value Type]],Table2915[],3,FALSE))</f>
        <v>asynParamInt32</v>
      </c>
      <c r="Z858" s="64" t="str">
        <f>IF(Table13[[#This Row],[value Type]]="","",VLOOKUP(Table13[[#This Row],[value Type]],Table2915[],4,FALSE))</f>
        <v>"asynInt32"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 xml:space="preserve"> 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652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0</v>
      </c>
      <c r="AJ858" s="68">
        <f>IF(Table13[[#This Row],[value Type]]="","",Table13[[#This Row],[DataWidth]])</f>
        <v>1</v>
      </c>
      <c r="AK858" s="68">
        <f>IF(Table13[[#This Row],[value Type]]="","", Table13[[#This Row],[DataOffset]])</f>
        <v>4</v>
      </c>
      <c r="AL858" s="24"/>
      <c r="AM858" s="24" t="str">
        <f>IF(Table13[[#This Row],[value Type]]="","", "0x"&amp;DEC2HEX(Table13[[#This Row],[ADDR_Offset]],8) )</f>
        <v>0x0000028C</v>
      </c>
    </row>
    <row r="859" spans="2:39" x14ac:dyDescent="0.3">
      <c r="B859" s="14">
        <v>0</v>
      </c>
      <c r="C859" s="14" t="s">
        <v>82</v>
      </c>
      <c r="D859" s="14" t="s">
        <v>388</v>
      </c>
      <c r="E859" s="24" t="s">
        <v>278</v>
      </c>
      <c r="F859" s="24">
        <v>4</v>
      </c>
      <c r="G859" s="14" t="s">
        <v>480</v>
      </c>
      <c r="H859" s="15" t="s">
        <v>367</v>
      </c>
      <c r="I859" s="29" t="s">
        <v>698</v>
      </c>
      <c r="J859" s="15" t="s">
        <v>747</v>
      </c>
      <c r="K859" s="15" t="s">
        <v>52</v>
      </c>
      <c r="L859" s="14">
        <v>1</v>
      </c>
      <c r="M859" s="35">
        <v>5</v>
      </c>
      <c r="N859" s="15" t="s">
        <v>400</v>
      </c>
      <c r="O859" s="25" t="s">
        <v>402</v>
      </c>
      <c r="P859" s="25">
        <v>1</v>
      </c>
      <c r="Q859" s="26" t="s">
        <v>445</v>
      </c>
      <c r="R859" s="27" t="s">
        <v>410</v>
      </c>
      <c r="S859" s="27" t="s">
        <v>405</v>
      </c>
      <c r="T859" s="27">
        <v>0</v>
      </c>
      <c r="U859" s="28"/>
      <c r="V859" s="14"/>
      <c r="W859" s="14"/>
      <c r="X859" s="30" t="str">
        <f>IF(Table13[[#This Row],[value Type]]="","",VLOOKUP(Table13[[#This Row],[value Type]],Table2915[],2,FALSE))</f>
        <v>longin</v>
      </c>
      <c r="Y859" s="30" t="str">
        <f>IF(Table13[[#This Row],[value Type]]="","",VLOOKUP(Table13[[#This Row],[value Type]],Table2915[],3,FALSE))</f>
        <v>asynParamInt32</v>
      </c>
      <c r="Z859" s="64" t="str">
        <f>IF(Table13[[#This Row],[value Type]]="","",VLOOKUP(Table13[[#This Row],[value Type]],Table2915[],4,FALSE))</f>
        <v>"asynInt32"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 xml:space="preserve"> 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652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0</v>
      </c>
      <c r="AJ859" s="68">
        <f>IF(Table13[[#This Row],[value Type]]="","",Table13[[#This Row],[DataWidth]])</f>
        <v>1</v>
      </c>
      <c r="AK859" s="68">
        <f>IF(Table13[[#This Row],[value Type]]="","", Table13[[#This Row],[DataOffset]])</f>
        <v>5</v>
      </c>
      <c r="AL859" s="24"/>
      <c r="AM859" s="24" t="str">
        <f>IF(Table13[[#This Row],[value Type]]="","", "0x"&amp;DEC2HEX(Table13[[#This Row],[ADDR_Offset]],8) )</f>
        <v>0x0000028C</v>
      </c>
    </row>
    <row r="860" spans="2:39" x14ac:dyDescent="0.3">
      <c r="B860" s="14">
        <v>0</v>
      </c>
      <c r="C860" s="14" t="s">
        <v>82</v>
      </c>
      <c r="D860" s="14" t="s">
        <v>388</v>
      </c>
      <c r="E860" s="24" t="s">
        <v>278</v>
      </c>
      <c r="F860" s="24">
        <v>4</v>
      </c>
      <c r="G860" s="14" t="s">
        <v>479</v>
      </c>
      <c r="H860" s="15" t="s">
        <v>368</v>
      </c>
      <c r="I860" s="29" t="s">
        <v>698</v>
      </c>
      <c r="J860" s="15" t="s">
        <v>747</v>
      </c>
      <c r="K860" s="15" t="s">
        <v>52</v>
      </c>
      <c r="L860" s="14">
        <v>1</v>
      </c>
      <c r="M860" s="35">
        <v>6</v>
      </c>
      <c r="N860" s="15" t="s">
        <v>400</v>
      </c>
      <c r="O860" s="25" t="s">
        <v>402</v>
      </c>
      <c r="P860" s="25">
        <v>1</v>
      </c>
      <c r="Q860" s="26" t="s">
        <v>445</v>
      </c>
      <c r="R860" s="27" t="s">
        <v>410</v>
      </c>
      <c r="S860" s="27" t="s">
        <v>405</v>
      </c>
      <c r="T860" s="27">
        <v>0</v>
      </c>
      <c r="U860" s="28"/>
      <c r="V860" s="14"/>
      <c r="W860" s="14"/>
      <c r="X860" s="30" t="str">
        <f>IF(Table13[[#This Row],[value Type]]="","",VLOOKUP(Table13[[#This Row],[value Type]],Table2915[],2,FALSE))</f>
        <v>longin</v>
      </c>
      <c r="Y860" s="30" t="str">
        <f>IF(Table13[[#This Row],[value Type]]="","",VLOOKUP(Table13[[#This Row],[value Type]],Table2915[],3,FALSE))</f>
        <v>asynParamInt32</v>
      </c>
      <c r="Z860" s="64" t="str">
        <f>IF(Table13[[#This Row],[value Type]]="","",VLOOKUP(Table13[[#This Row],[value Type]],Table2915[],4,FALSE))</f>
        <v>"asynInt32"</v>
      </c>
      <c r="AA860" s="64" t="str">
        <f>IF(Table13[[#This Row],[value Type]]="","",    IF(Table13[[#This Row],[IP MAX]]="","","@"  )     )</f>
        <v>@</v>
      </c>
      <c r="AB860" s="79" t="str">
        <f>IF(Table13[[#This Row],[value Type]]="","",VLOOKUP(Table13[[#This Row],[value Type]],Table2915[],5,FALSE))</f>
        <v xml:space="preserve"> </v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860" s="79">
        <f>IF(Table13[[#This Row],[value Type]]="","",VLOOKUP(Table13[[#This Row],[IP]],Table51117[],2,FALSE))</f>
        <v>6</v>
      </c>
      <c r="AE860" s="79" t="str">
        <f>IF(Table13[[#This Row],[value Type]]="","",    IF(Table13[[#This Row],[IP MAX]]="","0","@"  )     )</f>
        <v>@</v>
      </c>
      <c r="AF860" s="68">
        <f>IF(Table13[[#This Row],[value Type]]="","",VLOOKUP(Table13[[#This Row],[Acc Type]],Table2[],2,FALSE))</f>
        <v>0</v>
      </c>
      <c r="AG860" s="75">
        <f>IF(Table13[[#This Row],[value Type]]="","",4*HEX2DEC(Table13[[#This Row],[Addr'[HEX']]]))</f>
        <v>652</v>
      </c>
      <c r="AH860" s="75">
        <f>IF(Table13[[#This Row],[value Type]]="","",VLOOKUP(Table13[[#This Row],[AddrTypeI]],Table22[],2,FALSE))</f>
        <v>0</v>
      </c>
      <c r="AI860" s="68">
        <f>IF(Table13[[#This Row],[value Type]]="","",VLOOKUP(Table13[[#This Row],[DataType]],Table351218[],2,FALSE))</f>
        <v>0</v>
      </c>
      <c r="AJ860" s="68">
        <f>IF(Table13[[#This Row],[value Type]]="","",Table13[[#This Row],[DataWidth]])</f>
        <v>1</v>
      </c>
      <c r="AK860" s="68">
        <f>IF(Table13[[#This Row],[value Type]]="","", Table13[[#This Row],[DataOffset]])</f>
        <v>6</v>
      </c>
      <c r="AL860" s="24"/>
      <c r="AM860" s="24" t="str">
        <f>IF(Table13[[#This Row],[value Type]]="","", "0x"&amp;DEC2HEX(Table13[[#This Row],[ADDR_Offset]],8) )</f>
        <v>0x0000028C</v>
      </c>
    </row>
    <row r="861" spans="2:39" x14ac:dyDescent="0.3">
      <c r="B861" s="14">
        <v>0</v>
      </c>
      <c r="C861" s="14" t="s">
        <v>82</v>
      </c>
      <c r="D861" s="14" t="s">
        <v>388</v>
      </c>
      <c r="E861" s="24" t="s">
        <v>278</v>
      </c>
      <c r="F861" s="24">
        <v>4</v>
      </c>
      <c r="G861" s="14" t="s">
        <v>479</v>
      </c>
      <c r="H861" s="15" t="s">
        <v>369</v>
      </c>
      <c r="I861" s="29" t="s">
        <v>698</v>
      </c>
      <c r="J861" s="15" t="s">
        <v>747</v>
      </c>
      <c r="K861" s="15" t="s">
        <v>52</v>
      </c>
      <c r="L861" s="14">
        <v>1</v>
      </c>
      <c r="M861" s="35">
        <v>7</v>
      </c>
      <c r="N861" s="15" t="s">
        <v>400</v>
      </c>
      <c r="O861" s="25" t="s">
        <v>402</v>
      </c>
      <c r="P861" s="25">
        <v>1</v>
      </c>
      <c r="Q861" s="26" t="s">
        <v>445</v>
      </c>
      <c r="R861" s="27" t="s">
        <v>410</v>
      </c>
      <c r="S861" s="27" t="s">
        <v>405</v>
      </c>
      <c r="T861" s="27">
        <v>0</v>
      </c>
      <c r="U861" s="28"/>
      <c r="V861" s="14"/>
      <c r="W861" s="14"/>
      <c r="X861" s="30" t="str">
        <f>IF(Table13[[#This Row],[value Type]]="","",VLOOKUP(Table13[[#This Row],[value Type]],Table2915[],2,FALSE))</f>
        <v>longin</v>
      </c>
      <c r="Y861" s="30" t="str">
        <f>IF(Table13[[#This Row],[value Type]]="","",VLOOKUP(Table13[[#This Row],[value Type]],Table2915[],3,FALSE))</f>
        <v>asynParamInt32</v>
      </c>
      <c r="Z861" s="64" t="str">
        <f>IF(Table13[[#This Row],[value Type]]="","",VLOOKUP(Table13[[#This Row],[value Type]],Table2915[],4,FALSE))</f>
        <v>"asynInt32"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 xml:space="preserve"> 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652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0</v>
      </c>
      <c r="AJ861" s="68">
        <f>IF(Table13[[#This Row],[value Type]]="","",Table13[[#This Row],[DataWidth]])</f>
        <v>1</v>
      </c>
      <c r="AK861" s="68">
        <f>IF(Table13[[#This Row],[value Type]]="","", Table13[[#This Row],[DataOffset]])</f>
        <v>7</v>
      </c>
      <c r="AL861" s="24"/>
      <c r="AM861" s="24" t="str">
        <f>IF(Table13[[#This Row],[value Type]]="","", "0x"&amp;DEC2HEX(Table13[[#This Row],[ADDR_Offset]],8) )</f>
        <v>0x0000028C</v>
      </c>
    </row>
    <row r="862" spans="2:39" x14ac:dyDescent="0.3">
      <c r="B862" s="14">
        <v>0</v>
      </c>
      <c r="C862" s="14" t="s">
        <v>82</v>
      </c>
      <c r="D862" s="14" t="s">
        <v>388</v>
      </c>
      <c r="E862" s="24" t="s">
        <v>278</v>
      </c>
      <c r="F862" s="24">
        <v>4</v>
      </c>
      <c r="G862" s="14" t="s">
        <v>479</v>
      </c>
      <c r="H862" s="15" t="s">
        <v>370</v>
      </c>
      <c r="I862" s="29" t="s">
        <v>699</v>
      </c>
      <c r="J862" s="15" t="s">
        <v>747</v>
      </c>
      <c r="K862" s="15" t="s">
        <v>52</v>
      </c>
      <c r="L862" s="14">
        <v>1</v>
      </c>
      <c r="M862" s="35">
        <v>0</v>
      </c>
      <c r="N862" s="15" t="s">
        <v>400</v>
      </c>
      <c r="O862" s="25" t="s">
        <v>402</v>
      </c>
      <c r="P862" s="25">
        <v>1</v>
      </c>
      <c r="Q862" s="26" t="s">
        <v>445</v>
      </c>
      <c r="R862" s="27" t="s">
        <v>410</v>
      </c>
      <c r="S862" s="27" t="s">
        <v>405</v>
      </c>
      <c r="T862" s="27">
        <v>0</v>
      </c>
      <c r="U862" s="28"/>
      <c r="V862" s="14"/>
      <c r="W862" s="14"/>
      <c r="X862" s="30" t="str">
        <f>IF(Table13[[#This Row],[value Type]]="","",VLOOKUP(Table13[[#This Row],[value Type]],Table2915[],2,FALSE))</f>
        <v>longin</v>
      </c>
      <c r="Y862" s="30" t="str">
        <f>IF(Table13[[#This Row],[value Type]]="","",VLOOKUP(Table13[[#This Row],[value Type]],Table2915[],3,FALSE))</f>
        <v>asynParamInt32</v>
      </c>
      <c r="Z862" s="64" t="str">
        <f>IF(Table13[[#This Row],[value Type]]="","",VLOOKUP(Table13[[#This Row],[value Type]],Table2915[],4,FALSE))</f>
        <v>"asynInt32"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 xml:space="preserve"> 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656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0</v>
      </c>
      <c r="AJ862" s="68">
        <f>IF(Table13[[#This Row],[value Type]]="","",Table13[[#This Row],[DataWidth]])</f>
        <v>1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0x00000290</v>
      </c>
    </row>
    <row r="863" spans="2:39" x14ac:dyDescent="0.3">
      <c r="B863" s="14">
        <v>0</v>
      </c>
      <c r="C863" s="14" t="s">
        <v>82</v>
      </c>
      <c r="D863" s="14" t="s">
        <v>388</v>
      </c>
      <c r="E863" s="24" t="s">
        <v>278</v>
      </c>
      <c r="F863" s="24">
        <v>4</v>
      </c>
      <c r="G863" s="14" t="s">
        <v>479</v>
      </c>
      <c r="H863" s="15" t="s">
        <v>371</v>
      </c>
      <c r="I863" s="29" t="s">
        <v>699</v>
      </c>
      <c r="J863" s="15" t="s">
        <v>747</v>
      </c>
      <c r="K863" s="15" t="s">
        <v>52</v>
      </c>
      <c r="L863" s="14">
        <v>1</v>
      </c>
      <c r="M863" s="35">
        <v>1</v>
      </c>
      <c r="N863" s="15" t="s">
        <v>400</v>
      </c>
      <c r="O863" s="25" t="s">
        <v>402</v>
      </c>
      <c r="P863" s="25">
        <v>1</v>
      </c>
      <c r="Q863" s="26" t="s">
        <v>445</v>
      </c>
      <c r="R863" s="27" t="s">
        <v>410</v>
      </c>
      <c r="S863" s="27" t="s">
        <v>405</v>
      </c>
      <c r="T863" s="27">
        <v>0</v>
      </c>
      <c r="U863" s="28"/>
      <c r="V863" s="14"/>
      <c r="W863" s="14"/>
      <c r="X863" s="30" t="str">
        <f>IF(Table13[[#This Row],[value Type]]="","",VLOOKUP(Table13[[#This Row],[value Type]],Table2915[],2,FALSE))</f>
        <v>longin</v>
      </c>
      <c r="Y863" s="30" t="str">
        <f>IF(Table13[[#This Row],[value Type]]="","",VLOOKUP(Table13[[#This Row],[value Type]],Table2915[],3,FALSE))</f>
        <v>asynParamInt32</v>
      </c>
      <c r="Z863" s="64" t="str">
        <f>IF(Table13[[#This Row],[value Type]]="","",VLOOKUP(Table13[[#This Row],[value Type]],Table2915[],4,FALSE))</f>
        <v>"asynInt32"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 xml:space="preserve"> 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656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0</v>
      </c>
      <c r="AJ863" s="68">
        <f>IF(Table13[[#This Row],[value Type]]="","",Table13[[#This Row],[DataWidth]])</f>
        <v>1</v>
      </c>
      <c r="AK863" s="68">
        <f>IF(Table13[[#This Row],[value Type]]="","", Table13[[#This Row],[DataOffset]])</f>
        <v>1</v>
      </c>
      <c r="AL863" s="24"/>
      <c r="AM863" s="24" t="str">
        <f>IF(Table13[[#This Row],[value Type]]="","", "0x"&amp;DEC2HEX(Table13[[#This Row],[ADDR_Offset]],8) )</f>
        <v>0x00000290</v>
      </c>
    </row>
    <row r="864" spans="2:39" x14ac:dyDescent="0.3">
      <c r="B864" s="14">
        <v>0</v>
      </c>
      <c r="C864" s="14" t="s">
        <v>82</v>
      </c>
      <c r="D864" s="14" t="s">
        <v>388</v>
      </c>
      <c r="E864" s="24" t="s">
        <v>278</v>
      </c>
      <c r="F864" s="24">
        <v>4</v>
      </c>
      <c r="G864" s="14" t="s">
        <v>479</v>
      </c>
      <c r="H864" s="15" t="s">
        <v>372</v>
      </c>
      <c r="I864" s="29" t="s">
        <v>699</v>
      </c>
      <c r="J864" s="15" t="s">
        <v>747</v>
      </c>
      <c r="K864" s="15" t="s">
        <v>52</v>
      </c>
      <c r="L864" s="14">
        <v>1</v>
      </c>
      <c r="M864" s="35">
        <v>2</v>
      </c>
      <c r="N864" s="15" t="s">
        <v>400</v>
      </c>
      <c r="O864" s="25" t="s">
        <v>402</v>
      </c>
      <c r="P864" s="25">
        <v>1</v>
      </c>
      <c r="Q864" s="26" t="s">
        <v>445</v>
      </c>
      <c r="R864" s="27" t="s">
        <v>410</v>
      </c>
      <c r="S864" s="27" t="s">
        <v>405</v>
      </c>
      <c r="T864" s="27">
        <v>0</v>
      </c>
      <c r="U864" s="28"/>
      <c r="V864" s="14"/>
      <c r="W864" s="14"/>
      <c r="X864" s="30" t="str">
        <f>IF(Table13[[#This Row],[value Type]]="","",VLOOKUP(Table13[[#This Row],[value Type]],Table2915[],2,FALSE))</f>
        <v>longin</v>
      </c>
      <c r="Y864" s="30" t="str">
        <f>IF(Table13[[#This Row],[value Type]]="","",VLOOKUP(Table13[[#This Row],[value Type]],Table2915[],3,FALSE))</f>
        <v>asynParamInt32</v>
      </c>
      <c r="Z864" s="64" t="str">
        <f>IF(Table13[[#This Row],[value Type]]="","",VLOOKUP(Table13[[#This Row],[value Type]],Table2915[],4,FALSE))</f>
        <v>"asynInt32"</v>
      </c>
      <c r="AA864" s="64" t="str">
        <f>IF(Table13[[#This Row],[value Type]]="","",    IF(Table13[[#This Row],[IP MAX]]="","","@"  )     )</f>
        <v>@</v>
      </c>
      <c r="AB864" s="79" t="str">
        <f>IF(Table13[[#This Row],[value Type]]="","",VLOOKUP(Table13[[#This Row],[value Type]],Table2915[],5,FALSE))</f>
        <v xml:space="preserve"> </v>
      </c>
      <c r="AC8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864" s="79">
        <f>IF(Table13[[#This Row],[value Type]]="","",VLOOKUP(Table13[[#This Row],[IP]],Table51117[],2,FALSE))</f>
        <v>6</v>
      </c>
      <c r="AE864" s="79" t="str">
        <f>IF(Table13[[#This Row],[value Type]]="","",    IF(Table13[[#This Row],[IP MAX]]="","0","@"  )     )</f>
        <v>@</v>
      </c>
      <c r="AF864" s="68">
        <f>IF(Table13[[#This Row],[value Type]]="","",VLOOKUP(Table13[[#This Row],[Acc Type]],Table2[],2,FALSE))</f>
        <v>0</v>
      </c>
      <c r="AG864" s="75">
        <f>IF(Table13[[#This Row],[value Type]]="","",4*HEX2DEC(Table13[[#This Row],[Addr'[HEX']]]))</f>
        <v>656</v>
      </c>
      <c r="AH864" s="75">
        <f>IF(Table13[[#This Row],[value Type]]="","",VLOOKUP(Table13[[#This Row],[AddrTypeI]],Table22[],2,FALSE))</f>
        <v>0</v>
      </c>
      <c r="AI864" s="68">
        <f>IF(Table13[[#This Row],[value Type]]="","",VLOOKUP(Table13[[#This Row],[DataType]],Table351218[],2,FALSE))</f>
        <v>0</v>
      </c>
      <c r="AJ864" s="68">
        <f>IF(Table13[[#This Row],[value Type]]="","",Table13[[#This Row],[DataWidth]])</f>
        <v>1</v>
      </c>
      <c r="AK864" s="68">
        <f>IF(Table13[[#This Row],[value Type]]="","", Table13[[#This Row],[DataOffset]])</f>
        <v>2</v>
      </c>
      <c r="AL864" s="24"/>
      <c r="AM864" s="24" t="str">
        <f>IF(Table13[[#This Row],[value Type]]="","", "0x"&amp;DEC2HEX(Table13[[#This Row],[ADDR_Offset]],8) )</f>
        <v>0x00000290</v>
      </c>
    </row>
    <row r="865" spans="2:39" x14ac:dyDescent="0.3">
      <c r="B865" s="14">
        <v>0</v>
      </c>
      <c r="C865" s="14" t="s">
        <v>82</v>
      </c>
      <c r="D865" s="14" t="s">
        <v>388</v>
      </c>
      <c r="E865" s="24" t="s">
        <v>278</v>
      </c>
      <c r="F865" s="24">
        <v>4</v>
      </c>
      <c r="G865" s="14" t="s">
        <v>479</v>
      </c>
      <c r="H865" s="15" t="s">
        <v>373</v>
      </c>
      <c r="I865" s="29" t="s">
        <v>699</v>
      </c>
      <c r="J865" s="15" t="s">
        <v>747</v>
      </c>
      <c r="K865" s="15" t="s">
        <v>52</v>
      </c>
      <c r="L865" s="14">
        <v>1</v>
      </c>
      <c r="M865" s="35">
        <v>3</v>
      </c>
      <c r="N865" s="15" t="s">
        <v>400</v>
      </c>
      <c r="O865" s="25" t="s">
        <v>402</v>
      </c>
      <c r="P865" s="25">
        <v>1</v>
      </c>
      <c r="Q865" s="26" t="s">
        <v>445</v>
      </c>
      <c r="R865" s="27" t="s">
        <v>410</v>
      </c>
      <c r="S865" s="27" t="s">
        <v>405</v>
      </c>
      <c r="T865" s="27">
        <v>0</v>
      </c>
      <c r="U865" s="28"/>
      <c r="V865" s="14"/>
      <c r="W865" s="14"/>
      <c r="X865" s="30" t="str">
        <f>IF(Table13[[#This Row],[value Type]]="","",VLOOKUP(Table13[[#This Row],[value Type]],Table2915[],2,FALSE))</f>
        <v>longin</v>
      </c>
      <c r="Y865" s="30" t="str">
        <f>IF(Table13[[#This Row],[value Type]]="","",VLOOKUP(Table13[[#This Row],[value Type]],Table2915[],3,FALSE))</f>
        <v>asynParamInt32</v>
      </c>
      <c r="Z865" s="64" t="str">
        <f>IF(Table13[[#This Row],[value Type]]="","",VLOOKUP(Table13[[#This Row],[value Type]],Table2915[],4,FALSE))</f>
        <v>"asynInt32"</v>
      </c>
      <c r="AA865" s="64" t="str">
        <f>IF(Table13[[#This Row],[value Type]]="","",    IF(Table13[[#This Row],[IP MAX]]="","","@"  )     )</f>
        <v>@</v>
      </c>
      <c r="AB865" s="79" t="str">
        <f>IF(Table13[[#This Row],[value Type]]="","",VLOOKUP(Table13[[#This Row],[value Type]],Table2915[],5,FALSE))</f>
        <v xml:space="preserve"> 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865" s="79">
        <f>IF(Table13[[#This Row],[value Type]]="","",VLOOKUP(Table13[[#This Row],[IP]],Table51117[],2,FALSE))</f>
        <v>6</v>
      </c>
      <c r="AE865" s="79" t="str">
        <f>IF(Table13[[#This Row],[value Type]]="","",    IF(Table13[[#This Row],[IP MAX]]="","0","@"  )     )</f>
        <v>@</v>
      </c>
      <c r="AF865" s="68">
        <f>IF(Table13[[#This Row],[value Type]]="","",VLOOKUP(Table13[[#This Row],[Acc Type]],Table2[],2,FALSE))</f>
        <v>0</v>
      </c>
      <c r="AG865" s="75">
        <f>IF(Table13[[#This Row],[value Type]]="","",4*HEX2DEC(Table13[[#This Row],[Addr'[HEX']]]))</f>
        <v>656</v>
      </c>
      <c r="AH865" s="75">
        <f>IF(Table13[[#This Row],[value Type]]="","",VLOOKUP(Table13[[#This Row],[AddrTypeI]],Table22[],2,FALSE))</f>
        <v>0</v>
      </c>
      <c r="AI865" s="68">
        <f>IF(Table13[[#This Row],[value Type]]="","",VLOOKUP(Table13[[#This Row],[DataType]],Table351218[],2,FALSE))</f>
        <v>0</v>
      </c>
      <c r="AJ865" s="68">
        <f>IF(Table13[[#This Row],[value Type]]="","",Table13[[#This Row],[DataWidth]])</f>
        <v>1</v>
      </c>
      <c r="AK865" s="68">
        <f>IF(Table13[[#This Row],[value Type]]="","", Table13[[#This Row],[DataOffset]])</f>
        <v>3</v>
      </c>
      <c r="AL865" s="24"/>
      <c r="AM865" s="24" t="str">
        <f>IF(Table13[[#This Row],[value Type]]="","", "0x"&amp;DEC2HEX(Table13[[#This Row],[ADDR_Offset]],8) )</f>
        <v>0x00000290</v>
      </c>
    </row>
    <row r="866" spans="2:39" x14ac:dyDescent="0.3">
      <c r="B866" s="14">
        <v>0</v>
      </c>
      <c r="C866" s="14" t="s">
        <v>82</v>
      </c>
      <c r="D866" s="14" t="s">
        <v>388</v>
      </c>
      <c r="E866" s="24" t="s">
        <v>278</v>
      </c>
      <c r="F866" s="24">
        <v>4</v>
      </c>
      <c r="G866" s="14" t="s">
        <v>479</v>
      </c>
      <c r="H866" s="15" t="s">
        <v>374</v>
      </c>
      <c r="I866" s="29" t="s">
        <v>699</v>
      </c>
      <c r="J866" s="15" t="s">
        <v>747</v>
      </c>
      <c r="K866" s="15" t="s">
        <v>52</v>
      </c>
      <c r="L866" s="14">
        <v>1</v>
      </c>
      <c r="M866" s="35">
        <v>4</v>
      </c>
      <c r="N866" s="15" t="s">
        <v>400</v>
      </c>
      <c r="O866" s="25" t="s">
        <v>402</v>
      </c>
      <c r="P866" s="25">
        <v>1</v>
      </c>
      <c r="Q866" s="26" t="s">
        <v>445</v>
      </c>
      <c r="R866" s="27" t="s">
        <v>410</v>
      </c>
      <c r="S866" s="27" t="s">
        <v>405</v>
      </c>
      <c r="T866" s="27">
        <v>0</v>
      </c>
      <c r="U866" s="28"/>
      <c r="V866" s="14"/>
      <c r="W866" s="14"/>
      <c r="X866" s="30" t="str">
        <f>IF(Table13[[#This Row],[value Type]]="","",VLOOKUP(Table13[[#This Row],[value Type]],Table2915[],2,FALSE))</f>
        <v>longin</v>
      </c>
      <c r="Y866" s="30" t="str">
        <f>IF(Table13[[#This Row],[value Type]]="","",VLOOKUP(Table13[[#This Row],[value Type]],Table2915[],3,FALSE))</f>
        <v>asynParamInt32</v>
      </c>
      <c r="Z866" s="64" t="str">
        <f>IF(Table13[[#This Row],[value Type]]="","",VLOOKUP(Table13[[#This Row],[value Type]],Table2915[],4,FALSE))</f>
        <v>"asynInt32"</v>
      </c>
      <c r="AA866" s="64" t="str">
        <f>IF(Table13[[#This Row],[value Type]]="","",    IF(Table13[[#This Row],[IP MAX]]="","","@"  )     )</f>
        <v>@</v>
      </c>
      <c r="AB866" s="79" t="str">
        <f>IF(Table13[[#This Row],[value Type]]="","",VLOOKUP(Table13[[#This Row],[value Type]],Table2915[],5,FALSE))</f>
        <v xml:space="preserve"> </v>
      </c>
      <c r="AC8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866" s="79">
        <f>IF(Table13[[#This Row],[value Type]]="","",VLOOKUP(Table13[[#This Row],[IP]],Table51117[],2,FALSE))</f>
        <v>6</v>
      </c>
      <c r="AE866" s="79" t="str">
        <f>IF(Table13[[#This Row],[value Type]]="","",    IF(Table13[[#This Row],[IP MAX]]="","0","@"  )     )</f>
        <v>@</v>
      </c>
      <c r="AF866" s="68">
        <f>IF(Table13[[#This Row],[value Type]]="","",VLOOKUP(Table13[[#This Row],[Acc Type]],Table2[],2,FALSE))</f>
        <v>0</v>
      </c>
      <c r="AG866" s="75">
        <f>IF(Table13[[#This Row],[value Type]]="","",4*HEX2DEC(Table13[[#This Row],[Addr'[HEX']]]))</f>
        <v>656</v>
      </c>
      <c r="AH866" s="75">
        <f>IF(Table13[[#This Row],[value Type]]="","",VLOOKUP(Table13[[#This Row],[AddrTypeI]],Table22[],2,FALSE))</f>
        <v>0</v>
      </c>
      <c r="AI866" s="68">
        <f>IF(Table13[[#This Row],[value Type]]="","",VLOOKUP(Table13[[#This Row],[DataType]],Table351218[],2,FALSE))</f>
        <v>0</v>
      </c>
      <c r="AJ866" s="68">
        <f>IF(Table13[[#This Row],[value Type]]="","",Table13[[#This Row],[DataWidth]])</f>
        <v>1</v>
      </c>
      <c r="AK866" s="68">
        <f>IF(Table13[[#This Row],[value Type]]="","", Table13[[#This Row],[DataOffset]])</f>
        <v>4</v>
      </c>
      <c r="AL866" s="24"/>
      <c r="AM866" s="24" t="str">
        <f>IF(Table13[[#This Row],[value Type]]="","", "0x"&amp;DEC2HEX(Table13[[#This Row],[ADDR_Offset]],8) )</f>
        <v>0x00000290</v>
      </c>
    </row>
    <row r="867" spans="2:39" x14ac:dyDescent="0.3">
      <c r="B867" s="14">
        <v>0</v>
      </c>
      <c r="C867" s="14" t="s">
        <v>82</v>
      </c>
      <c r="D867" s="14" t="s">
        <v>388</v>
      </c>
      <c r="E867" s="24" t="s">
        <v>278</v>
      </c>
      <c r="F867" s="24">
        <v>4</v>
      </c>
      <c r="G867" s="14" t="s">
        <v>479</v>
      </c>
      <c r="H867" s="15" t="s">
        <v>375</v>
      </c>
      <c r="I867" s="29" t="s">
        <v>699</v>
      </c>
      <c r="J867" s="15" t="s">
        <v>747</v>
      </c>
      <c r="K867" s="15" t="s">
        <v>52</v>
      </c>
      <c r="L867" s="14">
        <v>1</v>
      </c>
      <c r="M867" s="35">
        <v>5</v>
      </c>
      <c r="N867" s="15" t="s">
        <v>400</v>
      </c>
      <c r="O867" s="25" t="s">
        <v>402</v>
      </c>
      <c r="P867" s="25">
        <v>1</v>
      </c>
      <c r="Q867" s="26" t="s">
        <v>445</v>
      </c>
      <c r="R867" s="27" t="s">
        <v>410</v>
      </c>
      <c r="S867" s="27" t="s">
        <v>405</v>
      </c>
      <c r="T867" s="27">
        <v>0</v>
      </c>
      <c r="U867" s="28"/>
      <c r="V867" s="14"/>
      <c r="W867" s="14"/>
      <c r="X867" s="30" t="str">
        <f>IF(Table13[[#This Row],[value Type]]="","",VLOOKUP(Table13[[#This Row],[value Type]],Table2915[],2,FALSE))</f>
        <v>longin</v>
      </c>
      <c r="Y867" s="30" t="str">
        <f>IF(Table13[[#This Row],[value Type]]="","",VLOOKUP(Table13[[#This Row],[value Type]],Table2915[],3,FALSE))</f>
        <v>asynParamInt32</v>
      </c>
      <c r="Z867" s="64" t="str">
        <f>IF(Table13[[#This Row],[value Type]]="","",VLOOKUP(Table13[[#This Row],[value Type]],Table2915[],4,FALSE))</f>
        <v>"asynInt32"</v>
      </c>
      <c r="AA867" s="64" t="str">
        <f>IF(Table13[[#This Row],[value Type]]="","",    IF(Table13[[#This Row],[IP MAX]]="","","@"  )     )</f>
        <v>@</v>
      </c>
      <c r="AB867" s="79" t="str">
        <f>IF(Table13[[#This Row],[value Type]]="","",VLOOKUP(Table13[[#This Row],[value Type]],Table2915[],5,FALSE))</f>
        <v xml:space="preserve"> </v>
      </c>
      <c r="AC8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867" s="79">
        <f>IF(Table13[[#This Row],[value Type]]="","",VLOOKUP(Table13[[#This Row],[IP]],Table51117[],2,FALSE))</f>
        <v>6</v>
      </c>
      <c r="AE867" s="79" t="str">
        <f>IF(Table13[[#This Row],[value Type]]="","",    IF(Table13[[#This Row],[IP MAX]]="","0","@"  )     )</f>
        <v>@</v>
      </c>
      <c r="AF867" s="68">
        <f>IF(Table13[[#This Row],[value Type]]="","",VLOOKUP(Table13[[#This Row],[Acc Type]],Table2[],2,FALSE))</f>
        <v>0</v>
      </c>
      <c r="AG867" s="75">
        <f>IF(Table13[[#This Row],[value Type]]="","",4*HEX2DEC(Table13[[#This Row],[Addr'[HEX']]]))</f>
        <v>656</v>
      </c>
      <c r="AH867" s="75">
        <f>IF(Table13[[#This Row],[value Type]]="","",VLOOKUP(Table13[[#This Row],[AddrTypeI]],Table22[],2,FALSE))</f>
        <v>0</v>
      </c>
      <c r="AI867" s="68">
        <f>IF(Table13[[#This Row],[value Type]]="","",VLOOKUP(Table13[[#This Row],[DataType]],Table351218[],2,FALSE))</f>
        <v>0</v>
      </c>
      <c r="AJ867" s="68">
        <f>IF(Table13[[#This Row],[value Type]]="","",Table13[[#This Row],[DataWidth]])</f>
        <v>1</v>
      </c>
      <c r="AK867" s="68">
        <f>IF(Table13[[#This Row],[value Type]]="","", Table13[[#This Row],[DataOffset]])</f>
        <v>5</v>
      </c>
      <c r="AL867" s="24"/>
      <c r="AM867" s="24" t="str">
        <f>IF(Table13[[#This Row],[value Type]]="","", "0x"&amp;DEC2HEX(Table13[[#This Row],[ADDR_Offset]],8) )</f>
        <v>0x00000290</v>
      </c>
    </row>
    <row r="868" spans="2:39" x14ac:dyDescent="0.3">
      <c r="B868" s="14">
        <v>0</v>
      </c>
      <c r="C868" s="14" t="s">
        <v>82</v>
      </c>
      <c r="D868" s="14" t="s">
        <v>388</v>
      </c>
      <c r="E868" s="24" t="s">
        <v>278</v>
      </c>
      <c r="F868" s="24">
        <v>4</v>
      </c>
      <c r="G868" s="14" t="s">
        <v>479</v>
      </c>
      <c r="H868" s="15" t="s">
        <v>376</v>
      </c>
      <c r="I868" s="29" t="s">
        <v>699</v>
      </c>
      <c r="J868" s="15" t="s">
        <v>747</v>
      </c>
      <c r="K868" s="15" t="s">
        <v>52</v>
      </c>
      <c r="L868" s="14">
        <v>1</v>
      </c>
      <c r="M868" s="35">
        <v>6</v>
      </c>
      <c r="N868" s="15" t="s">
        <v>400</v>
      </c>
      <c r="O868" s="25" t="s">
        <v>402</v>
      </c>
      <c r="P868" s="25">
        <v>1</v>
      </c>
      <c r="Q868" s="26" t="s">
        <v>445</v>
      </c>
      <c r="R868" s="27" t="s">
        <v>410</v>
      </c>
      <c r="S868" s="27" t="s">
        <v>405</v>
      </c>
      <c r="T868" s="27">
        <v>0</v>
      </c>
      <c r="U868" s="28"/>
      <c r="V868" s="14"/>
      <c r="W868" s="14"/>
      <c r="X868" s="30" t="str">
        <f>IF(Table13[[#This Row],[value Type]]="","",VLOOKUP(Table13[[#This Row],[value Type]],Table2915[],2,FALSE))</f>
        <v>longin</v>
      </c>
      <c r="Y868" s="30" t="str">
        <f>IF(Table13[[#This Row],[value Type]]="","",VLOOKUP(Table13[[#This Row],[value Type]],Table2915[],3,FALSE))</f>
        <v>asynParamInt32</v>
      </c>
      <c r="Z868" s="64" t="str">
        <f>IF(Table13[[#This Row],[value Type]]="","",VLOOKUP(Table13[[#This Row],[value Type]],Table2915[],4,FALSE))</f>
        <v>"asynInt32"</v>
      </c>
      <c r="AA868" s="64" t="str">
        <f>IF(Table13[[#This Row],[value Type]]="","",    IF(Table13[[#This Row],[IP MAX]]="","","@"  )     )</f>
        <v>@</v>
      </c>
      <c r="AB868" s="79" t="str">
        <f>IF(Table13[[#This Row],[value Type]]="","",VLOOKUP(Table13[[#This Row],[value Type]],Table2915[],5,FALSE))</f>
        <v xml:space="preserve"> </v>
      </c>
      <c r="AC8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868" s="79">
        <f>IF(Table13[[#This Row],[value Type]]="","",VLOOKUP(Table13[[#This Row],[IP]],Table51117[],2,FALSE))</f>
        <v>6</v>
      </c>
      <c r="AE868" s="79" t="str">
        <f>IF(Table13[[#This Row],[value Type]]="","",    IF(Table13[[#This Row],[IP MAX]]="","0","@"  )     )</f>
        <v>@</v>
      </c>
      <c r="AF868" s="68">
        <f>IF(Table13[[#This Row],[value Type]]="","",VLOOKUP(Table13[[#This Row],[Acc Type]],Table2[],2,FALSE))</f>
        <v>0</v>
      </c>
      <c r="AG868" s="75">
        <f>IF(Table13[[#This Row],[value Type]]="","",4*HEX2DEC(Table13[[#This Row],[Addr'[HEX']]]))</f>
        <v>656</v>
      </c>
      <c r="AH868" s="75">
        <f>IF(Table13[[#This Row],[value Type]]="","",VLOOKUP(Table13[[#This Row],[AddrTypeI]],Table22[],2,FALSE))</f>
        <v>0</v>
      </c>
      <c r="AI868" s="68">
        <f>IF(Table13[[#This Row],[value Type]]="","",VLOOKUP(Table13[[#This Row],[DataType]],Table351218[],2,FALSE))</f>
        <v>0</v>
      </c>
      <c r="AJ868" s="68">
        <f>IF(Table13[[#This Row],[value Type]]="","",Table13[[#This Row],[DataWidth]])</f>
        <v>1</v>
      </c>
      <c r="AK868" s="68">
        <f>IF(Table13[[#This Row],[value Type]]="","", Table13[[#This Row],[DataOffset]])</f>
        <v>6</v>
      </c>
      <c r="AL868" s="24"/>
      <c r="AM868" s="24" t="str">
        <f>IF(Table13[[#This Row],[value Type]]="","", "0x"&amp;DEC2HEX(Table13[[#This Row],[ADDR_Offset]],8) )</f>
        <v>0x00000290</v>
      </c>
    </row>
    <row r="869" spans="2:39" x14ac:dyDescent="0.3">
      <c r="B869" s="14">
        <v>0</v>
      </c>
      <c r="C869" s="14" t="s">
        <v>82</v>
      </c>
      <c r="D869" s="14" t="s">
        <v>388</v>
      </c>
      <c r="E869" s="24" t="s">
        <v>278</v>
      </c>
      <c r="F869" s="24">
        <v>4</v>
      </c>
      <c r="G869" s="14" t="s">
        <v>479</v>
      </c>
      <c r="H869" s="15" t="s">
        <v>377</v>
      </c>
      <c r="I869" s="29" t="s">
        <v>699</v>
      </c>
      <c r="J869" s="15" t="s">
        <v>747</v>
      </c>
      <c r="K869" s="15" t="s">
        <v>52</v>
      </c>
      <c r="L869" s="14">
        <v>1</v>
      </c>
      <c r="M869" s="35">
        <v>7</v>
      </c>
      <c r="N869" s="15" t="s">
        <v>400</v>
      </c>
      <c r="O869" s="25" t="s">
        <v>402</v>
      </c>
      <c r="P869" s="25">
        <v>1</v>
      </c>
      <c r="Q869" s="26" t="s">
        <v>445</v>
      </c>
      <c r="R869" s="27" t="s">
        <v>410</v>
      </c>
      <c r="S869" s="27" t="s">
        <v>405</v>
      </c>
      <c r="T869" s="27">
        <v>0</v>
      </c>
      <c r="U869" s="28"/>
      <c r="V869" s="14"/>
      <c r="W869" s="14"/>
      <c r="X869" s="30" t="str">
        <f>IF(Table13[[#This Row],[value Type]]="","",VLOOKUP(Table13[[#This Row],[value Type]],Table2915[],2,FALSE))</f>
        <v>longin</v>
      </c>
      <c r="Y869" s="30" t="str">
        <f>IF(Table13[[#This Row],[value Type]]="","",VLOOKUP(Table13[[#This Row],[value Type]],Table2915[],3,FALSE))</f>
        <v>asynParamInt32</v>
      </c>
      <c r="Z869" s="64" t="str">
        <f>IF(Table13[[#This Row],[value Type]]="","",VLOOKUP(Table13[[#This Row],[value Type]],Table2915[],4,FALSE))</f>
        <v>"asynInt32"</v>
      </c>
      <c r="AA869" s="64" t="str">
        <f>IF(Table13[[#This Row],[value Type]]="","",    IF(Table13[[#This Row],[IP MAX]]="","","@"  )     )</f>
        <v>@</v>
      </c>
      <c r="AB869" s="79" t="str">
        <f>IF(Table13[[#This Row],[value Type]]="","",VLOOKUP(Table13[[#This Row],[value Type]],Table2915[],5,FALSE))</f>
        <v xml:space="preserve"> </v>
      </c>
      <c r="AC8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869" s="79">
        <f>IF(Table13[[#This Row],[value Type]]="","",VLOOKUP(Table13[[#This Row],[IP]],Table51117[],2,FALSE))</f>
        <v>6</v>
      </c>
      <c r="AE869" s="79" t="str">
        <f>IF(Table13[[#This Row],[value Type]]="","",    IF(Table13[[#This Row],[IP MAX]]="","0","@"  )     )</f>
        <v>@</v>
      </c>
      <c r="AF869" s="68">
        <f>IF(Table13[[#This Row],[value Type]]="","",VLOOKUP(Table13[[#This Row],[Acc Type]],Table2[],2,FALSE))</f>
        <v>0</v>
      </c>
      <c r="AG869" s="75">
        <f>IF(Table13[[#This Row],[value Type]]="","",4*HEX2DEC(Table13[[#This Row],[Addr'[HEX']]]))</f>
        <v>656</v>
      </c>
      <c r="AH869" s="75">
        <f>IF(Table13[[#This Row],[value Type]]="","",VLOOKUP(Table13[[#This Row],[AddrTypeI]],Table22[],2,FALSE))</f>
        <v>0</v>
      </c>
      <c r="AI869" s="68">
        <f>IF(Table13[[#This Row],[value Type]]="","",VLOOKUP(Table13[[#This Row],[DataType]],Table351218[],2,FALSE))</f>
        <v>0</v>
      </c>
      <c r="AJ869" s="68">
        <f>IF(Table13[[#This Row],[value Type]]="","",Table13[[#This Row],[DataWidth]])</f>
        <v>1</v>
      </c>
      <c r="AK869" s="68">
        <f>IF(Table13[[#This Row],[value Type]]="","", Table13[[#This Row],[DataOffset]])</f>
        <v>7</v>
      </c>
      <c r="AL869" s="24"/>
      <c r="AM869" s="24" t="str">
        <f>IF(Table13[[#This Row],[value Type]]="","", "0x"&amp;DEC2HEX(Table13[[#This Row],[ADDR_Offset]],8) )</f>
        <v>0x00000290</v>
      </c>
    </row>
    <row r="870" spans="2:39" x14ac:dyDescent="0.3">
      <c r="B870" s="14">
        <v>0</v>
      </c>
      <c r="C870" s="14"/>
      <c r="D870" s="14"/>
      <c r="E870" s="24"/>
      <c r="F870" s="24"/>
      <c r="G870" s="14"/>
      <c r="H870" s="15"/>
      <c r="I870" s="29"/>
      <c r="J870" s="15" t="s">
        <v>747</v>
      </c>
      <c r="K870" s="15"/>
      <c r="L870" s="14"/>
      <c r="M870" s="35"/>
      <c r="N870" s="15"/>
      <c r="O870" s="25"/>
      <c r="P870" s="25"/>
      <c r="Q870" s="15"/>
      <c r="R870" s="26"/>
      <c r="S870" s="27"/>
      <c r="T870" s="27"/>
      <c r="U870" s="28"/>
      <c r="V870" s="14"/>
      <c r="W870" s="14"/>
      <c r="X870" s="30" t="str">
        <f>IF(Table13[[#This Row],[value Type]]="","",VLOOKUP(Table13[[#This Row],[value Type]],Table2915[],2,FALSE))</f>
        <v/>
      </c>
      <c r="Y870" s="30" t="str">
        <f>IF(Table13[[#This Row],[value Type]]="","",VLOOKUP(Table13[[#This Row],[value Type]],Table2915[],3,FALSE))</f>
        <v/>
      </c>
      <c r="Z870" s="64" t="str">
        <f>IF(Table13[[#This Row],[value Type]]="","",VLOOKUP(Table13[[#This Row],[value Type]],Table2915[],4,FALSE))</f>
        <v/>
      </c>
      <c r="AA870" s="64" t="str">
        <f>IF(Table13[[#This Row],[value Type]]="","",    IF(Table13[[#This Row],[IP MAX]]="","","@"  )     )</f>
        <v/>
      </c>
      <c r="AB870" s="79" t="str">
        <f>IF(Table13[[#This Row],[value Type]]="","",VLOOKUP(Table13[[#This Row],[value Type]],Table2915[],5,FALSE))</f>
        <v/>
      </c>
      <c r="AC8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0" s="79" t="str">
        <f>IF(Table13[[#This Row],[value Type]]="","",VLOOKUP(Table13[[#This Row],[IP]],Table51117[],2,FALSE))</f>
        <v/>
      </c>
      <c r="AE870" s="79" t="str">
        <f>IF(Table13[[#This Row],[value Type]]="","",    IF(Table13[[#This Row],[IP MAX]]="","0","@"  )     )</f>
        <v/>
      </c>
      <c r="AF870" s="68" t="str">
        <f>IF(Table13[[#This Row],[value Type]]="","",VLOOKUP(Table13[[#This Row],[Acc Type]],Table2[],2,FALSE))</f>
        <v/>
      </c>
      <c r="AG870" s="75" t="str">
        <f>IF(Table13[[#This Row],[value Type]]="","",4*HEX2DEC(Table13[[#This Row],[Addr'[HEX']]]))</f>
        <v/>
      </c>
      <c r="AH870" s="75" t="str">
        <f>IF(Table13[[#This Row],[value Type]]="","",VLOOKUP(Table13[[#This Row],[AddrTypeI]],Table22[],2,FALSE))</f>
        <v/>
      </c>
      <c r="AI870" s="68" t="str">
        <f>IF(Table13[[#This Row],[value Type]]="","",VLOOKUP(Table13[[#This Row],[DataType]],Table351218[],2,FALSE))</f>
        <v/>
      </c>
      <c r="AJ870" s="68" t="str">
        <f>IF(Table13[[#This Row],[value Type]]="","",Table13[[#This Row],[DataWidth]])</f>
        <v/>
      </c>
      <c r="AK870" s="68" t="str">
        <f>IF(Table13[[#This Row],[value Type]]="","", Table13[[#This Row],[DataOffset]])</f>
        <v/>
      </c>
      <c r="AL870" s="24"/>
      <c r="AM870" s="24" t="str">
        <f>IF(Table13[[#This Row],[value Type]]="","", "0x"&amp;DEC2HEX(Table13[[#This Row],[ADDR_Offset]],8) )</f>
        <v/>
      </c>
    </row>
    <row r="871" spans="2:39" x14ac:dyDescent="0.3">
      <c r="B871" s="14">
        <v>0</v>
      </c>
      <c r="C871" s="14" t="s">
        <v>82</v>
      </c>
      <c r="D871" s="14" t="s">
        <v>388</v>
      </c>
      <c r="E871" s="24" t="s">
        <v>278</v>
      </c>
      <c r="F871" s="24">
        <v>4</v>
      </c>
      <c r="G871" s="14" t="s">
        <v>481</v>
      </c>
      <c r="H871" s="36"/>
      <c r="I871" s="29" t="s">
        <v>700</v>
      </c>
      <c r="J871" s="15" t="s">
        <v>747</v>
      </c>
      <c r="K871" s="15" t="s">
        <v>52</v>
      </c>
      <c r="L871" s="14">
        <v>1</v>
      </c>
      <c r="M871" s="35">
        <v>0</v>
      </c>
      <c r="N871" s="15" t="s">
        <v>400</v>
      </c>
      <c r="O871" s="25" t="s">
        <v>402</v>
      </c>
      <c r="P871" s="25">
        <v>1</v>
      </c>
      <c r="Q871" s="26" t="s">
        <v>445</v>
      </c>
      <c r="R871" s="27" t="s">
        <v>410</v>
      </c>
      <c r="S871" s="27" t="s">
        <v>405</v>
      </c>
      <c r="T871" s="27">
        <v>0</v>
      </c>
      <c r="U871" s="28"/>
      <c r="V871" s="14"/>
      <c r="W871" s="14"/>
      <c r="X871" s="30" t="str">
        <f>IF(Table13[[#This Row],[value Type]]="","",VLOOKUP(Table13[[#This Row],[value Type]],Table2915[],2,FALSE))</f>
        <v>longin</v>
      </c>
      <c r="Y871" s="30" t="str">
        <f>IF(Table13[[#This Row],[value Type]]="","",VLOOKUP(Table13[[#This Row],[value Type]],Table2915[],3,FALSE))</f>
        <v>asynParamInt32</v>
      </c>
      <c r="Z871" s="64" t="str">
        <f>IF(Table13[[#This Row],[value Type]]="","",VLOOKUP(Table13[[#This Row],[value Type]],Table2915[],4,FALSE))</f>
        <v>"asynInt32"</v>
      </c>
      <c r="AA871" s="64" t="str">
        <f>IF(Table13[[#This Row],[value Type]]="","",    IF(Table13[[#This Row],[IP MAX]]="","","@"  )     )</f>
        <v>@</v>
      </c>
      <c r="AB871" s="79" t="str">
        <f>IF(Table13[[#This Row],[value Type]]="","",VLOOKUP(Table13[[#This Row],[value Type]],Table2915[],5,FALSE))</f>
        <v xml:space="preserve"> </v>
      </c>
      <c r="AC8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871" s="79">
        <f>IF(Table13[[#This Row],[value Type]]="","",VLOOKUP(Table13[[#This Row],[IP]],Table51117[],2,FALSE))</f>
        <v>6</v>
      </c>
      <c r="AE871" s="79" t="str">
        <f>IF(Table13[[#This Row],[value Type]]="","",    IF(Table13[[#This Row],[IP MAX]]="","0","@"  )     )</f>
        <v>@</v>
      </c>
      <c r="AF871" s="68">
        <f>IF(Table13[[#This Row],[value Type]]="","",VLOOKUP(Table13[[#This Row],[Acc Type]],Table2[],2,FALSE))</f>
        <v>0</v>
      </c>
      <c r="AG871" s="75">
        <f>IF(Table13[[#This Row],[value Type]]="","",4*HEX2DEC(Table13[[#This Row],[Addr'[HEX']]]))</f>
        <v>668</v>
      </c>
      <c r="AH871" s="75">
        <f>IF(Table13[[#This Row],[value Type]]="","",VLOOKUP(Table13[[#This Row],[AddrTypeI]],Table22[],2,FALSE))</f>
        <v>0</v>
      </c>
      <c r="AI871" s="68">
        <f>IF(Table13[[#This Row],[value Type]]="","",VLOOKUP(Table13[[#This Row],[DataType]],Table351218[],2,FALSE))</f>
        <v>0</v>
      </c>
      <c r="AJ871" s="68">
        <f>IF(Table13[[#This Row],[value Type]]="","",Table13[[#This Row],[DataWidth]])</f>
        <v>1</v>
      </c>
      <c r="AK871" s="68">
        <f>IF(Table13[[#This Row],[value Type]]="","", Table13[[#This Row],[DataOffset]])</f>
        <v>0</v>
      </c>
      <c r="AL871" s="24"/>
      <c r="AM871" s="24" t="str">
        <f>IF(Table13[[#This Row],[value Type]]="","", "0x"&amp;DEC2HEX(Table13[[#This Row],[ADDR_Offset]],8) )</f>
        <v>0x0000029C</v>
      </c>
    </row>
    <row r="872" spans="2:39" x14ac:dyDescent="0.3">
      <c r="B872" s="14">
        <v>0</v>
      </c>
      <c r="C872" s="14" t="s">
        <v>82</v>
      </c>
      <c r="D872" s="14" t="s">
        <v>388</v>
      </c>
      <c r="E872" s="24" t="s">
        <v>278</v>
      </c>
      <c r="F872" s="24">
        <v>4</v>
      </c>
      <c r="G872" s="14" t="s">
        <v>482</v>
      </c>
      <c r="H872" s="36"/>
      <c r="I872" s="29" t="s">
        <v>700</v>
      </c>
      <c r="J872" s="15" t="s">
        <v>747</v>
      </c>
      <c r="K872" s="15" t="s">
        <v>52</v>
      </c>
      <c r="L872" s="14">
        <v>1</v>
      </c>
      <c r="M872" s="35">
        <v>1</v>
      </c>
      <c r="N872" s="15" t="s">
        <v>400</v>
      </c>
      <c r="O872" s="25" t="s">
        <v>402</v>
      </c>
      <c r="P872" s="25">
        <v>1</v>
      </c>
      <c r="Q872" s="26" t="s">
        <v>445</v>
      </c>
      <c r="R872" s="27" t="s">
        <v>410</v>
      </c>
      <c r="S872" s="27" t="s">
        <v>405</v>
      </c>
      <c r="T872" s="27">
        <v>0</v>
      </c>
      <c r="U872" s="28"/>
      <c r="V872" s="14"/>
      <c r="W872" s="14"/>
      <c r="X872" s="30" t="str">
        <f>IF(Table13[[#This Row],[value Type]]="","",VLOOKUP(Table13[[#This Row],[value Type]],Table2915[],2,FALSE))</f>
        <v>longin</v>
      </c>
      <c r="Y872" s="30" t="str">
        <f>IF(Table13[[#This Row],[value Type]]="","",VLOOKUP(Table13[[#This Row],[value Type]],Table2915[],3,FALSE))</f>
        <v>asynParamInt32</v>
      </c>
      <c r="Z872" s="64" t="str">
        <f>IF(Table13[[#This Row],[value Type]]="","",VLOOKUP(Table13[[#This Row],[value Type]],Table2915[],4,FALSE))</f>
        <v>"asynInt32"</v>
      </c>
      <c r="AA872" s="64" t="str">
        <f>IF(Table13[[#This Row],[value Type]]="","",    IF(Table13[[#This Row],[IP MAX]]="","","@"  )     )</f>
        <v>@</v>
      </c>
      <c r="AB872" s="79" t="str">
        <f>IF(Table13[[#This Row],[value Type]]="","",VLOOKUP(Table13[[#This Row],[value Type]],Table2915[],5,FALSE))</f>
        <v xml:space="preserve"> </v>
      </c>
      <c r="AC8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872" s="79">
        <f>IF(Table13[[#This Row],[value Type]]="","",VLOOKUP(Table13[[#This Row],[IP]],Table51117[],2,FALSE))</f>
        <v>6</v>
      </c>
      <c r="AE872" s="79" t="str">
        <f>IF(Table13[[#This Row],[value Type]]="","",    IF(Table13[[#This Row],[IP MAX]]="","0","@"  )     )</f>
        <v>@</v>
      </c>
      <c r="AF872" s="68">
        <f>IF(Table13[[#This Row],[value Type]]="","",VLOOKUP(Table13[[#This Row],[Acc Type]],Table2[],2,FALSE))</f>
        <v>0</v>
      </c>
      <c r="AG872" s="75">
        <f>IF(Table13[[#This Row],[value Type]]="","",4*HEX2DEC(Table13[[#This Row],[Addr'[HEX']]]))</f>
        <v>668</v>
      </c>
      <c r="AH872" s="75">
        <f>IF(Table13[[#This Row],[value Type]]="","",VLOOKUP(Table13[[#This Row],[AddrTypeI]],Table22[],2,FALSE))</f>
        <v>0</v>
      </c>
      <c r="AI872" s="68">
        <f>IF(Table13[[#This Row],[value Type]]="","",VLOOKUP(Table13[[#This Row],[DataType]],Table351218[],2,FALSE))</f>
        <v>0</v>
      </c>
      <c r="AJ872" s="68">
        <f>IF(Table13[[#This Row],[value Type]]="","",Table13[[#This Row],[DataWidth]])</f>
        <v>1</v>
      </c>
      <c r="AK872" s="68">
        <f>IF(Table13[[#This Row],[value Type]]="","", Table13[[#This Row],[DataOffset]])</f>
        <v>1</v>
      </c>
      <c r="AL872" s="24"/>
      <c r="AM872" s="24" t="str">
        <f>IF(Table13[[#This Row],[value Type]]="","", "0x"&amp;DEC2HEX(Table13[[#This Row],[ADDR_Offset]],8) )</f>
        <v>0x0000029C</v>
      </c>
    </row>
    <row r="873" spans="2:39" x14ac:dyDescent="0.3">
      <c r="B873" s="14">
        <v>0</v>
      </c>
      <c r="C873" s="14" t="s">
        <v>82</v>
      </c>
      <c r="D873" s="14" t="s">
        <v>388</v>
      </c>
      <c r="E873" s="24" t="s">
        <v>278</v>
      </c>
      <c r="F873" s="24">
        <v>4</v>
      </c>
      <c r="G873" s="14" t="s">
        <v>483</v>
      </c>
      <c r="H873" s="36"/>
      <c r="I873" s="29" t="s">
        <v>701</v>
      </c>
      <c r="J873" s="15" t="s">
        <v>747</v>
      </c>
      <c r="K873" s="15" t="s">
        <v>52</v>
      </c>
      <c r="L873" s="14">
        <v>16</v>
      </c>
      <c r="M873" s="35">
        <v>0</v>
      </c>
      <c r="N873" s="15" t="s">
        <v>400</v>
      </c>
      <c r="O873" s="25" t="s">
        <v>402</v>
      </c>
      <c r="P873" s="25">
        <v>1</v>
      </c>
      <c r="Q873" s="26" t="s">
        <v>445</v>
      </c>
      <c r="R873" s="27" t="s">
        <v>410</v>
      </c>
      <c r="S873" s="27" t="s">
        <v>405</v>
      </c>
      <c r="T873" s="27">
        <v>0</v>
      </c>
      <c r="U873" s="28"/>
      <c r="V873" s="14"/>
      <c r="W873" s="14"/>
      <c r="X873" s="30" t="str">
        <f>IF(Table13[[#This Row],[value Type]]="","",VLOOKUP(Table13[[#This Row],[value Type]],Table2915[],2,FALSE))</f>
        <v>longin</v>
      </c>
      <c r="Y873" s="30" t="str">
        <f>IF(Table13[[#This Row],[value Type]]="","",VLOOKUP(Table13[[#This Row],[value Type]],Table2915[],3,FALSE))</f>
        <v>asynParamInt32</v>
      </c>
      <c r="Z873" s="64" t="str">
        <f>IF(Table13[[#This Row],[value Type]]="","",VLOOKUP(Table13[[#This Row],[value Type]],Table2915[],4,FALSE))</f>
        <v>"asynInt32"</v>
      </c>
      <c r="AA873" s="64" t="str">
        <f>IF(Table13[[#This Row],[value Type]]="","",    IF(Table13[[#This Row],[IP MAX]]="","","@"  )     )</f>
        <v>@</v>
      </c>
      <c r="AB873" s="79" t="str">
        <f>IF(Table13[[#This Row],[value Type]]="","",VLOOKUP(Table13[[#This Row],[value Type]],Table2915[],5,FALSE))</f>
        <v xml:space="preserve"> </v>
      </c>
      <c r="AC8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873" s="79">
        <f>IF(Table13[[#This Row],[value Type]]="","",VLOOKUP(Table13[[#This Row],[IP]],Table51117[],2,FALSE))</f>
        <v>6</v>
      </c>
      <c r="AE873" s="79" t="str">
        <f>IF(Table13[[#This Row],[value Type]]="","",    IF(Table13[[#This Row],[IP MAX]]="","0","@"  )     )</f>
        <v>@</v>
      </c>
      <c r="AF873" s="68">
        <f>IF(Table13[[#This Row],[value Type]]="","",VLOOKUP(Table13[[#This Row],[Acc Type]],Table2[],2,FALSE))</f>
        <v>0</v>
      </c>
      <c r="AG873" s="75">
        <f>IF(Table13[[#This Row],[value Type]]="","",4*HEX2DEC(Table13[[#This Row],[Addr'[HEX']]]))</f>
        <v>764</v>
      </c>
      <c r="AH873" s="75">
        <f>IF(Table13[[#This Row],[value Type]]="","",VLOOKUP(Table13[[#This Row],[AddrTypeI]],Table22[],2,FALSE))</f>
        <v>0</v>
      </c>
      <c r="AI873" s="68">
        <f>IF(Table13[[#This Row],[value Type]]="","",VLOOKUP(Table13[[#This Row],[DataType]],Table351218[],2,FALSE))</f>
        <v>0</v>
      </c>
      <c r="AJ873" s="68">
        <f>IF(Table13[[#This Row],[value Type]]="","",Table13[[#This Row],[DataWidth]])</f>
        <v>16</v>
      </c>
      <c r="AK873" s="68">
        <f>IF(Table13[[#This Row],[value Type]]="","", Table13[[#This Row],[DataOffset]])</f>
        <v>0</v>
      </c>
      <c r="AL873" s="24"/>
      <c r="AM873" s="24" t="str">
        <f>IF(Table13[[#This Row],[value Type]]="","", "0x"&amp;DEC2HEX(Table13[[#This Row],[ADDR_Offset]],8) )</f>
        <v>0x000002FC</v>
      </c>
    </row>
    <row r="874" spans="2:39" x14ac:dyDescent="0.3">
      <c r="B874" s="14">
        <v>0</v>
      </c>
      <c r="C874" s="14" t="s">
        <v>82</v>
      </c>
      <c r="D874" s="14" t="s">
        <v>388</v>
      </c>
      <c r="E874" s="24" t="s">
        <v>278</v>
      </c>
      <c r="F874" s="24">
        <v>4</v>
      </c>
      <c r="G874" s="14" t="s">
        <v>484</v>
      </c>
      <c r="H874" s="36"/>
      <c r="I874" s="29" t="s">
        <v>701</v>
      </c>
      <c r="J874" s="15" t="s">
        <v>747</v>
      </c>
      <c r="K874" s="15" t="s">
        <v>52</v>
      </c>
      <c r="L874" s="14">
        <v>16</v>
      </c>
      <c r="M874" s="35">
        <v>16</v>
      </c>
      <c r="N874" s="15" t="s">
        <v>400</v>
      </c>
      <c r="O874" s="25" t="s">
        <v>402</v>
      </c>
      <c r="P874" s="25">
        <v>1</v>
      </c>
      <c r="Q874" s="26" t="s">
        <v>445</v>
      </c>
      <c r="R874" s="27" t="s">
        <v>410</v>
      </c>
      <c r="S874" s="27" t="s">
        <v>405</v>
      </c>
      <c r="T874" s="27">
        <v>0</v>
      </c>
      <c r="U874" s="28"/>
      <c r="V874" s="14"/>
      <c r="W874" s="14"/>
      <c r="X874" s="30" t="str">
        <f>IF(Table13[[#This Row],[value Type]]="","",VLOOKUP(Table13[[#This Row],[value Type]],Table2915[],2,FALSE))</f>
        <v>longin</v>
      </c>
      <c r="Y874" s="30" t="str">
        <f>IF(Table13[[#This Row],[value Type]]="","",VLOOKUP(Table13[[#This Row],[value Type]],Table2915[],3,FALSE))</f>
        <v>asynParamInt32</v>
      </c>
      <c r="Z874" s="64" t="str">
        <f>IF(Table13[[#This Row],[value Type]]="","",VLOOKUP(Table13[[#This Row],[value Type]],Table2915[],4,FALSE))</f>
        <v>"asynInt32"</v>
      </c>
      <c r="AA874" s="64" t="str">
        <f>IF(Table13[[#This Row],[value Type]]="","",    IF(Table13[[#This Row],[IP MAX]]="","","@"  )     )</f>
        <v>@</v>
      </c>
      <c r="AB874" s="79" t="str">
        <f>IF(Table13[[#This Row],[value Type]]="","",VLOOKUP(Table13[[#This Row],[value Type]],Table2915[],5,FALSE))</f>
        <v xml:space="preserve"> </v>
      </c>
      <c r="AC8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874" s="79">
        <f>IF(Table13[[#This Row],[value Type]]="","",VLOOKUP(Table13[[#This Row],[IP]],Table51117[],2,FALSE))</f>
        <v>6</v>
      </c>
      <c r="AE874" s="79" t="str">
        <f>IF(Table13[[#This Row],[value Type]]="","",    IF(Table13[[#This Row],[IP MAX]]="","0","@"  )     )</f>
        <v>@</v>
      </c>
      <c r="AF874" s="68">
        <f>IF(Table13[[#This Row],[value Type]]="","",VLOOKUP(Table13[[#This Row],[Acc Type]],Table2[],2,FALSE))</f>
        <v>0</v>
      </c>
      <c r="AG874" s="75">
        <f>IF(Table13[[#This Row],[value Type]]="","",4*HEX2DEC(Table13[[#This Row],[Addr'[HEX']]]))</f>
        <v>764</v>
      </c>
      <c r="AH874" s="75">
        <f>IF(Table13[[#This Row],[value Type]]="","",VLOOKUP(Table13[[#This Row],[AddrTypeI]],Table22[],2,FALSE))</f>
        <v>0</v>
      </c>
      <c r="AI874" s="68">
        <f>IF(Table13[[#This Row],[value Type]]="","",VLOOKUP(Table13[[#This Row],[DataType]],Table351218[],2,FALSE))</f>
        <v>0</v>
      </c>
      <c r="AJ874" s="68">
        <f>IF(Table13[[#This Row],[value Type]]="","",Table13[[#This Row],[DataWidth]])</f>
        <v>16</v>
      </c>
      <c r="AK874" s="68">
        <f>IF(Table13[[#This Row],[value Type]]="","", Table13[[#This Row],[DataOffset]])</f>
        <v>16</v>
      </c>
      <c r="AL874" s="24"/>
      <c r="AM874" s="24" t="str">
        <f>IF(Table13[[#This Row],[value Type]]="","", "0x"&amp;DEC2HEX(Table13[[#This Row],[ADDR_Offset]],8) )</f>
        <v>0x000002FC</v>
      </c>
    </row>
    <row r="875" spans="2:39" x14ac:dyDescent="0.3">
      <c r="B875" s="14">
        <v>0</v>
      </c>
      <c r="C875" s="14"/>
      <c r="D875" s="14"/>
      <c r="E875" s="24"/>
      <c r="F875" s="24"/>
      <c r="G875" s="14"/>
      <c r="H875" s="15"/>
      <c r="I875" s="29"/>
      <c r="J875" s="15" t="s">
        <v>747</v>
      </c>
      <c r="K875" s="15"/>
      <c r="L875" s="14"/>
      <c r="M875" s="35"/>
      <c r="N875" s="15"/>
      <c r="O875" s="25"/>
      <c r="P875" s="25"/>
      <c r="Q875" s="15"/>
      <c r="R875" s="26"/>
      <c r="S875" s="27"/>
      <c r="T875" s="27"/>
      <c r="U875" s="28"/>
      <c r="V875" s="14"/>
      <c r="W875" s="14"/>
      <c r="X875" s="30" t="str">
        <f>IF(Table13[[#This Row],[value Type]]="","",VLOOKUP(Table13[[#This Row],[value Type]],Table2915[],2,FALSE))</f>
        <v/>
      </c>
      <c r="Y875" s="30" t="str">
        <f>IF(Table13[[#This Row],[value Type]]="","",VLOOKUP(Table13[[#This Row],[value Type]],Table2915[],3,FALSE))</f>
        <v/>
      </c>
      <c r="Z875" s="64" t="str">
        <f>IF(Table13[[#This Row],[value Type]]="","",VLOOKUP(Table13[[#This Row],[value Type]],Table2915[],4,FALSE))</f>
        <v/>
      </c>
      <c r="AA875" s="64" t="str">
        <f>IF(Table13[[#This Row],[value Type]]="","",    IF(Table13[[#This Row],[IP MAX]]="","","@"  )     )</f>
        <v/>
      </c>
      <c r="AB875" s="79" t="str">
        <f>IF(Table13[[#This Row],[value Type]]="","",VLOOKUP(Table13[[#This Row],[value Type]],Table2915[],5,FALSE))</f>
        <v/>
      </c>
      <c r="AC8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5" s="79" t="str">
        <f>IF(Table13[[#This Row],[value Type]]="","",VLOOKUP(Table13[[#This Row],[IP]],Table51117[],2,FALSE))</f>
        <v/>
      </c>
      <c r="AE875" s="79" t="str">
        <f>IF(Table13[[#This Row],[value Type]]="","",    IF(Table13[[#This Row],[IP MAX]]="","0","@"  )     )</f>
        <v/>
      </c>
      <c r="AF875" s="68" t="str">
        <f>IF(Table13[[#This Row],[value Type]]="","",VLOOKUP(Table13[[#This Row],[Acc Type]],Table2[],2,FALSE))</f>
        <v/>
      </c>
      <c r="AG875" s="75" t="str">
        <f>IF(Table13[[#This Row],[value Type]]="","",4*HEX2DEC(Table13[[#This Row],[Addr'[HEX']]]))</f>
        <v/>
      </c>
      <c r="AH875" s="75" t="str">
        <f>IF(Table13[[#This Row],[value Type]]="","",VLOOKUP(Table13[[#This Row],[AddrTypeI]],Table22[],2,FALSE))</f>
        <v/>
      </c>
      <c r="AI875" s="68" t="str">
        <f>IF(Table13[[#This Row],[value Type]]="","",VLOOKUP(Table13[[#This Row],[DataType]],Table351218[],2,FALSE))</f>
        <v/>
      </c>
      <c r="AJ875" s="68" t="str">
        <f>IF(Table13[[#This Row],[value Type]]="","",Table13[[#This Row],[DataWidth]])</f>
        <v/>
      </c>
      <c r="AK875" s="68" t="str">
        <f>IF(Table13[[#This Row],[value Type]]="","", Table13[[#This Row],[DataOffset]])</f>
        <v/>
      </c>
      <c r="AL875" s="24"/>
      <c r="AM875" s="24" t="str">
        <f>IF(Table13[[#This Row],[value Type]]="","", "0x"&amp;DEC2HEX(Table13[[#This Row],[ADDR_Offset]],8) )</f>
        <v/>
      </c>
    </row>
    <row r="876" spans="2:39" x14ac:dyDescent="0.3">
      <c r="B876" s="14">
        <v>0</v>
      </c>
      <c r="C876" s="12"/>
      <c r="D876" s="14"/>
      <c r="E876" s="24"/>
      <c r="F876" s="24"/>
      <c r="G876" s="14"/>
      <c r="H876" s="36"/>
      <c r="I876" s="29"/>
      <c r="J876" s="15" t="s">
        <v>747</v>
      </c>
      <c r="K876" s="15"/>
      <c r="L876" s="14"/>
      <c r="M876" s="35"/>
      <c r="N876" s="15"/>
      <c r="O876" s="25"/>
      <c r="P876" s="25"/>
      <c r="Q876" s="15"/>
      <c r="R876" s="26"/>
      <c r="S876" s="27"/>
      <c r="T876" s="27"/>
      <c r="U876" s="28"/>
      <c r="V876" s="14"/>
      <c r="W876" s="14"/>
      <c r="X876" s="30" t="str">
        <f>IF(Table13[[#This Row],[value Type]]="","",VLOOKUP(Table13[[#This Row],[value Type]],Table2915[],2,FALSE))</f>
        <v/>
      </c>
      <c r="Y876" s="30" t="str">
        <f>IF(Table13[[#This Row],[value Type]]="","",VLOOKUP(Table13[[#This Row],[value Type]],Table2915[],3,FALSE))</f>
        <v/>
      </c>
      <c r="Z876" s="64" t="str">
        <f>IF(Table13[[#This Row],[value Type]]="","",VLOOKUP(Table13[[#This Row],[value Type]],Table2915[],4,FALSE))</f>
        <v/>
      </c>
      <c r="AA876" s="64" t="str">
        <f>IF(Table13[[#This Row],[value Type]]="","",    IF(Table13[[#This Row],[IP MAX]]="","","@"  )     )</f>
        <v/>
      </c>
      <c r="AB876" s="79" t="str">
        <f>IF(Table13[[#This Row],[value Type]]="","",VLOOKUP(Table13[[#This Row],[value Type]],Table2915[],5,FALSE))</f>
        <v/>
      </c>
      <c r="AC8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76" s="79" t="str">
        <f>IF(Table13[[#This Row],[value Type]]="","",VLOOKUP(Table13[[#This Row],[IP]],Table51117[],2,FALSE))</f>
        <v/>
      </c>
      <c r="AE876" s="79" t="str">
        <f>IF(Table13[[#This Row],[value Type]]="","",    IF(Table13[[#This Row],[IP MAX]]="","0","@"  )     )</f>
        <v/>
      </c>
      <c r="AF876" s="68" t="str">
        <f>IF(Table13[[#This Row],[value Type]]="","",VLOOKUP(Table13[[#This Row],[Acc Type]],Table2[],2,FALSE))</f>
        <v/>
      </c>
      <c r="AG876" s="75" t="str">
        <f>IF(Table13[[#This Row],[value Type]]="","",4*HEX2DEC(Table13[[#This Row],[Addr'[HEX']]]))</f>
        <v/>
      </c>
      <c r="AH876" s="75" t="str">
        <f>IF(Table13[[#This Row],[value Type]]="","",VLOOKUP(Table13[[#This Row],[AddrTypeI]],Table22[],2,FALSE))</f>
        <v/>
      </c>
      <c r="AI876" s="68" t="str">
        <f>IF(Table13[[#This Row],[value Type]]="","",VLOOKUP(Table13[[#This Row],[DataType]],Table351218[],2,FALSE))</f>
        <v/>
      </c>
      <c r="AJ876" s="68" t="str">
        <f>IF(Table13[[#This Row],[value Type]]="","",Table13[[#This Row],[DataWidth]])</f>
        <v/>
      </c>
      <c r="AK876" s="68" t="str">
        <f>IF(Table13[[#This Row],[value Type]]="","", Table13[[#This Row],[DataOffset]])</f>
        <v/>
      </c>
      <c r="AL876" s="24"/>
      <c r="AM876" s="24" t="str">
        <f>IF(Table13[[#This Row],[value Type]]="","", "0x"&amp;DEC2HEX(Table13[[#This Row],[ADDR_Offset]],8) )</f>
        <v/>
      </c>
    </row>
    <row r="877" spans="2:39" x14ac:dyDescent="0.3">
      <c r="B877" s="14">
        <v>0</v>
      </c>
      <c r="C877" s="28" t="s">
        <v>1</v>
      </c>
      <c r="D877" s="14" t="s">
        <v>388</v>
      </c>
      <c r="E877" s="24" t="s">
        <v>278</v>
      </c>
      <c r="F877" s="24">
        <v>4</v>
      </c>
      <c r="G877" s="14" t="s">
        <v>280</v>
      </c>
      <c r="H877" s="15" t="s">
        <v>54</v>
      </c>
      <c r="I877" s="29" t="s">
        <v>638</v>
      </c>
      <c r="J877" s="15" t="s">
        <v>747</v>
      </c>
      <c r="K877" s="15" t="s">
        <v>52</v>
      </c>
      <c r="L877" s="14">
        <v>1</v>
      </c>
      <c r="M877" s="35">
        <v>0</v>
      </c>
      <c r="N877" s="15" t="s">
        <v>400</v>
      </c>
      <c r="O877" s="25" t="s">
        <v>402</v>
      </c>
      <c r="P877" s="25">
        <v>1</v>
      </c>
      <c r="Q877" s="26" t="s">
        <v>80</v>
      </c>
      <c r="R877" s="27" t="s">
        <v>410</v>
      </c>
      <c r="S877" s="27" t="s">
        <v>405</v>
      </c>
      <c r="T877" s="27">
        <v>0</v>
      </c>
      <c r="U877" s="28"/>
      <c r="V877" s="14"/>
      <c r="W877" s="14"/>
      <c r="X877" s="30" t="str">
        <f>IF(Table13[[#This Row],[value Type]]="","",VLOOKUP(Table13[[#This Row],[value Type]],Table2915[],2,FALSE))</f>
        <v>longout</v>
      </c>
      <c r="Y877" s="30" t="str">
        <f>IF(Table13[[#This Row],[value Type]]="","",VLOOKUP(Table13[[#This Row],[value Type]],Table2915[],3,FALSE))</f>
        <v>asynParamInt32</v>
      </c>
      <c r="Z877" s="64" t="str">
        <f>IF(Table13[[#This Row],[value Type]]="","",VLOOKUP(Table13[[#This Row],[value Type]],Table2915[],4,FALSE))</f>
        <v>"asynInt32"</v>
      </c>
      <c r="AA877" s="64" t="str">
        <f>IF(Table13[[#This Row],[value Type]]="","",    IF(Table13[[#This Row],[IP MAX]]="","","@"  )     )</f>
        <v>@</v>
      </c>
      <c r="AB877" s="79" t="str">
        <f>IF(Table13[[#This Row],[value Type]]="","",VLOOKUP(Table13[[#This Row],[value Type]],Table2915[],5,FALSE))</f>
        <v xml:space="preserve"> </v>
      </c>
      <c r="AC8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877" s="79">
        <f>IF(Table13[[#This Row],[value Type]]="","",VLOOKUP(Table13[[#This Row],[IP]],Table51117[],2,FALSE))</f>
        <v>6</v>
      </c>
      <c r="AE877" s="79" t="str">
        <f>IF(Table13[[#This Row],[value Type]]="","",    IF(Table13[[#This Row],[IP MAX]]="","0","@"  )     )</f>
        <v>@</v>
      </c>
      <c r="AF877" s="68">
        <f>IF(Table13[[#This Row],[value Type]]="","",VLOOKUP(Table13[[#This Row],[Acc Type]],Table2[],2,FALSE))</f>
        <v>0</v>
      </c>
      <c r="AG877" s="75">
        <f>IF(Table13[[#This Row],[value Type]]="","",4*HEX2DEC(Table13[[#This Row],[Addr'[HEX']]]))</f>
        <v>0</v>
      </c>
      <c r="AH877" s="75">
        <f>IF(Table13[[#This Row],[value Type]]="","",VLOOKUP(Table13[[#This Row],[AddrTypeI]],Table22[],2,FALSE))</f>
        <v>0</v>
      </c>
      <c r="AI877" s="68">
        <f>IF(Table13[[#This Row],[value Type]]="","",VLOOKUP(Table13[[#This Row],[DataType]],Table351218[],2,FALSE))</f>
        <v>0</v>
      </c>
      <c r="AJ877" s="68">
        <f>IF(Table13[[#This Row],[value Type]]="","",Table13[[#This Row],[DataWidth]])</f>
        <v>1</v>
      </c>
      <c r="AK877" s="68">
        <f>IF(Table13[[#This Row],[value Type]]="","", Table13[[#This Row],[DataOffset]])</f>
        <v>0</v>
      </c>
      <c r="AL877" s="24"/>
      <c r="AM877" s="24" t="str">
        <f>IF(Table13[[#This Row],[value Type]]="","", "0x"&amp;DEC2HEX(Table13[[#This Row],[ADDR_Offset]],8) )</f>
        <v>0x00000000</v>
      </c>
    </row>
    <row r="878" spans="2:39" x14ac:dyDescent="0.3">
      <c r="B878" s="14">
        <v>0</v>
      </c>
      <c r="C878" s="28" t="s">
        <v>1</v>
      </c>
      <c r="D878" s="14" t="s">
        <v>388</v>
      </c>
      <c r="E878" s="24" t="s">
        <v>278</v>
      </c>
      <c r="F878" s="24">
        <v>4</v>
      </c>
      <c r="G878" s="14" t="s">
        <v>280</v>
      </c>
      <c r="H878" s="15" t="s">
        <v>19</v>
      </c>
      <c r="I878" s="29" t="s">
        <v>638</v>
      </c>
      <c r="J878" s="15" t="s">
        <v>747</v>
      </c>
      <c r="K878" s="15" t="s">
        <v>52</v>
      </c>
      <c r="L878" s="14">
        <v>1</v>
      </c>
      <c r="M878" s="35">
        <v>1</v>
      </c>
      <c r="N878" s="15" t="s">
        <v>400</v>
      </c>
      <c r="O878" s="25" t="s">
        <v>402</v>
      </c>
      <c r="P878" s="25">
        <v>1</v>
      </c>
      <c r="Q878" s="26" t="s">
        <v>80</v>
      </c>
      <c r="R878" s="27" t="s">
        <v>410</v>
      </c>
      <c r="S878" s="27" t="s">
        <v>405</v>
      </c>
      <c r="T878" s="27">
        <v>0</v>
      </c>
      <c r="U878" s="28"/>
      <c r="V878" s="14"/>
      <c r="W878" s="14"/>
      <c r="X878" s="30" t="str">
        <f>IF(Table13[[#This Row],[value Type]]="","",VLOOKUP(Table13[[#This Row],[value Type]],Table2915[],2,FALSE))</f>
        <v>longout</v>
      </c>
      <c r="Y878" s="30" t="str">
        <f>IF(Table13[[#This Row],[value Type]]="","",VLOOKUP(Table13[[#This Row],[value Type]],Table2915[],3,FALSE))</f>
        <v>asynParamInt32</v>
      </c>
      <c r="Z878" s="64" t="str">
        <f>IF(Table13[[#This Row],[value Type]]="","",VLOOKUP(Table13[[#This Row],[value Type]],Table2915[],4,FALSE))</f>
        <v>"asynInt32"</v>
      </c>
      <c r="AA878" s="64" t="str">
        <f>IF(Table13[[#This Row],[value Type]]="","",    IF(Table13[[#This Row],[IP MAX]]="","","@"  )     )</f>
        <v>@</v>
      </c>
      <c r="AB878" s="79" t="str">
        <f>IF(Table13[[#This Row],[value Type]]="","",VLOOKUP(Table13[[#This Row],[value Type]],Table2915[],5,FALSE))</f>
        <v xml:space="preserve"> </v>
      </c>
      <c r="AC8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878" s="79">
        <f>IF(Table13[[#This Row],[value Type]]="","",VLOOKUP(Table13[[#This Row],[IP]],Table51117[],2,FALSE))</f>
        <v>6</v>
      </c>
      <c r="AE878" s="79" t="str">
        <f>IF(Table13[[#This Row],[value Type]]="","",    IF(Table13[[#This Row],[IP MAX]]="","0","@"  )     )</f>
        <v>@</v>
      </c>
      <c r="AF878" s="68">
        <f>IF(Table13[[#This Row],[value Type]]="","",VLOOKUP(Table13[[#This Row],[Acc Type]],Table2[],2,FALSE))</f>
        <v>0</v>
      </c>
      <c r="AG878" s="75">
        <f>IF(Table13[[#This Row],[value Type]]="","",4*HEX2DEC(Table13[[#This Row],[Addr'[HEX']]]))</f>
        <v>0</v>
      </c>
      <c r="AH878" s="75">
        <f>IF(Table13[[#This Row],[value Type]]="","",VLOOKUP(Table13[[#This Row],[AddrTypeI]],Table22[],2,FALSE))</f>
        <v>0</v>
      </c>
      <c r="AI878" s="68">
        <f>IF(Table13[[#This Row],[value Type]]="","",VLOOKUP(Table13[[#This Row],[DataType]],Table351218[],2,FALSE))</f>
        <v>0</v>
      </c>
      <c r="AJ878" s="68">
        <f>IF(Table13[[#This Row],[value Type]]="","",Table13[[#This Row],[DataWidth]])</f>
        <v>1</v>
      </c>
      <c r="AK878" s="68">
        <f>IF(Table13[[#This Row],[value Type]]="","", Table13[[#This Row],[DataOffset]])</f>
        <v>1</v>
      </c>
      <c r="AL878" s="24"/>
      <c r="AM878" s="24" t="str">
        <f>IF(Table13[[#This Row],[value Type]]="","", "0x"&amp;DEC2HEX(Table13[[#This Row],[ADDR_Offset]],8) )</f>
        <v>0x00000000</v>
      </c>
    </row>
    <row r="879" spans="2:39" x14ac:dyDescent="0.3">
      <c r="B879" s="14">
        <v>0</v>
      </c>
      <c r="C879" s="28" t="s">
        <v>1</v>
      </c>
      <c r="D879" s="14" t="s">
        <v>388</v>
      </c>
      <c r="E879" s="24" t="s">
        <v>278</v>
      </c>
      <c r="F879" s="24">
        <v>4</v>
      </c>
      <c r="G879" s="14" t="s">
        <v>280</v>
      </c>
      <c r="H879" s="15" t="s">
        <v>6</v>
      </c>
      <c r="I879" s="29" t="s">
        <v>638</v>
      </c>
      <c r="J879" s="15" t="s">
        <v>747</v>
      </c>
      <c r="K879" s="15" t="s">
        <v>52</v>
      </c>
      <c r="L879" s="14">
        <v>1</v>
      </c>
      <c r="M879" s="35">
        <v>2</v>
      </c>
      <c r="N879" s="15" t="s">
        <v>400</v>
      </c>
      <c r="O879" s="25" t="s">
        <v>402</v>
      </c>
      <c r="P879" s="25">
        <v>1</v>
      </c>
      <c r="Q879" s="26" t="s">
        <v>80</v>
      </c>
      <c r="R879" s="27" t="s">
        <v>410</v>
      </c>
      <c r="S879" s="27" t="s">
        <v>405</v>
      </c>
      <c r="T879" s="27">
        <v>0</v>
      </c>
      <c r="U879" s="28"/>
      <c r="V879" s="14"/>
      <c r="W879" s="14"/>
      <c r="X879" s="30" t="str">
        <f>IF(Table13[[#This Row],[value Type]]="","",VLOOKUP(Table13[[#This Row],[value Type]],Table2915[],2,FALSE))</f>
        <v>longout</v>
      </c>
      <c r="Y879" s="30" t="str">
        <f>IF(Table13[[#This Row],[value Type]]="","",VLOOKUP(Table13[[#This Row],[value Type]],Table2915[],3,FALSE))</f>
        <v>asynParamInt32</v>
      </c>
      <c r="Z879" s="64" t="str">
        <f>IF(Table13[[#This Row],[value Type]]="","",VLOOKUP(Table13[[#This Row],[value Type]],Table2915[],4,FALSE))</f>
        <v>"asynInt32"</v>
      </c>
      <c r="AA879" s="64" t="str">
        <f>IF(Table13[[#This Row],[value Type]]="","",    IF(Table13[[#This Row],[IP MAX]]="","","@"  )     )</f>
        <v>@</v>
      </c>
      <c r="AB879" s="79" t="str">
        <f>IF(Table13[[#This Row],[value Type]]="","",VLOOKUP(Table13[[#This Row],[value Type]],Table2915[],5,FALSE))</f>
        <v xml:space="preserve"> </v>
      </c>
      <c r="AC8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879" s="79">
        <f>IF(Table13[[#This Row],[value Type]]="","",VLOOKUP(Table13[[#This Row],[IP]],Table51117[],2,FALSE))</f>
        <v>6</v>
      </c>
      <c r="AE879" s="79" t="str">
        <f>IF(Table13[[#This Row],[value Type]]="","",    IF(Table13[[#This Row],[IP MAX]]="","0","@"  )     )</f>
        <v>@</v>
      </c>
      <c r="AF879" s="68">
        <f>IF(Table13[[#This Row],[value Type]]="","",VLOOKUP(Table13[[#This Row],[Acc Type]],Table2[],2,FALSE))</f>
        <v>0</v>
      </c>
      <c r="AG879" s="75">
        <f>IF(Table13[[#This Row],[value Type]]="","",4*HEX2DEC(Table13[[#This Row],[Addr'[HEX']]]))</f>
        <v>0</v>
      </c>
      <c r="AH879" s="75">
        <f>IF(Table13[[#This Row],[value Type]]="","",VLOOKUP(Table13[[#This Row],[AddrTypeI]],Table22[],2,FALSE))</f>
        <v>0</v>
      </c>
      <c r="AI879" s="68">
        <f>IF(Table13[[#This Row],[value Type]]="","",VLOOKUP(Table13[[#This Row],[DataType]],Table351218[],2,FALSE))</f>
        <v>0</v>
      </c>
      <c r="AJ879" s="68">
        <f>IF(Table13[[#This Row],[value Type]]="","",Table13[[#This Row],[DataWidth]])</f>
        <v>1</v>
      </c>
      <c r="AK879" s="68">
        <f>IF(Table13[[#This Row],[value Type]]="","", Table13[[#This Row],[DataOffset]])</f>
        <v>2</v>
      </c>
      <c r="AL879" s="24"/>
      <c r="AM879" s="24" t="str">
        <f>IF(Table13[[#This Row],[value Type]]="","", "0x"&amp;DEC2HEX(Table13[[#This Row],[ADDR_Offset]],8) )</f>
        <v>0x00000000</v>
      </c>
    </row>
    <row r="880" spans="2:39" x14ac:dyDescent="0.3">
      <c r="B880" s="14">
        <v>0</v>
      </c>
      <c r="C880" s="28" t="s">
        <v>1</v>
      </c>
      <c r="D880" s="14" t="s">
        <v>388</v>
      </c>
      <c r="E880" s="24" t="s">
        <v>278</v>
      </c>
      <c r="F880" s="24">
        <v>4</v>
      </c>
      <c r="G880" s="14" t="s">
        <v>280</v>
      </c>
      <c r="H880" s="15" t="s">
        <v>7</v>
      </c>
      <c r="I880" s="29" t="s">
        <v>638</v>
      </c>
      <c r="J880" s="15" t="s">
        <v>747</v>
      </c>
      <c r="K880" s="15" t="s">
        <v>52</v>
      </c>
      <c r="L880" s="14">
        <v>1</v>
      </c>
      <c r="M880" s="35">
        <v>3</v>
      </c>
      <c r="N880" s="15" t="s">
        <v>400</v>
      </c>
      <c r="O880" s="25" t="s">
        <v>402</v>
      </c>
      <c r="P880" s="25">
        <v>1</v>
      </c>
      <c r="Q880" s="26" t="s">
        <v>80</v>
      </c>
      <c r="R880" s="27" t="s">
        <v>410</v>
      </c>
      <c r="S880" s="27" t="s">
        <v>405</v>
      </c>
      <c r="T880" s="27">
        <v>0</v>
      </c>
      <c r="U880" s="28"/>
      <c r="V880" s="14"/>
      <c r="W880" s="14"/>
      <c r="X880" s="30" t="str">
        <f>IF(Table13[[#This Row],[value Type]]="","",VLOOKUP(Table13[[#This Row],[value Type]],Table2915[],2,FALSE))</f>
        <v>longout</v>
      </c>
      <c r="Y880" s="30" t="str">
        <f>IF(Table13[[#This Row],[value Type]]="","",VLOOKUP(Table13[[#This Row],[value Type]],Table2915[],3,FALSE))</f>
        <v>asynParamInt32</v>
      </c>
      <c r="Z880" s="64" t="str">
        <f>IF(Table13[[#This Row],[value Type]]="","",VLOOKUP(Table13[[#This Row],[value Type]],Table2915[],4,FALSE))</f>
        <v>"asynInt32"</v>
      </c>
      <c r="AA880" s="64" t="str">
        <f>IF(Table13[[#This Row],[value Type]]="","",    IF(Table13[[#This Row],[IP MAX]]="","","@"  )     )</f>
        <v>@</v>
      </c>
      <c r="AB880" s="79" t="str">
        <f>IF(Table13[[#This Row],[value Type]]="","",VLOOKUP(Table13[[#This Row],[value Type]],Table2915[],5,FALSE))</f>
        <v xml:space="preserve"> </v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880" s="79">
        <f>IF(Table13[[#This Row],[value Type]]="","",VLOOKUP(Table13[[#This Row],[IP]],Table51117[],2,FALSE))</f>
        <v>6</v>
      </c>
      <c r="AE880" s="79" t="str">
        <f>IF(Table13[[#This Row],[value Type]]="","",    IF(Table13[[#This Row],[IP MAX]]="","0","@"  )     )</f>
        <v>@</v>
      </c>
      <c r="AF880" s="68">
        <f>IF(Table13[[#This Row],[value Type]]="","",VLOOKUP(Table13[[#This Row],[Acc Type]],Table2[],2,FALSE))</f>
        <v>0</v>
      </c>
      <c r="AG880" s="75">
        <f>IF(Table13[[#This Row],[value Type]]="","",4*HEX2DEC(Table13[[#This Row],[Addr'[HEX']]]))</f>
        <v>0</v>
      </c>
      <c r="AH880" s="75">
        <f>IF(Table13[[#This Row],[value Type]]="","",VLOOKUP(Table13[[#This Row],[AddrTypeI]],Table22[],2,FALSE))</f>
        <v>0</v>
      </c>
      <c r="AI880" s="68">
        <f>IF(Table13[[#This Row],[value Type]]="","",VLOOKUP(Table13[[#This Row],[DataType]],Table351218[],2,FALSE))</f>
        <v>0</v>
      </c>
      <c r="AJ880" s="68">
        <f>IF(Table13[[#This Row],[value Type]]="","",Table13[[#This Row],[DataWidth]])</f>
        <v>1</v>
      </c>
      <c r="AK880" s="68">
        <f>IF(Table13[[#This Row],[value Type]]="","", Table13[[#This Row],[DataOffset]])</f>
        <v>3</v>
      </c>
      <c r="AL880" s="24"/>
      <c r="AM880" s="24" t="str">
        <f>IF(Table13[[#This Row],[value Type]]="","", "0x"&amp;DEC2HEX(Table13[[#This Row],[ADDR_Offset]],8) )</f>
        <v>0x00000000</v>
      </c>
    </row>
    <row r="881" spans="2:39" x14ac:dyDescent="0.3">
      <c r="B881" s="14">
        <v>0</v>
      </c>
      <c r="C881" s="28" t="s">
        <v>1</v>
      </c>
      <c r="D881" s="14" t="s">
        <v>388</v>
      </c>
      <c r="E881" s="24" t="s">
        <v>278</v>
      </c>
      <c r="F881" s="24">
        <v>4</v>
      </c>
      <c r="G881" s="14" t="s">
        <v>280</v>
      </c>
      <c r="H881" s="15" t="s">
        <v>8</v>
      </c>
      <c r="I881" s="29" t="s">
        <v>638</v>
      </c>
      <c r="J881" s="15" t="s">
        <v>747</v>
      </c>
      <c r="K881" s="15" t="s">
        <v>52</v>
      </c>
      <c r="L881" s="14">
        <v>1</v>
      </c>
      <c r="M881" s="35">
        <v>4</v>
      </c>
      <c r="N881" s="15" t="s">
        <v>400</v>
      </c>
      <c r="O881" s="25" t="s">
        <v>402</v>
      </c>
      <c r="P881" s="25">
        <v>1</v>
      </c>
      <c r="Q881" s="26" t="s">
        <v>80</v>
      </c>
      <c r="R881" s="27" t="s">
        <v>410</v>
      </c>
      <c r="S881" s="27" t="s">
        <v>405</v>
      </c>
      <c r="T881" s="27">
        <v>0</v>
      </c>
      <c r="U881" s="28"/>
      <c r="V881" s="14"/>
      <c r="W881" s="14"/>
      <c r="X881" s="30" t="str">
        <f>IF(Table13[[#This Row],[value Type]]="","",VLOOKUP(Table13[[#This Row],[value Type]],Table2915[],2,FALSE))</f>
        <v>longout</v>
      </c>
      <c r="Y881" s="30" t="str">
        <f>IF(Table13[[#This Row],[value Type]]="","",VLOOKUP(Table13[[#This Row],[value Type]],Table2915[],3,FALSE))</f>
        <v>asynParamInt32</v>
      </c>
      <c r="Z881" s="64" t="str">
        <f>IF(Table13[[#This Row],[value Type]]="","",VLOOKUP(Table13[[#This Row],[value Type]],Table2915[],4,FALSE))</f>
        <v>"asynInt32"</v>
      </c>
      <c r="AA881" s="64" t="str">
        <f>IF(Table13[[#This Row],[value Type]]="","",    IF(Table13[[#This Row],[IP MAX]]="","","@"  )     )</f>
        <v>@</v>
      </c>
      <c r="AB881" s="79" t="str">
        <f>IF(Table13[[#This Row],[value Type]]="","",VLOOKUP(Table13[[#This Row],[value Type]],Table2915[],5,FALSE))</f>
        <v xml:space="preserve"> </v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881" s="79">
        <f>IF(Table13[[#This Row],[value Type]]="","",VLOOKUP(Table13[[#This Row],[IP]],Table51117[],2,FALSE))</f>
        <v>6</v>
      </c>
      <c r="AE881" s="79" t="str">
        <f>IF(Table13[[#This Row],[value Type]]="","",    IF(Table13[[#This Row],[IP MAX]]="","0","@"  )     )</f>
        <v>@</v>
      </c>
      <c r="AF881" s="68">
        <f>IF(Table13[[#This Row],[value Type]]="","",VLOOKUP(Table13[[#This Row],[Acc Type]],Table2[],2,FALSE))</f>
        <v>0</v>
      </c>
      <c r="AG881" s="75">
        <f>IF(Table13[[#This Row],[value Type]]="","",4*HEX2DEC(Table13[[#This Row],[Addr'[HEX']]]))</f>
        <v>0</v>
      </c>
      <c r="AH881" s="75">
        <f>IF(Table13[[#This Row],[value Type]]="","",VLOOKUP(Table13[[#This Row],[AddrTypeI]],Table22[],2,FALSE))</f>
        <v>0</v>
      </c>
      <c r="AI881" s="68">
        <f>IF(Table13[[#This Row],[value Type]]="","",VLOOKUP(Table13[[#This Row],[DataType]],Table351218[],2,FALSE))</f>
        <v>0</v>
      </c>
      <c r="AJ881" s="68">
        <f>IF(Table13[[#This Row],[value Type]]="","",Table13[[#This Row],[DataWidth]])</f>
        <v>1</v>
      </c>
      <c r="AK881" s="68">
        <f>IF(Table13[[#This Row],[value Type]]="","", Table13[[#This Row],[DataOffset]])</f>
        <v>4</v>
      </c>
      <c r="AL881" s="24"/>
      <c r="AM881" s="24" t="str">
        <f>IF(Table13[[#This Row],[value Type]]="","", "0x"&amp;DEC2HEX(Table13[[#This Row],[ADDR_Offset]],8) )</f>
        <v>0x00000000</v>
      </c>
    </row>
    <row r="882" spans="2:39" x14ac:dyDescent="0.3">
      <c r="B882" s="14">
        <v>0</v>
      </c>
      <c r="C882" s="28" t="s">
        <v>1</v>
      </c>
      <c r="D882" s="14" t="s">
        <v>388</v>
      </c>
      <c r="E882" s="24" t="s">
        <v>278</v>
      </c>
      <c r="F882" s="24">
        <v>4</v>
      </c>
      <c r="G882" s="14" t="s">
        <v>280</v>
      </c>
      <c r="H882" s="15" t="s">
        <v>9</v>
      </c>
      <c r="I882" s="29" t="s">
        <v>638</v>
      </c>
      <c r="J882" s="15" t="s">
        <v>747</v>
      </c>
      <c r="K882" s="15" t="s">
        <v>52</v>
      </c>
      <c r="L882" s="14">
        <v>1</v>
      </c>
      <c r="M882" s="35">
        <v>5</v>
      </c>
      <c r="N882" s="15" t="s">
        <v>400</v>
      </c>
      <c r="O882" s="25" t="s">
        <v>402</v>
      </c>
      <c r="P882" s="25">
        <v>1</v>
      </c>
      <c r="Q882" s="26" t="s">
        <v>80</v>
      </c>
      <c r="R882" s="27" t="s">
        <v>410</v>
      </c>
      <c r="S882" s="27" t="s">
        <v>405</v>
      </c>
      <c r="T882" s="27">
        <v>0</v>
      </c>
      <c r="U882" s="28"/>
      <c r="V882" s="14"/>
      <c r="W882" s="14"/>
      <c r="X882" s="30" t="str">
        <f>IF(Table13[[#This Row],[value Type]]="","",VLOOKUP(Table13[[#This Row],[value Type]],Table2915[],2,FALSE))</f>
        <v>longout</v>
      </c>
      <c r="Y882" s="30" t="str">
        <f>IF(Table13[[#This Row],[value Type]]="","",VLOOKUP(Table13[[#This Row],[value Type]],Table2915[],3,FALSE))</f>
        <v>asynParamInt32</v>
      </c>
      <c r="Z882" s="64" t="str">
        <f>IF(Table13[[#This Row],[value Type]]="","",VLOOKUP(Table13[[#This Row],[value Type]],Table2915[],4,FALSE))</f>
        <v>"asynInt32"</v>
      </c>
      <c r="AA882" s="64" t="str">
        <f>IF(Table13[[#This Row],[value Type]]="","",    IF(Table13[[#This Row],[IP MAX]]="","","@"  )     )</f>
        <v>@</v>
      </c>
      <c r="AB882" s="79" t="str">
        <f>IF(Table13[[#This Row],[value Type]]="","",VLOOKUP(Table13[[#This Row],[value Type]],Table2915[],5,FALSE))</f>
        <v xml:space="preserve"> </v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882" s="79">
        <f>IF(Table13[[#This Row],[value Type]]="","",VLOOKUP(Table13[[#This Row],[IP]],Table51117[],2,FALSE))</f>
        <v>6</v>
      </c>
      <c r="AE882" s="79" t="str">
        <f>IF(Table13[[#This Row],[value Type]]="","",    IF(Table13[[#This Row],[IP MAX]]="","0","@"  )     )</f>
        <v>@</v>
      </c>
      <c r="AF882" s="68">
        <f>IF(Table13[[#This Row],[value Type]]="","",VLOOKUP(Table13[[#This Row],[Acc Type]],Table2[],2,FALSE))</f>
        <v>0</v>
      </c>
      <c r="AG882" s="75">
        <f>IF(Table13[[#This Row],[value Type]]="","",4*HEX2DEC(Table13[[#This Row],[Addr'[HEX']]]))</f>
        <v>0</v>
      </c>
      <c r="AH882" s="75">
        <f>IF(Table13[[#This Row],[value Type]]="","",VLOOKUP(Table13[[#This Row],[AddrTypeI]],Table22[],2,FALSE))</f>
        <v>0</v>
      </c>
      <c r="AI882" s="68">
        <f>IF(Table13[[#This Row],[value Type]]="","",VLOOKUP(Table13[[#This Row],[DataType]],Table351218[],2,FALSE))</f>
        <v>0</v>
      </c>
      <c r="AJ882" s="68">
        <f>IF(Table13[[#This Row],[value Type]]="","",Table13[[#This Row],[DataWidth]])</f>
        <v>1</v>
      </c>
      <c r="AK882" s="68">
        <f>IF(Table13[[#This Row],[value Type]]="","", Table13[[#This Row],[DataOffset]])</f>
        <v>5</v>
      </c>
      <c r="AL882" s="24"/>
      <c r="AM882" s="24" t="str">
        <f>IF(Table13[[#This Row],[value Type]]="","", "0x"&amp;DEC2HEX(Table13[[#This Row],[ADDR_Offset]],8) )</f>
        <v>0x00000000</v>
      </c>
    </row>
    <row r="883" spans="2:39" x14ac:dyDescent="0.3">
      <c r="B883" s="14">
        <v>0</v>
      </c>
      <c r="C883" s="28" t="s">
        <v>1</v>
      </c>
      <c r="D883" s="14" t="s">
        <v>388</v>
      </c>
      <c r="E883" s="24" t="s">
        <v>278</v>
      </c>
      <c r="F883" s="24">
        <v>4</v>
      </c>
      <c r="G883" s="14" t="s">
        <v>280</v>
      </c>
      <c r="H883" s="15" t="s">
        <v>10</v>
      </c>
      <c r="I883" s="29" t="s">
        <v>638</v>
      </c>
      <c r="J883" s="15" t="s">
        <v>747</v>
      </c>
      <c r="K883" s="15" t="s">
        <v>52</v>
      </c>
      <c r="L883" s="14">
        <v>1</v>
      </c>
      <c r="M883" s="35">
        <v>6</v>
      </c>
      <c r="N883" s="15" t="s">
        <v>400</v>
      </c>
      <c r="O883" s="25" t="s">
        <v>402</v>
      </c>
      <c r="P883" s="25">
        <v>1</v>
      </c>
      <c r="Q883" s="26" t="s">
        <v>80</v>
      </c>
      <c r="R883" s="27" t="s">
        <v>410</v>
      </c>
      <c r="S883" s="27" t="s">
        <v>405</v>
      </c>
      <c r="T883" s="27">
        <v>0</v>
      </c>
      <c r="U883" s="28"/>
      <c r="V883" s="14"/>
      <c r="W883" s="14"/>
      <c r="X883" s="30" t="str">
        <f>IF(Table13[[#This Row],[value Type]]="","",VLOOKUP(Table13[[#This Row],[value Type]],Table2915[],2,FALSE))</f>
        <v>longout</v>
      </c>
      <c r="Y883" s="30" t="str">
        <f>IF(Table13[[#This Row],[value Type]]="","",VLOOKUP(Table13[[#This Row],[value Type]],Table2915[],3,FALSE))</f>
        <v>asynParamInt32</v>
      </c>
      <c r="Z883" s="64" t="str">
        <f>IF(Table13[[#This Row],[value Type]]="","",VLOOKUP(Table13[[#This Row],[value Type]],Table2915[],4,FALSE))</f>
        <v>"asynInt32"</v>
      </c>
      <c r="AA883" s="64" t="str">
        <f>IF(Table13[[#This Row],[value Type]]="","",    IF(Table13[[#This Row],[IP MAX]]="","","@"  )     )</f>
        <v>@</v>
      </c>
      <c r="AB883" s="79" t="str">
        <f>IF(Table13[[#This Row],[value Type]]="","",VLOOKUP(Table13[[#This Row],[value Type]],Table2915[],5,FALSE))</f>
        <v xml:space="preserve"> </v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83" s="79">
        <f>IF(Table13[[#This Row],[value Type]]="","",VLOOKUP(Table13[[#This Row],[IP]],Table51117[],2,FALSE))</f>
        <v>6</v>
      </c>
      <c r="AE883" s="79" t="str">
        <f>IF(Table13[[#This Row],[value Type]]="","",    IF(Table13[[#This Row],[IP MAX]]="","0","@"  )     )</f>
        <v>@</v>
      </c>
      <c r="AF883" s="68">
        <f>IF(Table13[[#This Row],[value Type]]="","",VLOOKUP(Table13[[#This Row],[Acc Type]],Table2[],2,FALSE))</f>
        <v>0</v>
      </c>
      <c r="AG883" s="75">
        <f>IF(Table13[[#This Row],[value Type]]="","",4*HEX2DEC(Table13[[#This Row],[Addr'[HEX']]]))</f>
        <v>0</v>
      </c>
      <c r="AH883" s="75">
        <f>IF(Table13[[#This Row],[value Type]]="","",VLOOKUP(Table13[[#This Row],[AddrTypeI]],Table22[],2,FALSE))</f>
        <v>0</v>
      </c>
      <c r="AI883" s="68">
        <f>IF(Table13[[#This Row],[value Type]]="","",VLOOKUP(Table13[[#This Row],[DataType]],Table351218[],2,FALSE))</f>
        <v>0</v>
      </c>
      <c r="AJ883" s="68">
        <f>IF(Table13[[#This Row],[value Type]]="","",Table13[[#This Row],[DataWidth]])</f>
        <v>1</v>
      </c>
      <c r="AK883" s="68">
        <f>IF(Table13[[#This Row],[value Type]]="","", Table13[[#This Row],[DataOffset]])</f>
        <v>6</v>
      </c>
      <c r="AL883" s="24"/>
      <c r="AM883" s="24" t="str">
        <f>IF(Table13[[#This Row],[value Type]]="","", "0x"&amp;DEC2HEX(Table13[[#This Row],[ADDR_Offset]],8) )</f>
        <v>0x00000000</v>
      </c>
    </row>
    <row r="884" spans="2:39" x14ac:dyDescent="0.3">
      <c r="B884" s="14">
        <v>0</v>
      </c>
      <c r="C884" s="28" t="s">
        <v>1</v>
      </c>
      <c r="D884" s="14" t="s">
        <v>388</v>
      </c>
      <c r="E884" s="24" t="s">
        <v>278</v>
      </c>
      <c r="F884" s="24">
        <v>4</v>
      </c>
      <c r="G884" s="14" t="s">
        <v>280</v>
      </c>
      <c r="H884" s="15" t="s">
        <v>11</v>
      </c>
      <c r="I884" s="29" t="s">
        <v>638</v>
      </c>
      <c r="J884" s="15" t="s">
        <v>747</v>
      </c>
      <c r="K884" s="15" t="s">
        <v>52</v>
      </c>
      <c r="L884" s="14">
        <v>1</v>
      </c>
      <c r="M884" s="35">
        <v>7</v>
      </c>
      <c r="N884" s="15" t="s">
        <v>400</v>
      </c>
      <c r="O884" s="25" t="s">
        <v>402</v>
      </c>
      <c r="P884" s="25">
        <v>1</v>
      </c>
      <c r="Q884" s="26" t="s">
        <v>80</v>
      </c>
      <c r="R884" s="27" t="s">
        <v>410</v>
      </c>
      <c r="S884" s="27" t="s">
        <v>405</v>
      </c>
      <c r="T884" s="27">
        <v>0</v>
      </c>
      <c r="U884" s="28"/>
      <c r="V884" s="14"/>
      <c r="W884" s="14"/>
      <c r="X884" s="30" t="str">
        <f>IF(Table13[[#This Row],[value Type]]="","",VLOOKUP(Table13[[#This Row],[value Type]],Table2915[],2,FALSE))</f>
        <v>longout</v>
      </c>
      <c r="Y884" s="30" t="str">
        <f>IF(Table13[[#This Row],[value Type]]="","",VLOOKUP(Table13[[#This Row],[value Type]],Table2915[],3,FALSE))</f>
        <v>asynParamInt32</v>
      </c>
      <c r="Z884" s="64" t="str">
        <f>IF(Table13[[#This Row],[value Type]]="","",VLOOKUP(Table13[[#This Row],[value Type]],Table2915[],4,FALSE))</f>
        <v>"asynInt32"</v>
      </c>
      <c r="AA884" s="64" t="str">
        <f>IF(Table13[[#This Row],[value Type]]="","",    IF(Table13[[#This Row],[IP MAX]]="","","@"  )     )</f>
        <v>@</v>
      </c>
      <c r="AB884" s="79" t="str">
        <f>IF(Table13[[#This Row],[value Type]]="","",VLOOKUP(Table13[[#This Row],[value Type]],Table2915[],5,FALSE))</f>
        <v xml:space="preserve"> </v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84" s="79">
        <f>IF(Table13[[#This Row],[value Type]]="","",VLOOKUP(Table13[[#This Row],[IP]],Table51117[],2,FALSE))</f>
        <v>6</v>
      </c>
      <c r="AE884" s="79" t="str">
        <f>IF(Table13[[#This Row],[value Type]]="","",    IF(Table13[[#This Row],[IP MAX]]="","0","@"  )     )</f>
        <v>@</v>
      </c>
      <c r="AF884" s="68">
        <f>IF(Table13[[#This Row],[value Type]]="","",VLOOKUP(Table13[[#This Row],[Acc Type]],Table2[],2,FALSE))</f>
        <v>0</v>
      </c>
      <c r="AG884" s="75">
        <f>IF(Table13[[#This Row],[value Type]]="","",4*HEX2DEC(Table13[[#This Row],[Addr'[HEX']]]))</f>
        <v>0</v>
      </c>
      <c r="AH884" s="75">
        <f>IF(Table13[[#This Row],[value Type]]="","",VLOOKUP(Table13[[#This Row],[AddrTypeI]],Table22[],2,FALSE))</f>
        <v>0</v>
      </c>
      <c r="AI884" s="68">
        <f>IF(Table13[[#This Row],[value Type]]="","",VLOOKUP(Table13[[#This Row],[DataType]],Table351218[],2,FALSE))</f>
        <v>0</v>
      </c>
      <c r="AJ884" s="68">
        <f>IF(Table13[[#This Row],[value Type]]="","",Table13[[#This Row],[DataWidth]])</f>
        <v>1</v>
      </c>
      <c r="AK884" s="68">
        <f>IF(Table13[[#This Row],[value Type]]="","", Table13[[#This Row],[DataOffset]])</f>
        <v>7</v>
      </c>
      <c r="AL884" s="24"/>
      <c r="AM884" s="24" t="str">
        <f>IF(Table13[[#This Row],[value Type]]="","", "0x"&amp;DEC2HEX(Table13[[#This Row],[ADDR_Offset]],8) )</f>
        <v>0x00000000</v>
      </c>
    </row>
    <row r="885" spans="2:39" x14ac:dyDescent="0.3">
      <c r="B885" s="14">
        <v>0</v>
      </c>
      <c r="C885" s="14"/>
      <c r="D885" s="14"/>
      <c r="E885" s="24"/>
      <c r="F885" s="24"/>
      <c r="G885" s="14"/>
      <c r="H885" s="36"/>
      <c r="I885" s="29"/>
      <c r="J885" s="15" t="s">
        <v>747</v>
      </c>
      <c r="K885" s="15"/>
      <c r="L885" s="14"/>
      <c r="M885" s="35"/>
      <c r="N885" s="15"/>
      <c r="O885" s="25"/>
      <c r="P885" s="25"/>
      <c r="Q885" s="15"/>
      <c r="R885" s="26"/>
      <c r="S885" s="27"/>
      <c r="T885" s="27"/>
      <c r="U885" s="28"/>
      <c r="V885" s="14"/>
      <c r="W885" s="14"/>
      <c r="X885" s="30" t="str">
        <f>IF(Table13[[#This Row],[value Type]]="","",VLOOKUP(Table13[[#This Row],[value Type]],Table2915[],2,FALSE))</f>
        <v/>
      </c>
      <c r="Y885" s="30" t="str">
        <f>IF(Table13[[#This Row],[value Type]]="","",VLOOKUP(Table13[[#This Row],[value Type]],Table2915[],3,FALSE))</f>
        <v/>
      </c>
      <c r="Z885" s="64" t="str">
        <f>IF(Table13[[#This Row],[value Type]]="","",VLOOKUP(Table13[[#This Row],[value Type]],Table2915[],4,FALSE))</f>
        <v/>
      </c>
      <c r="AA885" s="64" t="str">
        <f>IF(Table13[[#This Row],[value Type]]="","",    IF(Table13[[#This Row],[IP MAX]]="","","@"  )     )</f>
        <v/>
      </c>
      <c r="AB885" s="79" t="str">
        <f>IF(Table13[[#This Row],[value Type]]="","",VLOOKUP(Table13[[#This Row],[value Type]],Table2915[],5,FALSE))</f>
        <v/>
      </c>
      <c r="AC8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79" t="str">
        <f>IF(Table13[[#This Row],[value Type]]="","",VLOOKUP(Table13[[#This Row],[IP]],Table51117[],2,FALSE))</f>
        <v/>
      </c>
      <c r="AE885" s="79" t="str">
        <f>IF(Table13[[#This Row],[value Type]]="","",    IF(Table13[[#This Row],[IP MAX]]="","0","@"  )     )</f>
        <v/>
      </c>
      <c r="AF885" s="68" t="str">
        <f>IF(Table13[[#This Row],[value Type]]="","",VLOOKUP(Table13[[#This Row],[Acc Type]],Table2[],2,FALSE))</f>
        <v/>
      </c>
      <c r="AG885" s="75" t="str">
        <f>IF(Table13[[#This Row],[value Type]]="","",4*HEX2DEC(Table13[[#This Row],[Addr'[HEX']]]))</f>
        <v/>
      </c>
      <c r="AH885" s="75" t="str">
        <f>IF(Table13[[#This Row],[value Type]]="","",VLOOKUP(Table13[[#This Row],[AddrTypeI]],Table22[],2,FALSE))</f>
        <v/>
      </c>
      <c r="AI885" s="68" t="str">
        <f>IF(Table13[[#This Row],[value Type]]="","",VLOOKUP(Table13[[#This Row],[DataType]],Table351218[],2,FALSE))</f>
        <v/>
      </c>
      <c r="AJ885" s="68" t="str">
        <f>IF(Table13[[#This Row],[value Type]]="","",Table13[[#This Row],[DataWidth]])</f>
        <v/>
      </c>
      <c r="AK885" s="68" t="str">
        <f>IF(Table13[[#This Row],[value Type]]="","", Table13[[#This Row],[DataOffset]])</f>
        <v/>
      </c>
      <c r="AL885" s="24"/>
      <c r="AM885" s="24" t="str">
        <f>IF(Table13[[#This Row],[value Type]]="","", "0x"&amp;DEC2HEX(Table13[[#This Row],[ADDR_Offset]],8) )</f>
        <v/>
      </c>
    </row>
    <row r="886" spans="2:39" x14ac:dyDescent="0.3">
      <c r="B886" s="14">
        <v>0</v>
      </c>
      <c r="C886" s="14"/>
      <c r="D886" s="14"/>
      <c r="E886" s="24"/>
      <c r="F886" s="24"/>
      <c r="G886" s="14"/>
      <c r="H886" s="36"/>
      <c r="I886" s="29"/>
      <c r="J886" s="15" t="s">
        <v>747</v>
      </c>
      <c r="K886" s="15"/>
      <c r="L886" s="14"/>
      <c r="M886" s="35"/>
      <c r="N886" s="15"/>
      <c r="O886" s="25"/>
      <c r="P886" s="25"/>
      <c r="Q886" s="15"/>
      <c r="R886" s="26"/>
      <c r="S886" s="27"/>
      <c r="T886" s="27"/>
      <c r="U886" s="28"/>
      <c r="V886" s="14"/>
      <c r="W886" s="14"/>
      <c r="X886" s="30" t="str">
        <f>IF(Table13[[#This Row],[value Type]]="","",VLOOKUP(Table13[[#This Row],[value Type]],Table2915[],2,FALSE))</f>
        <v/>
      </c>
      <c r="Y886" s="30" t="str">
        <f>IF(Table13[[#This Row],[value Type]]="","",VLOOKUP(Table13[[#This Row],[value Type]],Table2915[],3,FALSE))</f>
        <v/>
      </c>
      <c r="Z886" s="64" t="str">
        <f>IF(Table13[[#This Row],[value Type]]="","",VLOOKUP(Table13[[#This Row],[value Type]],Table2915[],4,FALSE))</f>
        <v/>
      </c>
      <c r="AA886" s="64" t="str">
        <f>IF(Table13[[#This Row],[value Type]]="","",    IF(Table13[[#This Row],[IP MAX]]="","","@"  )     )</f>
        <v/>
      </c>
      <c r="AB886" s="79" t="str">
        <f>IF(Table13[[#This Row],[value Type]]="","",VLOOKUP(Table13[[#This Row],[value Type]],Table2915[],5,FALSE))</f>
        <v/>
      </c>
      <c r="AC8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6" s="79" t="str">
        <f>IF(Table13[[#This Row],[value Type]]="","",VLOOKUP(Table13[[#This Row],[IP]],Table51117[],2,FALSE))</f>
        <v/>
      </c>
      <c r="AE886" s="79" t="str">
        <f>IF(Table13[[#This Row],[value Type]]="","",    IF(Table13[[#This Row],[IP MAX]]="","0","@"  )     )</f>
        <v/>
      </c>
      <c r="AF886" s="68" t="str">
        <f>IF(Table13[[#This Row],[value Type]]="","",VLOOKUP(Table13[[#This Row],[Acc Type]],Table2[],2,FALSE))</f>
        <v/>
      </c>
      <c r="AG886" s="75" t="str">
        <f>IF(Table13[[#This Row],[value Type]]="","",4*HEX2DEC(Table13[[#This Row],[Addr'[HEX']]]))</f>
        <v/>
      </c>
      <c r="AH886" s="75" t="str">
        <f>IF(Table13[[#This Row],[value Type]]="","",VLOOKUP(Table13[[#This Row],[AddrTypeI]],Table22[],2,FALSE))</f>
        <v/>
      </c>
      <c r="AI886" s="68" t="str">
        <f>IF(Table13[[#This Row],[value Type]]="","",VLOOKUP(Table13[[#This Row],[DataType]],Table351218[],2,FALSE))</f>
        <v/>
      </c>
      <c r="AJ886" s="68" t="str">
        <f>IF(Table13[[#This Row],[value Type]]="","",Table13[[#This Row],[DataWidth]])</f>
        <v/>
      </c>
      <c r="AK886" s="68" t="str">
        <f>IF(Table13[[#This Row],[value Type]]="","", Table13[[#This Row],[DataOffset]])</f>
        <v/>
      </c>
      <c r="AL886" s="24"/>
      <c r="AM886" s="24" t="str">
        <f>IF(Table13[[#This Row],[value Type]]="","", "0x"&amp;DEC2HEX(Table13[[#This Row],[ADDR_Offset]],8) )</f>
        <v/>
      </c>
    </row>
    <row r="887" spans="2:39" x14ac:dyDescent="0.3">
      <c r="B887" s="14">
        <v>0</v>
      </c>
      <c r="C887" s="28" t="s">
        <v>1</v>
      </c>
      <c r="D887" s="14" t="s">
        <v>388</v>
      </c>
      <c r="E887" s="24" t="s">
        <v>278</v>
      </c>
      <c r="F887" s="24">
        <v>4</v>
      </c>
      <c r="G887" s="14" t="s">
        <v>490</v>
      </c>
      <c r="H887" s="36"/>
      <c r="I887" s="29" t="s">
        <v>707</v>
      </c>
      <c r="J887" s="15" t="s">
        <v>747</v>
      </c>
      <c r="K887" s="15" t="s">
        <v>52</v>
      </c>
      <c r="L887" s="14">
        <v>32</v>
      </c>
      <c r="M887" s="35">
        <v>0</v>
      </c>
      <c r="N887" s="15" t="s">
        <v>400</v>
      </c>
      <c r="O887" s="25" t="s">
        <v>402</v>
      </c>
      <c r="P887" s="25">
        <v>1</v>
      </c>
      <c r="Q887" s="26" t="s">
        <v>80</v>
      </c>
      <c r="R887" s="27" t="s">
        <v>410</v>
      </c>
      <c r="S887" s="27" t="s">
        <v>405</v>
      </c>
      <c r="T887" s="27">
        <v>0</v>
      </c>
      <c r="U887" s="28"/>
      <c r="V887" s="14"/>
      <c r="W887" s="14"/>
      <c r="X887" s="30" t="str">
        <f>IF(Table13[[#This Row],[value Type]]="","",VLOOKUP(Table13[[#This Row],[value Type]],Table2915[],2,FALSE))</f>
        <v>longout</v>
      </c>
      <c r="Y887" s="30" t="str">
        <f>IF(Table13[[#This Row],[value Type]]="","",VLOOKUP(Table13[[#This Row],[value Type]],Table2915[],3,FALSE))</f>
        <v>asynParamInt32</v>
      </c>
      <c r="Z887" s="64" t="str">
        <f>IF(Table13[[#This Row],[value Type]]="","",VLOOKUP(Table13[[#This Row],[value Type]],Table2915[],4,FALSE))</f>
        <v>"asynInt32"</v>
      </c>
      <c r="AA887" s="64" t="str">
        <f>IF(Table13[[#This Row],[value Type]]="","",    IF(Table13[[#This Row],[IP MAX]]="","","@"  )     )</f>
        <v>@</v>
      </c>
      <c r="AB887" s="79" t="str">
        <f>IF(Table13[[#This Row],[value Type]]="","",VLOOKUP(Table13[[#This Row],[value Type]],Table2915[],5,FALSE))</f>
        <v xml:space="preserve"> </v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87" s="79">
        <f>IF(Table13[[#This Row],[value Type]]="","",VLOOKUP(Table13[[#This Row],[IP]],Table51117[],2,FALSE))</f>
        <v>6</v>
      </c>
      <c r="AE887" s="79" t="str">
        <f>IF(Table13[[#This Row],[value Type]]="","",    IF(Table13[[#This Row],[IP MAX]]="","0","@"  )     )</f>
        <v>@</v>
      </c>
      <c r="AF887" s="68">
        <f>IF(Table13[[#This Row],[value Type]]="","",VLOOKUP(Table13[[#This Row],[Acc Type]],Table2[],2,FALSE))</f>
        <v>0</v>
      </c>
      <c r="AG887" s="75">
        <f>IF(Table13[[#This Row],[value Type]]="","",4*HEX2DEC(Table13[[#This Row],[Addr'[HEX']]]))</f>
        <v>744</v>
      </c>
      <c r="AH887" s="75">
        <f>IF(Table13[[#This Row],[value Type]]="","",VLOOKUP(Table13[[#This Row],[AddrTypeI]],Table22[],2,FALSE))</f>
        <v>0</v>
      </c>
      <c r="AI887" s="68">
        <f>IF(Table13[[#This Row],[value Type]]="","",VLOOKUP(Table13[[#This Row],[DataType]],Table351218[],2,FALSE))</f>
        <v>0</v>
      </c>
      <c r="AJ887" s="68">
        <f>IF(Table13[[#This Row],[value Type]]="","",Table13[[#This Row],[DataWidth]])</f>
        <v>32</v>
      </c>
      <c r="AK887" s="68">
        <f>IF(Table13[[#This Row],[value Type]]="","", Table13[[#This Row],[DataOffset]])</f>
        <v>0</v>
      </c>
      <c r="AL887" s="24"/>
      <c r="AM887" s="24" t="str">
        <f>IF(Table13[[#This Row],[value Type]]="","", "0x"&amp;DEC2HEX(Table13[[#This Row],[ADDR_Offset]],8) )</f>
        <v>0x000002E8</v>
      </c>
    </row>
    <row r="888" spans="2:39" x14ac:dyDescent="0.3">
      <c r="B888" s="14">
        <v>0</v>
      </c>
      <c r="C888" s="28" t="s">
        <v>1</v>
      </c>
      <c r="D888" s="14" t="s">
        <v>388</v>
      </c>
      <c r="E888" s="24" t="s">
        <v>278</v>
      </c>
      <c r="F888" s="24">
        <v>4</v>
      </c>
      <c r="G888" s="14" t="s">
        <v>491</v>
      </c>
      <c r="H888" s="36"/>
      <c r="I888" s="29" t="s">
        <v>708</v>
      </c>
      <c r="J888" s="15" t="s">
        <v>747</v>
      </c>
      <c r="K888" s="15" t="s">
        <v>52</v>
      </c>
      <c r="L888" s="14">
        <v>32</v>
      </c>
      <c r="M888" s="35">
        <v>0</v>
      </c>
      <c r="N888" s="15" t="s">
        <v>400</v>
      </c>
      <c r="O888" s="25" t="s">
        <v>402</v>
      </c>
      <c r="P888" s="25">
        <v>1</v>
      </c>
      <c r="Q888" s="26" t="s">
        <v>80</v>
      </c>
      <c r="R888" s="27" t="s">
        <v>410</v>
      </c>
      <c r="S888" s="27" t="s">
        <v>405</v>
      </c>
      <c r="T888" s="27">
        <v>0</v>
      </c>
      <c r="U888" s="28"/>
      <c r="V888" s="14"/>
      <c r="W888" s="14"/>
      <c r="X888" s="30" t="str">
        <f>IF(Table13[[#This Row],[value Type]]="","",VLOOKUP(Table13[[#This Row],[value Type]],Table2915[],2,FALSE))</f>
        <v>longout</v>
      </c>
      <c r="Y888" s="30" t="str">
        <f>IF(Table13[[#This Row],[value Type]]="","",VLOOKUP(Table13[[#This Row],[value Type]],Table2915[],3,FALSE))</f>
        <v>asynParamInt32</v>
      </c>
      <c r="Z888" s="64" t="str">
        <f>IF(Table13[[#This Row],[value Type]]="","",VLOOKUP(Table13[[#This Row],[value Type]],Table2915[],4,FALSE))</f>
        <v>"asynInt32"</v>
      </c>
      <c r="AA888" s="64" t="str">
        <f>IF(Table13[[#This Row],[value Type]]="","",    IF(Table13[[#This Row],[IP MAX]]="","","@"  )     )</f>
        <v>@</v>
      </c>
      <c r="AB888" s="79" t="str">
        <f>IF(Table13[[#This Row],[value Type]]="","",VLOOKUP(Table13[[#This Row],[value Type]],Table2915[],5,FALSE))</f>
        <v xml:space="preserve"> </v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88" s="79">
        <f>IF(Table13[[#This Row],[value Type]]="","",VLOOKUP(Table13[[#This Row],[IP]],Table51117[],2,FALSE))</f>
        <v>6</v>
      </c>
      <c r="AE888" s="79" t="str">
        <f>IF(Table13[[#This Row],[value Type]]="","",    IF(Table13[[#This Row],[IP MAX]]="","0","@"  )     )</f>
        <v>@</v>
      </c>
      <c r="AF888" s="68">
        <f>IF(Table13[[#This Row],[value Type]]="","",VLOOKUP(Table13[[#This Row],[Acc Type]],Table2[],2,FALSE))</f>
        <v>0</v>
      </c>
      <c r="AG888" s="75">
        <f>IF(Table13[[#This Row],[value Type]]="","",4*HEX2DEC(Table13[[#This Row],[Addr'[HEX']]]))</f>
        <v>752</v>
      </c>
      <c r="AH888" s="75">
        <f>IF(Table13[[#This Row],[value Type]]="","",VLOOKUP(Table13[[#This Row],[AddrTypeI]],Table22[],2,FALSE))</f>
        <v>0</v>
      </c>
      <c r="AI888" s="68">
        <f>IF(Table13[[#This Row],[value Type]]="","",VLOOKUP(Table13[[#This Row],[DataType]],Table351218[],2,FALSE))</f>
        <v>0</v>
      </c>
      <c r="AJ888" s="68">
        <f>IF(Table13[[#This Row],[value Type]]="","",Table13[[#This Row],[DataWidth]])</f>
        <v>32</v>
      </c>
      <c r="AK888" s="68">
        <f>IF(Table13[[#This Row],[value Type]]="","", Table13[[#This Row],[DataOffset]])</f>
        <v>0</v>
      </c>
      <c r="AL888" s="24"/>
      <c r="AM888" s="24" t="str">
        <f>IF(Table13[[#This Row],[value Type]]="","", "0x"&amp;DEC2HEX(Table13[[#This Row],[ADDR_Offset]],8) )</f>
        <v>0x000002F0</v>
      </c>
    </row>
    <row r="889" spans="2:39" x14ac:dyDescent="0.3">
      <c r="B889" s="14">
        <v>0</v>
      </c>
      <c r="C889" s="28" t="s">
        <v>1</v>
      </c>
      <c r="D889" s="14" t="s">
        <v>388</v>
      </c>
      <c r="E889" s="24" t="s">
        <v>278</v>
      </c>
      <c r="F889" s="24">
        <v>4</v>
      </c>
      <c r="G889" s="14" t="s">
        <v>492</v>
      </c>
      <c r="H889" s="36"/>
      <c r="I889" s="29" t="s">
        <v>709</v>
      </c>
      <c r="J889" s="15" t="s">
        <v>747</v>
      </c>
      <c r="K889" s="15" t="s">
        <v>52</v>
      </c>
      <c r="L889" s="14">
        <v>32</v>
      </c>
      <c r="M889" s="35">
        <v>0</v>
      </c>
      <c r="N889" s="15" t="s">
        <v>400</v>
      </c>
      <c r="O889" s="25" t="s">
        <v>402</v>
      </c>
      <c r="P889" s="25">
        <v>1</v>
      </c>
      <c r="Q889" s="26" t="s">
        <v>80</v>
      </c>
      <c r="R889" s="27" t="s">
        <v>410</v>
      </c>
      <c r="S889" s="27" t="s">
        <v>405</v>
      </c>
      <c r="T889" s="27">
        <v>0</v>
      </c>
      <c r="U889" s="28"/>
      <c r="V889" s="14"/>
      <c r="W889" s="14"/>
      <c r="X889" s="30" t="str">
        <f>IF(Table13[[#This Row],[value Type]]="","",VLOOKUP(Table13[[#This Row],[value Type]],Table2915[],2,FALSE))</f>
        <v>longout</v>
      </c>
      <c r="Y889" s="30" t="str">
        <f>IF(Table13[[#This Row],[value Type]]="","",VLOOKUP(Table13[[#This Row],[value Type]],Table2915[],3,FALSE))</f>
        <v>asynParamInt32</v>
      </c>
      <c r="Z889" s="64" t="str">
        <f>IF(Table13[[#This Row],[value Type]]="","",VLOOKUP(Table13[[#This Row],[value Type]],Table2915[],4,FALSE))</f>
        <v>"asynInt32"</v>
      </c>
      <c r="AA889" s="64" t="str">
        <f>IF(Table13[[#This Row],[value Type]]="","",    IF(Table13[[#This Row],[IP MAX]]="","","@"  )     )</f>
        <v>@</v>
      </c>
      <c r="AB889" s="79" t="str">
        <f>IF(Table13[[#This Row],[value Type]]="","",VLOOKUP(Table13[[#This Row],[value Type]],Table2915[],5,FALSE))</f>
        <v xml:space="preserve"> </v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89" s="79">
        <f>IF(Table13[[#This Row],[value Type]]="","",VLOOKUP(Table13[[#This Row],[IP]],Table51117[],2,FALSE))</f>
        <v>6</v>
      </c>
      <c r="AE889" s="79" t="str">
        <f>IF(Table13[[#This Row],[value Type]]="","",    IF(Table13[[#This Row],[IP MAX]]="","0","@"  )     )</f>
        <v>@</v>
      </c>
      <c r="AF889" s="68">
        <f>IF(Table13[[#This Row],[value Type]]="","",VLOOKUP(Table13[[#This Row],[Acc Type]],Table2[],2,FALSE))</f>
        <v>0</v>
      </c>
      <c r="AG889" s="75">
        <f>IF(Table13[[#This Row],[value Type]]="","",4*HEX2DEC(Table13[[#This Row],[Addr'[HEX']]]))</f>
        <v>520</v>
      </c>
      <c r="AH889" s="75">
        <f>IF(Table13[[#This Row],[value Type]]="","",VLOOKUP(Table13[[#This Row],[AddrTypeI]],Table22[],2,FALSE))</f>
        <v>0</v>
      </c>
      <c r="AI889" s="68">
        <f>IF(Table13[[#This Row],[value Type]]="","",VLOOKUP(Table13[[#This Row],[DataType]],Table351218[],2,FALSE))</f>
        <v>0</v>
      </c>
      <c r="AJ889" s="68">
        <f>IF(Table13[[#This Row],[value Type]]="","",Table13[[#This Row],[DataWidth]])</f>
        <v>32</v>
      </c>
      <c r="AK889" s="68">
        <f>IF(Table13[[#This Row],[value Type]]="","", Table13[[#This Row],[DataOffset]])</f>
        <v>0</v>
      </c>
      <c r="AL889" s="24"/>
      <c r="AM889" s="24" t="str">
        <f>IF(Table13[[#This Row],[value Type]]="","", "0x"&amp;DEC2HEX(Table13[[#This Row],[ADDR_Offset]],8) )</f>
        <v>0x00000208</v>
      </c>
    </row>
    <row r="890" spans="2:39" x14ac:dyDescent="0.3">
      <c r="B890" s="14">
        <v>0</v>
      </c>
      <c r="C890" s="14"/>
      <c r="D890" s="14"/>
      <c r="E890" s="24"/>
      <c r="F890" s="24"/>
      <c r="G890" s="14"/>
      <c r="H890" s="36"/>
      <c r="I890" s="29"/>
      <c r="J890" s="15" t="s">
        <v>747</v>
      </c>
      <c r="K890" s="15"/>
      <c r="L890" s="14"/>
      <c r="M890" s="35"/>
      <c r="N890" s="15"/>
      <c r="O890" s="25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 t="str">
        <f>IF(Table13[[#This Row],[value Type]]="","",    IF(Table13[[#This Row],[IP MAX]]="","0","@"  )     )</f>
        <v/>
      </c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>
        <v>0</v>
      </c>
      <c r="C891" s="14"/>
      <c r="D891" s="14"/>
      <c r="E891" s="24"/>
      <c r="F891" s="24"/>
      <c r="G891" s="14"/>
      <c r="H891" s="36"/>
      <c r="I891" s="29"/>
      <c r="J891" s="15" t="s">
        <v>747</v>
      </c>
      <c r="K891" s="15"/>
      <c r="L891" s="14"/>
      <c r="M891" s="35"/>
      <c r="N891" s="15"/>
      <c r="O891" s="25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 t="str">
        <f>IF(Table13[[#This Row],[value Type]]="","",    IF(Table13[[#This Row],[IP MAX]]="","0","@"  )     )</f>
        <v/>
      </c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>
        <v>0</v>
      </c>
      <c r="C892" s="14" t="s">
        <v>1</v>
      </c>
      <c r="D892" s="14" t="s">
        <v>388</v>
      </c>
      <c r="E892" s="24" t="s">
        <v>278</v>
      </c>
      <c r="F892" s="24">
        <v>4</v>
      </c>
      <c r="G892" s="14" t="s">
        <v>493</v>
      </c>
      <c r="H892" s="36"/>
      <c r="I892" s="29" t="s">
        <v>710</v>
      </c>
      <c r="J892" s="15" t="s">
        <v>747</v>
      </c>
      <c r="K892" s="15" t="s">
        <v>52</v>
      </c>
      <c r="L892" s="14">
        <v>1</v>
      </c>
      <c r="M892" s="35">
        <v>0</v>
      </c>
      <c r="N892" s="15" t="s">
        <v>400</v>
      </c>
      <c r="O892" s="25" t="s">
        <v>402</v>
      </c>
      <c r="P892" s="25">
        <v>1</v>
      </c>
      <c r="Q892" s="26" t="s">
        <v>80</v>
      </c>
      <c r="R892" s="27" t="s">
        <v>410</v>
      </c>
      <c r="S892" s="27" t="s">
        <v>405</v>
      </c>
      <c r="T892" s="27">
        <v>0</v>
      </c>
      <c r="U892" s="28"/>
      <c r="V892" s="14"/>
      <c r="W892" s="14"/>
      <c r="X892" s="30" t="str">
        <f>IF(Table13[[#This Row],[value Type]]="","",VLOOKUP(Table13[[#This Row],[value Type]],Table2915[],2,FALSE))</f>
        <v>longout</v>
      </c>
      <c r="Y892" s="30" t="str">
        <f>IF(Table13[[#This Row],[value Type]]="","",VLOOKUP(Table13[[#This Row],[value Type]],Table2915[],3,FALSE))</f>
        <v>asynParamInt32</v>
      </c>
      <c r="Z892" s="64" t="str">
        <f>IF(Table13[[#This Row],[value Type]]="","",VLOOKUP(Table13[[#This Row],[value Type]],Table2915[],4,FALSE))</f>
        <v>"asynInt32"</v>
      </c>
      <c r="AA892" s="64" t="str">
        <f>IF(Table13[[#This Row],[value Type]]="","",    IF(Table13[[#This Row],[IP MAX]]="","","@"  )     )</f>
        <v>@</v>
      </c>
      <c r="AB892" s="79" t="str">
        <f>IF(Table13[[#This Row],[value Type]]="","",VLOOKUP(Table13[[#This Row],[value Type]],Table2915[],5,FALSE))</f>
        <v xml:space="preserve"> </v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92" s="79">
        <f>IF(Table13[[#This Row],[value Type]]="","",VLOOKUP(Table13[[#This Row],[IP]],Table51117[],2,FALSE))</f>
        <v>6</v>
      </c>
      <c r="AE892" s="79" t="str">
        <f>IF(Table13[[#This Row],[value Type]]="","",    IF(Table13[[#This Row],[IP MAX]]="","0","@"  )     )</f>
        <v>@</v>
      </c>
      <c r="AF892" s="68">
        <f>IF(Table13[[#This Row],[value Type]]="","",VLOOKUP(Table13[[#This Row],[Acc Type]],Table2[],2,FALSE))</f>
        <v>0</v>
      </c>
      <c r="AG892" s="75">
        <f>IF(Table13[[#This Row],[value Type]]="","",4*HEX2DEC(Table13[[#This Row],[Addr'[HEX']]]))</f>
        <v>664</v>
      </c>
      <c r="AH892" s="75">
        <f>IF(Table13[[#This Row],[value Type]]="","",VLOOKUP(Table13[[#This Row],[AddrTypeI]],Table22[],2,FALSE))</f>
        <v>0</v>
      </c>
      <c r="AI892" s="68">
        <f>IF(Table13[[#This Row],[value Type]]="","",VLOOKUP(Table13[[#This Row],[DataType]],Table351218[],2,FALSE))</f>
        <v>0</v>
      </c>
      <c r="AJ892" s="68">
        <f>IF(Table13[[#This Row],[value Type]]="","",Table13[[#This Row],[DataWidth]])</f>
        <v>1</v>
      </c>
      <c r="AK892" s="68">
        <f>IF(Table13[[#This Row],[value Type]]="","", Table13[[#This Row],[DataOffset]])</f>
        <v>0</v>
      </c>
      <c r="AL892" s="24"/>
      <c r="AM892" s="24" t="str">
        <f>IF(Table13[[#This Row],[value Type]]="","", "0x"&amp;DEC2HEX(Table13[[#This Row],[ADDR_Offset]],8) )</f>
        <v>0x00000298</v>
      </c>
    </row>
    <row r="893" spans="2:39" x14ac:dyDescent="0.3">
      <c r="B893" s="14">
        <v>0</v>
      </c>
      <c r="C893" s="14" t="s">
        <v>1</v>
      </c>
      <c r="D893" s="14" t="s">
        <v>388</v>
      </c>
      <c r="E893" s="24" t="s">
        <v>278</v>
      </c>
      <c r="F893" s="24">
        <v>4</v>
      </c>
      <c r="G893" s="14" t="s">
        <v>494</v>
      </c>
      <c r="H893" s="36"/>
      <c r="I893" s="29" t="s">
        <v>710</v>
      </c>
      <c r="J893" s="15" t="s">
        <v>747</v>
      </c>
      <c r="K893" s="15" t="s">
        <v>52</v>
      </c>
      <c r="L893" s="14">
        <v>1</v>
      </c>
      <c r="M893" s="35">
        <v>1</v>
      </c>
      <c r="N893" s="15" t="s">
        <v>400</v>
      </c>
      <c r="O893" s="25" t="s">
        <v>402</v>
      </c>
      <c r="P893" s="25">
        <v>1</v>
      </c>
      <c r="Q893" s="26" t="s">
        <v>80</v>
      </c>
      <c r="R893" s="27" t="s">
        <v>410</v>
      </c>
      <c r="S893" s="27" t="s">
        <v>405</v>
      </c>
      <c r="T893" s="27">
        <v>0</v>
      </c>
      <c r="U893" s="28"/>
      <c r="V893" s="14"/>
      <c r="W893" s="14"/>
      <c r="X893" s="30" t="str">
        <f>IF(Table13[[#This Row],[value Type]]="","",VLOOKUP(Table13[[#This Row],[value Type]],Table2915[],2,FALSE))</f>
        <v>longout</v>
      </c>
      <c r="Y893" s="30" t="str">
        <f>IF(Table13[[#This Row],[value Type]]="","",VLOOKUP(Table13[[#This Row],[value Type]],Table2915[],3,FALSE))</f>
        <v>asynParamInt32</v>
      </c>
      <c r="Z893" s="64" t="str">
        <f>IF(Table13[[#This Row],[value Type]]="","",VLOOKUP(Table13[[#This Row],[value Type]],Table2915[],4,FALSE))</f>
        <v>"asynInt32"</v>
      </c>
      <c r="AA893" s="64" t="str">
        <f>IF(Table13[[#This Row],[value Type]]="","",    IF(Table13[[#This Row],[IP MAX]]="","","@"  )     )</f>
        <v>@</v>
      </c>
      <c r="AB893" s="79" t="str">
        <f>IF(Table13[[#This Row],[value Type]]="","",VLOOKUP(Table13[[#This Row],[value Type]],Table2915[],5,FALSE))</f>
        <v xml:space="preserve"> </v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93" s="79">
        <f>IF(Table13[[#This Row],[value Type]]="","",VLOOKUP(Table13[[#This Row],[IP]],Table51117[],2,FALSE))</f>
        <v>6</v>
      </c>
      <c r="AE893" s="79" t="str">
        <f>IF(Table13[[#This Row],[value Type]]="","",    IF(Table13[[#This Row],[IP MAX]]="","0","@"  )     )</f>
        <v>@</v>
      </c>
      <c r="AF893" s="68">
        <f>IF(Table13[[#This Row],[value Type]]="","",VLOOKUP(Table13[[#This Row],[Acc Type]],Table2[],2,FALSE))</f>
        <v>0</v>
      </c>
      <c r="AG893" s="75">
        <f>IF(Table13[[#This Row],[value Type]]="","",4*HEX2DEC(Table13[[#This Row],[Addr'[HEX']]]))</f>
        <v>664</v>
      </c>
      <c r="AH893" s="75">
        <f>IF(Table13[[#This Row],[value Type]]="","",VLOOKUP(Table13[[#This Row],[AddrTypeI]],Table22[],2,FALSE))</f>
        <v>0</v>
      </c>
      <c r="AI893" s="68">
        <f>IF(Table13[[#This Row],[value Type]]="","",VLOOKUP(Table13[[#This Row],[DataType]],Table351218[],2,FALSE))</f>
        <v>0</v>
      </c>
      <c r="AJ893" s="68">
        <f>IF(Table13[[#This Row],[value Type]]="","",Table13[[#This Row],[DataWidth]])</f>
        <v>1</v>
      </c>
      <c r="AK893" s="68">
        <f>IF(Table13[[#This Row],[value Type]]="","", Table13[[#This Row],[DataOffset]])</f>
        <v>1</v>
      </c>
      <c r="AL893" s="24"/>
      <c r="AM893" s="24" t="str">
        <f>IF(Table13[[#This Row],[value Type]]="","", "0x"&amp;DEC2HEX(Table13[[#This Row],[ADDR_Offset]],8) )</f>
        <v>0x00000298</v>
      </c>
    </row>
    <row r="894" spans="2:39" x14ac:dyDescent="0.3">
      <c r="B894" s="14">
        <v>0</v>
      </c>
      <c r="C894" s="14" t="s">
        <v>1</v>
      </c>
      <c r="D894" s="14" t="s">
        <v>388</v>
      </c>
      <c r="E894" s="24" t="s">
        <v>278</v>
      </c>
      <c r="F894" s="24">
        <v>4</v>
      </c>
      <c r="G894" s="14" t="s">
        <v>495</v>
      </c>
      <c r="H894" s="36"/>
      <c r="I894" s="29" t="s">
        <v>710</v>
      </c>
      <c r="J894" s="15" t="s">
        <v>747</v>
      </c>
      <c r="K894" s="15" t="s">
        <v>52</v>
      </c>
      <c r="L894" s="14">
        <v>1</v>
      </c>
      <c r="M894" s="35">
        <v>2</v>
      </c>
      <c r="N894" s="15" t="s">
        <v>400</v>
      </c>
      <c r="O894" s="25" t="s">
        <v>402</v>
      </c>
      <c r="P894" s="25">
        <v>1</v>
      </c>
      <c r="Q894" s="26" t="s">
        <v>80</v>
      </c>
      <c r="R894" s="27" t="s">
        <v>410</v>
      </c>
      <c r="S894" s="27" t="s">
        <v>405</v>
      </c>
      <c r="T894" s="27">
        <v>0</v>
      </c>
      <c r="U894" s="28"/>
      <c r="V894" s="14"/>
      <c r="W894" s="14"/>
      <c r="X894" s="30" t="str">
        <f>IF(Table13[[#This Row],[value Type]]="","",VLOOKUP(Table13[[#This Row],[value Type]],Table2915[],2,FALSE))</f>
        <v>longout</v>
      </c>
      <c r="Y894" s="30" t="str">
        <f>IF(Table13[[#This Row],[value Type]]="","",VLOOKUP(Table13[[#This Row],[value Type]],Table2915[],3,FALSE))</f>
        <v>asynParamInt32</v>
      </c>
      <c r="Z894" s="64" t="str">
        <f>IF(Table13[[#This Row],[value Type]]="","",VLOOKUP(Table13[[#This Row],[value Type]],Table2915[],4,FALSE))</f>
        <v>"asynInt32"</v>
      </c>
      <c r="AA894" s="64" t="str">
        <f>IF(Table13[[#This Row],[value Type]]="","",    IF(Table13[[#This Row],[IP MAX]]="","","@"  )     )</f>
        <v>@</v>
      </c>
      <c r="AB894" s="79" t="str">
        <f>IF(Table13[[#This Row],[value Type]]="","",VLOOKUP(Table13[[#This Row],[value Type]],Table2915[],5,FALSE))</f>
        <v xml:space="preserve"> </v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94" s="79">
        <f>IF(Table13[[#This Row],[value Type]]="","",VLOOKUP(Table13[[#This Row],[IP]],Table51117[],2,FALSE))</f>
        <v>6</v>
      </c>
      <c r="AE894" s="79" t="str">
        <f>IF(Table13[[#This Row],[value Type]]="","",    IF(Table13[[#This Row],[IP MAX]]="","0","@"  )     )</f>
        <v>@</v>
      </c>
      <c r="AF894" s="68">
        <f>IF(Table13[[#This Row],[value Type]]="","",VLOOKUP(Table13[[#This Row],[Acc Type]],Table2[],2,FALSE))</f>
        <v>0</v>
      </c>
      <c r="AG894" s="75">
        <f>IF(Table13[[#This Row],[value Type]]="","",4*HEX2DEC(Table13[[#This Row],[Addr'[HEX']]]))</f>
        <v>664</v>
      </c>
      <c r="AH894" s="75">
        <f>IF(Table13[[#This Row],[value Type]]="","",VLOOKUP(Table13[[#This Row],[AddrTypeI]],Table22[],2,FALSE))</f>
        <v>0</v>
      </c>
      <c r="AI894" s="68">
        <f>IF(Table13[[#This Row],[value Type]]="","",VLOOKUP(Table13[[#This Row],[DataType]],Table351218[],2,FALSE))</f>
        <v>0</v>
      </c>
      <c r="AJ894" s="68">
        <f>IF(Table13[[#This Row],[value Type]]="","",Table13[[#This Row],[DataWidth]])</f>
        <v>1</v>
      </c>
      <c r="AK894" s="68">
        <f>IF(Table13[[#This Row],[value Type]]="","", Table13[[#This Row],[DataOffset]])</f>
        <v>2</v>
      </c>
      <c r="AL894" s="24"/>
      <c r="AM894" s="24" t="str">
        <f>IF(Table13[[#This Row],[value Type]]="","", "0x"&amp;DEC2HEX(Table13[[#This Row],[ADDR_Offset]],8) )</f>
        <v>0x00000298</v>
      </c>
    </row>
    <row r="895" spans="2:39" x14ac:dyDescent="0.3">
      <c r="B895" s="14">
        <v>0</v>
      </c>
      <c r="C895" s="14" t="s">
        <v>1</v>
      </c>
      <c r="D895" s="14" t="s">
        <v>388</v>
      </c>
      <c r="E895" s="24" t="s">
        <v>278</v>
      </c>
      <c r="F895" s="24">
        <v>4</v>
      </c>
      <c r="G895" s="14" t="s">
        <v>496</v>
      </c>
      <c r="H895" s="36"/>
      <c r="I895" s="29" t="s">
        <v>710</v>
      </c>
      <c r="J895" s="15" t="s">
        <v>747</v>
      </c>
      <c r="K895" s="15" t="s">
        <v>52</v>
      </c>
      <c r="L895" s="14">
        <v>4</v>
      </c>
      <c r="M895" s="35">
        <v>8</v>
      </c>
      <c r="N895" s="15" t="s">
        <v>400</v>
      </c>
      <c r="O895" s="25" t="s">
        <v>402</v>
      </c>
      <c r="P895" s="25">
        <v>1</v>
      </c>
      <c r="Q895" s="26" t="s">
        <v>80</v>
      </c>
      <c r="R895" s="27" t="s">
        <v>410</v>
      </c>
      <c r="S895" s="27" t="s">
        <v>405</v>
      </c>
      <c r="T895" s="27">
        <v>0</v>
      </c>
      <c r="U895" s="28"/>
      <c r="V895" s="14"/>
      <c r="W895" s="14"/>
      <c r="X895" s="30" t="str">
        <f>IF(Table13[[#This Row],[value Type]]="","",VLOOKUP(Table13[[#This Row],[value Type]],Table2915[],2,FALSE))</f>
        <v>longout</v>
      </c>
      <c r="Y895" s="30" t="str">
        <f>IF(Table13[[#This Row],[value Type]]="","",VLOOKUP(Table13[[#This Row],[value Type]],Table2915[],3,FALSE))</f>
        <v>asynParamInt32</v>
      </c>
      <c r="Z895" s="64" t="str">
        <f>IF(Table13[[#This Row],[value Type]]="","",VLOOKUP(Table13[[#This Row],[value Type]],Table2915[],4,FALSE))</f>
        <v>"asynInt32"</v>
      </c>
      <c r="AA895" s="64" t="str">
        <f>IF(Table13[[#This Row],[value Type]]="","",    IF(Table13[[#This Row],[IP MAX]]="","","@"  )     )</f>
        <v>@</v>
      </c>
      <c r="AB895" s="79" t="str">
        <f>IF(Table13[[#This Row],[value Type]]="","",VLOOKUP(Table13[[#This Row],[value Type]],Table2915[],5,FALSE))</f>
        <v xml:space="preserve"> </v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95" s="79">
        <f>IF(Table13[[#This Row],[value Type]]="","",VLOOKUP(Table13[[#This Row],[IP]],Table51117[],2,FALSE))</f>
        <v>6</v>
      </c>
      <c r="AE895" s="79" t="str">
        <f>IF(Table13[[#This Row],[value Type]]="","",    IF(Table13[[#This Row],[IP MAX]]="","0","@"  )     )</f>
        <v>@</v>
      </c>
      <c r="AF895" s="68">
        <f>IF(Table13[[#This Row],[value Type]]="","",VLOOKUP(Table13[[#This Row],[Acc Type]],Table2[],2,FALSE))</f>
        <v>0</v>
      </c>
      <c r="AG895" s="75">
        <f>IF(Table13[[#This Row],[value Type]]="","",4*HEX2DEC(Table13[[#This Row],[Addr'[HEX']]]))</f>
        <v>664</v>
      </c>
      <c r="AH895" s="75">
        <f>IF(Table13[[#This Row],[value Type]]="","",VLOOKUP(Table13[[#This Row],[AddrTypeI]],Table22[],2,FALSE))</f>
        <v>0</v>
      </c>
      <c r="AI895" s="68">
        <f>IF(Table13[[#This Row],[value Type]]="","",VLOOKUP(Table13[[#This Row],[DataType]],Table351218[],2,FALSE))</f>
        <v>0</v>
      </c>
      <c r="AJ895" s="68">
        <f>IF(Table13[[#This Row],[value Type]]="","",Table13[[#This Row],[DataWidth]])</f>
        <v>4</v>
      </c>
      <c r="AK895" s="68">
        <f>IF(Table13[[#This Row],[value Type]]="","", Table13[[#This Row],[DataOffset]])</f>
        <v>8</v>
      </c>
      <c r="AL895" s="24"/>
      <c r="AM895" s="24" t="str">
        <f>IF(Table13[[#This Row],[value Type]]="","", "0x"&amp;DEC2HEX(Table13[[#This Row],[ADDR_Offset]],8) )</f>
        <v>0x00000298</v>
      </c>
    </row>
    <row r="896" spans="2:39" x14ac:dyDescent="0.3">
      <c r="B896" s="14">
        <v>0</v>
      </c>
      <c r="C896" s="14" t="s">
        <v>1</v>
      </c>
      <c r="D896" s="14" t="s">
        <v>388</v>
      </c>
      <c r="E896" s="24" t="s">
        <v>278</v>
      </c>
      <c r="F896" s="24">
        <v>4</v>
      </c>
      <c r="G896" s="14" t="s">
        <v>497</v>
      </c>
      <c r="H896" s="36"/>
      <c r="I896" s="29" t="s">
        <v>711</v>
      </c>
      <c r="J896" s="15" t="s">
        <v>747</v>
      </c>
      <c r="K896" s="15" t="s">
        <v>52</v>
      </c>
      <c r="L896" s="14">
        <v>1</v>
      </c>
      <c r="M896" s="35">
        <v>0</v>
      </c>
      <c r="N896" s="15" t="s">
        <v>400</v>
      </c>
      <c r="O896" s="25" t="s">
        <v>402</v>
      </c>
      <c r="P896" s="25">
        <v>1</v>
      </c>
      <c r="Q896" s="26" t="s">
        <v>80</v>
      </c>
      <c r="R896" s="27" t="s">
        <v>410</v>
      </c>
      <c r="S896" s="27" t="s">
        <v>405</v>
      </c>
      <c r="T896" s="27">
        <v>0</v>
      </c>
      <c r="U896" s="28"/>
      <c r="V896" s="14"/>
      <c r="W896" s="14"/>
      <c r="X896" s="30" t="str">
        <f>IF(Table13[[#This Row],[value Type]]="","",VLOOKUP(Table13[[#This Row],[value Type]],Table2915[],2,FALSE))</f>
        <v>longout</v>
      </c>
      <c r="Y896" s="30" t="str">
        <f>IF(Table13[[#This Row],[value Type]]="","",VLOOKUP(Table13[[#This Row],[value Type]],Table2915[],3,FALSE))</f>
        <v>asynParamInt32</v>
      </c>
      <c r="Z896" s="64" t="str">
        <f>IF(Table13[[#This Row],[value Type]]="","",VLOOKUP(Table13[[#This Row],[value Type]],Table2915[],4,FALSE))</f>
        <v>"asynInt32"</v>
      </c>
      <c r="AA896" s="64" t="str">
        <f>IF(Table13[[#This Row],[value Type]]="","",    IF(Table13[[#This Row],[IP MAX]]="","","@"  )     )</f>
        <v>@</v>
      </c>
      <c r="AB896" s="79" t="str">
        <f>IF(Table13[[#This Row],[value Type]]="","",VLOOKUP(Table13[[#This Row],[value Type]],Table2915[],5,FALSE))</f>
        <v xml:space="preserve"> </v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96" s="79">
        <f>IF(Table13[[#This Row],[value Type]]="","",VLOOKUP(Table13[[#This Row],[IP]],Table51117[],2,FALSE))</f>
        <v>6</v>
      </c>
      <c r="AE896" s="79" t="str">
        <f>IF(Table13[[#This Row],[value Type]]="","",    IF(Table13[[#This Row],[IP MAX]]="","0","@"  )     )</f>
        <v>@</v>
      </c>
      <c r="AF896" s="68">
        <f>IF(Table13[[#This Row],[value Type]]="","",VLOOKUP(Table13[[#This Row],[Acc Type]],Table2[],2,FALSE))</f>
        <v>0</v>
      </c>
      <c r="AG896" s="75">
        <f>IF(Table13[[#This Row],[value Type]]="","",4*HEX2DEC(Table13[[#This Row],[Addr'[HEX']]]))</f>
        <v>660</v>
      </c>
      <c r="AH896" s="75">
        <f>IF(Table13[[#This Row],[value Type]]="","",VLOOKUP(Table13[[#This Row],[AddrTypeI]],Table22[],2,FALSE))</f>
        <v>0</v>
      </c>
      <c r="AI896" s="68">
        <f>IF(Table13[[#This Row],[value Type]]="","",VLOOKUP(Table13[[#This Row],[DataType]],Table351218[],2,FALSE))</f>
        <v>0</v>
      </c>
      <c r="AJ896" s="68">
        <f>IF(Table13[[#This Row],[value Type]]="","",Table13[[#This Row],[DataWidth]])</f>
        <v>1</v>
      </c>
      <c r="AK896" s="68">
        <f>IF(Table13[[#This Row],[value Type]]="","", Table13[[#This Row],[DataOffset]])</f>
        <v>0</v>
      </c>
      <c r="AL896" s="24"/>
      <c r="AM896" s="24" t="str">
        <f>IF(Table13[[#This Row],[value Type]]="","", "0x"&amp;DEC2HEX(Table13[[#This Row],[ADDR_Offset]],8) )</f>
        <v>0x00000294</v>
      </c>
    </row>
    <row r="897" spans="2:39" x14ac:dyDescent="0.3">
      <c r="B897" s="14">
        <v>0</v>
      </c>
      <c r="C897" s="14" t="s">
        <v>1</v>
      </c>
      <c r="D897" s="14" t="s">
        <v>388</v>
      </c>
      <c r="E897" s="24" t="s">
        <v>278</v>
      </c>
      <c r="F897" s="24">
        <v>4</v>
      </c>
      <c r="G897" s="14" t="s">
        <v>498</v>
      </c>
      <c r="H897" s="36"/>
      <c r="I897" s="29" t="s">
        <v>711</v>
      </c>
      <c r="J897" s="15" t="s">
        <v>747</v>
      </c>
      <c r="K897" s="15" t="s">
        <v>52</v>
      </c>
      <c r="L897" s="14">
        <v>1</v>
      </c>
      <c r="M897" s="35">
        <v>1</v>
      </c>
      <c r="N897" s="15" t="s">
        <v>400</v>
      </c>
      <c r="O897" s="25" t="s">
        <v>402</v>
      </c>
      <c r="P897" s="25">
        <v>1</v>
      </c>
      <c r="Q897" s="26" t="s">
        <v>80</v>
      </c>
      <c r="R897" s="27" t="s">
        <v>410</v>
      </c>
      <c r="S897" s="27" t="s">
        <v>405</v>
      </c>
      <c r="T897" s="27">
        <v>0</v>
      </c>
      <c r="U897" s="28"/>
      <c r="V897" s="14"/>
      <c r="W897" s="14"/>
      <c r="X897" s="30" t="str">
        <f>IF(Table13[[#This Row],[value Type]]="","",VLOOKUP(Table13[[#This Row],[value Type]],Table2915[],2,FALSE))</f>
        <v>longout</v>
      </c>
      <c r="Y897" s="30" t="str">
        <f>IF(Table13[[#This Row],[value Type]]="","",VLOOKUP(Table13[[#This Row],[value Type]],Table2915[],3,FALSE))</f>
        <v>asynParamInt32</v>
      </c>
      <c r="Z897" s="64" t="str">
        <f>IF(Table13[[#This Row],[value Type]]="","",VLOOKUP(Table13[[#This Row],[value Type]],Table2915[],4,FALSE))</f>
        <v>"asynInt32"</v>
      </c>
      <c r="AA897" s="64" t="str">
        <f>IF(Table13[[#This Row],[value Type]]="","",    IF(Table13[[#This Row],[IP MAX]]="","","@"  )     )</f>
        <v>@</v>
      </c>
      <c r="AB897" s="79" t="str">
        <f>IF(Table13[[#This Row],[value Type]]="","",VLOOKUP(Table13[[#This Row],[value Type]],Table2915[],5,FALSE))</f>
        <v xml:space="preserve"> </v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97" s="79">
        <f>IF(Table13[[#This Row],[value Type]]="","",VLOOKUP(Table13[[#This Row],[IP]],Table51117[],2,FALSE))</f>
        <v>6</v>
      </c>
      <c r="AE897" s="79" t="str">
        <f>IF(Table13[[#This Row],[value Type]]="","",    IF(Table13[[#This Row],[IP MAX]]="","0","@"  )     )</f>
        <v>@</v>
      </c>
      <c r="AF897" s="68">
        <f>IF(Table13[[#This Row],[value Type]]="","",VLOOKUP(Table13[[#This Row],[Acc Type]],Table2[],2,FALSE))</f>
        <v>0</v>
      </c>
      <c r="AG897" s="75">
        <f>IF(Table13[[#This Row],[value Type]]="","",4*HEX2DEC(Table13[[#This Row],[Addr'[HEX']]]))</f>
        <v>660</v>
      </c>
      <c r="AH897" s="75">
        <f>IF(Table13[[#This Row],[value Type]]="","",VLOOKUP(Table13[[#This Row],[AddrTypeI]],Table22[],2,FALSE))</f>
        <v>0</v>
      </c>
      <c r="AI897" s="68">
        <f>IF(Table13[[#This Row],[value Type]]="","",VLOOKUP(Table13[[#This Row],[DataType]],Table351218[],2,FALSE))</f>
        <v>0</v>
      </c>
      <c r="AJ897" s="68">
        <f>IF(Table13[[#This Row],[value Type]]="","",Table13[[#This Row],[DataWidth]])</f>
        <v>1</v>
      </c>
      <c r="AK897" s="68">
        <f>IF(Table13[[#This Row],[value Type]]="","", Table13[[#This Row],[DataOffset]])</f>
        <v>1</v>
      </c>
      <c r="AL897" s="24"/>
      <c r="AM897" s="24" t="str">
        <f>IF(Table13[[#This Row],[value Type]]="","", "0x"&amp;DEC2HEX(Table13[[#This Row],[ADDR_Offset]],8) )</f>
        <v>0x00000294</v>
      </c>
    </row>
    <row r="898" spans="2:39" x14ac:dyDescent="0.3">
      <c r="B898" s="14">
        <v>0</v>
      </c>
      <c r="C898" s="14" t="s">
        <v>1</v>
      </c>
      <c r="D898" s="14" t="s">
        <v>388</v>
      </c>
      <c r="E898" s="24" t="s">
        <v>278</v>
      </c>
      <c r="F898" s="24">
        <v>4</v>
      </c>
      <c r="G898" s="14" t="s">
        <v>499</v>
      </c>
      <c r="H898" s="36"/>
      <c r="I898" s="29" t="s">
        <v>711</v>
      </c>
      <c r="J898" s="15" t="s">
        <v>747</v>
      </c>
      <c r="K898" s="15" t="s">
        <v>52</v>
      </c>
      <c r="L898" s="14">
        <v>1</v>
      </c>
      <c r="M898" s="35">
        <v>2</v>
      </c>
      <c r="N898" s="15" t="s">
        <v>400</v>
      </c>
      <c r="O898" s="25" t="s">
        <v>402</v>
      </c>
      <c r="P898" s="25">
        <v>1</v>
      </c>
      <c r="Q898" s="26" t="s">
        <v>80</v>
      </c>
      <c r="R898" s="27" t="s">
        <v>410</v>
      </c>
      <c r="S898" s="27" t="s">
        <v>405</v>
      </c>
      <c r="T898" s="27">
        <v>0</v>
      </c>
      <c r="U898" s="28"/>
      <c r="V898" s="14"/>
      <c r="W898" s="14"/>
      <c r="X898" s="30" t="str">
        <f>IF(Table13[[#This Row],[value Type]]="","",VLOOKUP(Table13[[#This Row],[value Type]],Table2915[],2,FALSE))</f>
        <v>longout</v>
      </c>
      <c r="Y898" s="30" t="str">
        <f>IF(Table13[[#This Row],[value Type]]="","",VLOOKUP(Table13[[#This Row],[value Type]],Table2915[],3,FALSE))</f>
        <v>asynParamInt32</v>
      </c>
      <c r="Z898" s="64" t="str">
        <f>IF(Table13[[#This Row],[value Type]]="","",VLOOKUP(Table13[[#This Row],[value Type]],Table2915[],4,FALSE))</f>
        <v>"asynInt32"</v>
      </c>
      <c r="AA898" s="64" t="str">
        <f>IF(Table13[[#This Row],[value Type]]="","",    IF(Table13[[#This Row],[IP MAX]]="","","@"  )     )</f>
        <v>@</v>
      </c>
      <c r="AB898" s="79" t="str">
        <f>IF(Table13[[#This Row],[value Type]]="","",VLOOKUP(Table13[[#This Row],[value Type]],Table2915[],5,FALSE))</f>
        <v xml:space="preserve"> </v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98" s="79">
        <f>IF(Table13[[#This Row],[value Type]]="","",VLOOKUP(Table13[[#This Row],[IP]],Table51117[],2,FALSE))</f>
        <v>6</v>
      </c>
      <c r="AE898" s="79" t="str">
        <f>IF(Table13[[#This Row],[value Type]]="","",    IF(Table13[[#This Row],[IP MAX]]="","0","@"  )     )</f>
        <v>@</v>
      </c>
      <c r="AF898" s="68">
        <f>IF(Table13[[#This Row],[value Type]]="","",VLOOKUP(Table13[[#This Row],[Acc Type]],Table2[],2,FALSE))</f>
        <v>0</v>
      </c>
      <c r="AG898" s="75">
        <f>IF(Table13[[#This Row],[value Type]]="","",4*HEX2DEC(Table13[[#This Row],[Addr'[HEX']]]))</f>
        <v>660</v>
      </c>
      <c r="AH898" s="75">
        <f>IF(Table13[[#This Row],[value Type]]="","",VLOOKUP(Table13[[#This Row],[AddrTypeI]],Table22[],2,FALSE))</f>
        <v>0</v>
      </c>
      <c r="AI898" s="68">
        <f>IF(Table13[[#This Row],[value Type]]="","",VLOOKUP(Table13[[#This Row],[DataType]],Table351218[],2,FALSE))</f>
        <v>0</v>
      </c>
      <c r="AJ898" s="68">
        <f>IF(Table13[[#This Row],[value Type]]="","",Table13[[#This Row],[DataWidth]])</f>
        <v>1</v>
      </c>
      <c r="AK898" s="68">
        <f>IF(Table13[[#This Row],[value Type]]="","", Table13[[#This Row],[DataOffset]])</f>
        <v>2</v>
      </c>
      <c r="AL898" s="24"/>
      <c r="AM898" s="24" t="str">
        <f>IF(Table13[[#This Row],[value Type]]="","", "0x"&amp;DEC2HEX(Table13[[#This Row],[ADDR_Offset]],8) )</f>
        <v>0x00000294</v>
      </c>
    </row>
    <row r="899" spans="2:39" x14ac:dyDescent="0.3">
      <c r="B899" s="14">
        <v>0</v>
      </c>
      <c r="C899" s="14" t="s">
        <v>1</v>
      </c>
      <c r="D899" s="14" t="s">
        <v>388</v>
      </c>
      <c r="E899" s="24" t="s">
        <v>278</v>
      </c>
      <c r="F899" s="24">
        <v>4</v>
      </c>
      <c r="G899" s="14" t="s">
        <v>500</v>
      </c>
      <c r="H899" s="36"/>
      <c r="I899" s="29" t="s">
        <v>711</v>
      </c>
      <c r="J899" s="15" t="s">
        <v>747</v>
      </c>
      <c r="K899" s="15" t="s">
        <v>52</v>
      </c>
      <c r="L899" s="14">
        <v>1</v>
      </c>
      <c r="M899" s="35">
        <v>3</v>
      </c>
      <c r="N899" s="15" t="s">
        <v>400</v>
      </c>
      <c r="O899" s="25" t="s">
        <v>402</v>
      </c>
      <c r="P899" s="25">
        <v>1</v>
      </c>
      <c r="Q899" s="26" t="s">
        <v>80</v>
      </c>
      <c r="R899" s="27" t="s">
        <v>410</v>
      </c>
      <c r="S899" s="27" t="s">
        <v>405</v>
      </c>
      <c r="T899" s="27">
        <v>0</v>
      </c>
      <c r="U899" s="28"/>
      <c r="V899" s="14"/>
      <c r="W899" s="14"/>
      <c r="X899" s="30" t="str">
        <f>IF(Table13[[#This Row],[value Type]]="","",VLOOKUP(Table13[[#This Row],[value Type]],Table2915[],2,FALSE))</f>
        <v>longout</v>
      </c>
      <c r="Y899" s="30" t="str">
        <f>IF(Table13[[#This Row],[value Type]]="","",VLOOKUP(Table13[[#This Row],[value Type]],Table2915[],3,FALSE))</f>
        <v>asynParamInt32</v>
      </c>
      <c r="Z899" s="64" t="str">
        <f>IF(Table13[[#This Row],[value Type]]="","",VLOOKUP(Table13[[#This Row],[value Type]],Table2915[],4,FALSE))</f>
        <v>"asynInt32"</v>
      </c>
      <c r="AA899" s="64" t="str">
        <f>IF(Table13[[#This Row],[value Type]]="","",    IF(Table13[[#This Row],[IP MAX]]="","","@"  )     )</f>
        <v>@</v>
      </c>
      <c r="AB899" s="79" t="str">
        <f>IF(Table13[[#This Row],[value Type]]="","",VLOOKUP(Table13[[#This Row],[value Type]],Table2915[],5,FALSE))</f>
        <v xml:space="preserve"> </v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99" s="79">
        <f>IF(Table13[[#This Row],[value Type]]="","",VLOOKUP(Table13[[#This Row],[IP]],Table51117[],2,FALSE))</f>
        <v>6</v>
      </c>
      <c r="AE899" s="79" t="str">
        <f>IF(Table13[[#This Row],[value Type]]="","",    IF(Table13[[#This Row],[IP MAX]]="","0","@"  )     )</f>
        <v>@</v>
      </c>
      <c r="AF899" s="68">
        <f>IF(Table13[[#This Row],[value Type]]="","",VLOOKUP(Table13[[#This Row],[Acc Type]],Table2[],2,FALSE))</f>
        <v>0</v>
      </c>
      <c r="AG899" s="75">
        <f>IF(Table13[[#This Row],[value Type]]="","",4*HEX2DEC(Table13[[#This Row],[Addr'[HEX']]]))</f>
        <v>660</v>
      </c>
      <c r="AH899" s="75">
        <f>IF(Table13[[#This Row],[value Type]]="","",VLOOKUP(Table13[[#This Row],[AddrTypeI]],Table22[],2,FALSE))</f>
        <v>0</v>
      </c>
      <c r="AI899" s="68">
        <f>IF(Table13[[#This Row],[value Type]]="","",VLOOKUP(Table13[[#This Row],[DataType]],Table351218[],2,FALSE))</f>
        <v>0</v>
      </c>
      <c r="AJ899" s="68">
        <f>IF(Table13[[#This Row],[value Type]]="","",Table13[[#This Row],[DataWidth]])</f>
        <v>1</v>
      </c>
      <c r="AK899" s="68">
        <f>IF(Table13[[#This Row],[value Type]]="","", Table13[[#This Row],[DataOffset]])</f>
        <v>3</v>
      </c>
      <c r="AL899" s="24"/>
      <c r="AM899" s="24" t="str">
        <f>IF(Table13[[#This Row],[value Type]]="","", "0x"&amp;DEC2HEX(Table13[[#This Row],[ADDR_Offset]],8) )</f>
        <v>0x00000294</v>
      </c>
    </row>
    <row r="900" spans="2:39" x14ac:dyDescent="0.3">
      <c r="B900" s="14">
        <v>0</v>
      </c>
      <c r="C900" s="14"/>
      <c r="D900" s="14"/>
      <c r="E900" s="24"/>
      <c r="F900" s="24"/>
      <c r="G900" s="14"/>
      <c r="H900" s="36"/>
      <c r="I900" s="29"/>
      <c r="J900" s="15" t="s">
        <v>747</v>
      </c>
      <c r="K900" s="15"/>
      <c r="L900" s="14"/>
      <c r="M900" s="35"/>
      <c r="N900" s="15"/>
      <c r="O900" s="25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 t="str">
        <f>IF(Table13[[#This Row],[value Type]]="","",    IF(Table13[[#This Row],[IP MAX]]="","0","@"  )     )</f>
        <v/>
      </c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>
        <v>0</v>
      </c>
      <c r="C901" s="14"/>
      <c r="D901" s="14"/>
      <c r="E901" s="24"/>
      <c r="F901" s="24"/>
      <c r="G901" s="14"/>
      <c r="H901" s="15"/>
      <c r="I901" s="29"/>
      <c r="J901" s="15" t="s">
        <v>747</v>
      </c>
      <c r="K901" s="15"/>
      <c r="L901" s="14"/>
      <c r="M901" s="35"/>
      <c r="N901" s="15"/>
      <c r="O901" s="25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 t="str">
        <f>IF(Table13[[#This Row],[value Type]]="","",    IF(Table13[[#This Row],[IP MAX]]="","0","@"  )     )</f>
        <v/>
      </c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>
        <v>0</v>
      </c>
      <c r="C902" s="14" t="s">
        <v>804</v>
      </c>
      <c r="D902" s="14" t="s">
        <v>388</v>
      </c>
      <c r="E902" s="24" t="s">
        <v>278</v>
      </c>
      <c r="F902" s="24">
        <v>4</v>
      </c>
      <c r="G902" s="14" t="s">
        <v>501</v>
      </c>
      <c r="H902" s="15" t="s">
        <v>354</v>
      </c>
      <c r="I902" s="29" t="s">
        <v>712</v>
      </c>
      <c r="J902" s="15" t="s">
        <v>747</v>
      </c>
      <c r="K902" s="15" t="s">
        <v>52</v>
      </c>
      <c r="L902" s="14">
        <v>32</v>
      </c>
      <c r="M902" s="35">
        <v>0</v>
      </c>
      <c r="N902" s="15" t="s">
        <v>400</v>
      </c>
      <c r="O902" s="25" t="s">
        <v>402</v>
      </c>
      <c r="P902" s="25">
        <v>1</v>
      </c>
      <c r="Q902" s="26" t="s">
        <v>80</v>
      </c>
      <c r="R902" s="27" t="s">
        <v>410</v>
      </c>
      <c r="S902" s="27" t="s">
        <v>405</v>
      </c>
      <c r="T902" s="27">
        <v>0</v>
      </c>
      <c r="U902" s="28"/>
      <c r="V902" s="14"/>
      <c r="W902" s="14"/>
      <c r="X902" s="30" t="str">
        <f>IF(Table13[[#This Row],[value Type]]="","",VLOOKUP(Table13[[#This Row],[value Type]],Table2915[],2,FALSE))</f>
        <v>ao</v>
      </c>
      <c r="Y902" s="30" t="str">
        <f>IF(Table13[[#This Row],[value Type]]="","",VLOOKUP(Table13[[#This Row],[value Type]],Table2915[],3,FALSE))</f>
        <v>asynParamFloat64</v>
      </c>
      <c r="Z902" s="64" t="str">
        <f>IF(Table13[[#This Row],[value Type]]="","",VLOOKUP(Table13[[#This Row],[value Type]],Table2915[],4,FALSE))</f>
        <v>"asynFloat64"</v>
      </c>
      <c r="AA902" s="64" t="str">
        <f>IF(Table13[[#This Row],[value Type]]="","",    IF(Table13[[#This Row],[IP MAX]]="","","@"  )     )</f>
        <v>@</v>
      </c>
      <c r="AB902" s="79" t="str">
        <f>IF(Table13[[#This Row],[value Type]]="","",VLOOKUP(Table13[[#This Row],[value Type]],Table2915[],5,FALSE))</f>
        <v xml:space="preserve"> </v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902" s="79">
        <f>IF(Table13[[#This Row],[value Type]]="","",VLOOKUP(Table13[[#This Row],[IP]],Table51117[],2,FALSE))</f>
        <v>6</v>
      </c>
      <c r="AE902" s="79" t="str">
        <f>IF(Table13[[#This Row],[value Type]]="","",    IF(Table13[[#This Row],[IP MAX]]="","0","@"  )     )</f>
        <v>@</v>
      </c>
      <c r="AF902" s="68">
        <f>IF(Table13[[#This Row],[value Type]]="","",VLOOKUP(Table13[[#This Row],[Acc Type]],Table2[],2,FALSE))</f>
        <v>0</v>
      </c>
      <c r="AG902" s="75">
        <f>IF(Table13[[#This Row],[value Type]]="","",4*HEX2DEC(Table13[[#This Row],[Addr'[HEX']]]))</f>
        <v>536</v>
      </c>
      <c r="AH902" s="75">
        <f>IF(Table13[[#This Row],[value Type]]="","",VLOOKUP(Table13[[#This Row],[AddrTypeI]],Table22[],2,FALSE))</f>
        <v>0</v>
      </c>
      <c r="AI902" s="68">
        <f>IF(Table13[[#This Row],[value Type]]="","",VLOOKUP(Table13[[#This Row],[DataType]],Table351218[],2,FALSE))</f>
        <v>0</v>
      </c>
      <c r="AJ902" s="68">
        <f>IF(Table13[[#This Row],[value Type]]="","",Table13[[#This Row],[DataWidth]])</f>
        <v>32</v>
      </c>
      <c r="AK902" s="68">
        <f>IF(Table13[[#This Row],[value Type]]="","", Table13[[#This Row],[DataOffset]])</f>
        <v>0</v>
      </c>
      <c r="AL902" s="24"/>
      <c r="AM902" s="24" t="str">
        <f>IF(Table13[[#This Row],[value Type]]="","", "0x"&amp;DEC2HEX(Table13[[#This Row],[ADDR_Offset]],8) )</f>
        <v>0x00000218</v>
      </c>
    </row>
    <row r="903" spans="2:39" x14ac:dyDescent="0.3">
      <c r="B903" s="14">
        <v>0</v>
      </c>
      <c r="C903" s="14" t="s">
        <v>804</v>
      </c>
      <c r="D903" s="14" t="s">
        <v>388</v>
      </c>
      <c r="E903" s="24" t="s">
        <v>278</v>
      </c>
      <c r="F903" s="24">
        <v>4</v>
      </c>
      <c r="G903" s="14" t="s">
        <v>501</v>
      </c>
      <c r="H903" s="15" t="s">
        <v>355</v>
      </c>
      <c r="I903" s="29" t="s">
        <v>713</v>
      </c>
      <c r="J903" s="15" t="s">
        <v>747</v>
      </c>
      <c r="K903" s="15" t="s">
        <v>52</v>
      </c>
      <c r="L903" s="14">
        <v>32</v>
      </c>
      <c r="M903" s="35">
        <v>0</v>
      </c>
      <c r="N903" s="15" t="s">
        <v>400</v>
      </c>
      <c r="O903" s="25" t="s">
        <v>402</v>
      </c>
      <c r="P903" s="25">
        <v>1</v>
      </c>
      <c r="Q903" s="26" t="s">
        <v>80</v>
      </c>
      <c r="R903" s="27" t="s">
        <v>410</v>
      </c>
      <c r="S903" s="27" t="s">
        <v>405</v>
      </c>
      <c r="T903" s="27">
        <v>0</v>
      </c>
      <c r="U903" s="28"/>
      <c r="V903" s="14"/>
      <c r="W903" s="14"/>
      <c r="X903" s="30" t="str">
        <f>IF(Table13[[#This Row],[value Type]]="","",VLOOKUP(Table13[[#This Row],[value Type]],Table2915[],2,FALSE))</f>
        <v>ao</v>
      </c>
      <c r="Y903" s="30" t="str">
        <f>IF(Table13[[#This Row],[value Type]]="","",VLOOKUP(Table13[[#This Row],[value Type]],Table2915[],3,FALSE))</f>
        <v>asynParamFloat64</v>
      </c>
      <c r="Z903" s="64" t="str">
        <f>IF(Table13[[#This Row],[value Type]]="","",VLOOKUP(Table13[[#This Row],[value Type]],Table2915[],4,FALSE))</f>
        <v>"asynFloat64"</v>
      </c>
      <c r="AA903" s="64" t="str">
        <f>IF(Table13[[#This Row],[value Type]]="","",    IF(Table13[[#This Row],[IP MAX]]="","","@"  )     )</f>
        <v>@</v>
      </c>
      <c r="AB903" s="79" t="str">
        <f>IF(Table13[[#This Row],[value Type]]="","",VLOOKUP(Table13[[#This Row],[value Type]],Table2915[],5,FALSE))</f>
        <v xml:space="preserve"> </v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903" s="79">
        <f>IF(Table13[[#This Row],[value Type]]="","",VLOOKUP(Table13[[#This Row],[IP]],Table51117[],2,FALSE))</f>
        <v>6</v>
      </c>
      <c r="AE903" s="79" t="str">
        <f>IF(Table13[[#This Row],[value Type]]="","",    IF(Table13[[#This Row],[IP MAX]]="","0","@"  )     )</f>
        <v>@</v>
      </c>
      <c r="AF903" s="68">
        <f>IF(Table13[[#This Row],[value Type]]="","",VLOOKUP(Table13[[#This Row],[Acc Type]],Table2[],2,FALSE))</f>
        <v>0</v>
      </c>
      <c r="AG903" s="75">
        <f>IF(Table13[[#This Row],[value Type]]="","",4*HEX2DEC(Table13[[#This Row],[Addr'[HEX']]]))</f>
        <v>540</v>
      </c>
      <c r="AH903" s="75">
        <f>IF(Table13[[#This Row],[value Type]]="","",VLOOKUP(Table13[[#This Row],[AddrTypeI]],Table22[],2,FALSE))</f>
        <v>0</v>
      </c>
      <c r="AI903" s="68">
        <f>IF(Table13[[#This Row],[value Type]]="","",VLOOKUP(Table13[[#This Row],[DataType]],Table351218[],2,FALSE))</f>
        <v>0</v>
      </c>
      <c r="AJ903" s="68">
        <f>IF(Table13[[#This Row],[value Type]]="","",Table13[[#This Row],[DataWidth]])</f>
        <v>32</v>
      </c>
      <c r="AK903" s="68">
        <f>IF(Table13[[#This Row],[value Type]]="","", Table13[[#This Row],[DataOffset]])</f>
        <v>0</v>
      </c>
      <c r="AL903" s="24"/>
      <c r="AM903" s="24" t="str">
        <f>IF(Table13[[#This Row],[value Type]]="","", "0x"&amp;DEC2HEX(Table13[[#This Row],[ADDR_Offset]],8) )</f>
        <v>0x0000021C</v>
      </c>
    </row>
    <row r="904" spans="2:39" x14ac:dyDescent="0.3">
      <c r="B904" s="14">
        <v>0</v>
      </c>
      <c r="C904" s="14" t="s">
        <v>804</v>
      </c>
      <c r="D904" s="14" t="s">
        <v>388</v>
      </c>
      <c r="E904" s="24" t="s">
        <v>278</v>
      </c>
      <c r="F904" s="24">
        <v>4</v>
      </c>
      <c r="G904" s="14" t="s">
        <v>501</v>
      </c>
      <c r="H904" s="15" t="s">
        <v>356</v>
      </c>
      <c r="I904" s="29" t="s">
        <v>714</v>
      </c>
      <c r="J904" s="15" t="s">
        <v>747</v>
      </c>
      <c r="K904" s="15" t="s">
        <v>52</v>
      </c>
      <c r="L904" s="14">
        <v>32</v>
      </c>
      <c r="M904" s="35">
        <v>0</v>
      </c>
      <c r="N904" s="15" t="s">
        <v>400</v>
      </c>
      <c r="O904" s="25" t="s">
        <v>402</v>
      </c>
      <c r="P904" s="25">
        <v>1</v>
      </c>
      <c r="Q904" s="26" t="s">
        <v>80</v>
      </c>
      <c r="R904" s="27" t="s">
        <v>410</v>
      </c>
      <c r="S904" s="27" t="s">
        <v>405</v>
      </c>
      <c r="T904" s="27">
        <v>0</v>
      </c>
      <c r="U904" s="28"/>
      <c r="V904" s="14"/>
      <c r="W904" s="14"/>
      <c r="X904" s="30" t="str">
        <f>IF(Table13[[#This Row],[value Type]]="","",VLOOKUP(Table13[[#This Row],[value Type]],Table2915[],2,FALSE))</f>
        <v>ao</v>
      </c>
      <c r="Y904" s="30" t="str">
        <f>IF(Table13[[#This Row],[value Type]]="","",VLOOKUP(Table13[[#This Row],[value Type]],Table2915[],3,FALSE))</f>
        <v>asynParamFloat64</v>
      </c>
      <c r="Z904" s="64" t="str">
        <f>IF(Table13[[#This Row],[value Type]]="","",VLOOKUP(Table13[[#This Row],[value Type]],Table2915[],4,FALSE))</f>
        <v>"asynFloat64"</v>
      </c>
      <c r="AA904" s="64" t="str">
        <f>IF(Table13[[#This Row],[value Type]]="","",    IF(Table13[[#This Row],[IP MAX]]="","","@"  )     )</f>
        <v>@</v>
      </c>
      <c r="AB904" s="79" t="str">
        <f>IF(Table13[[#This Row],[value Type]]="","",VLOOKUP(Table13[[#This Row],[value Type]],Table2915[],5,FALSE))</f>
        <v xml:space="preserve"> </v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904" s="79">
        <f>IF(Table13[[#This Row],[value Type]]="","",VLOOKUP(Table13[[#This Row],[IP]],Table51117[],2,FALSE))</f>
        <v>6</v>
      </c>
      <c r="AE904" s="79" t="str">
        <f>IF(Table13[[#This Row],[value Type]]="","",    IF(Table13[[#This Row],[IP MAX]]="","0","@"  )     )</f>
        <v>@</v>
      </c>
      <c r="AF904" s="68">
        <f>IF(Table13[[#This Row],[value Type]]="","",VLOOKUP(Table13[[#This Row],[Acc Type]],Table2[],2,FALSE))</f>
        <v>0</v>
      </c>
      <c r="AG904" s="75">
        <f>IF(Table13[[#This Row],[value Type]]="","",4*HEX2DEC(Table13[[#This Row],[Addr'[HEX']]]))</f>
        <v>544</v>
      </c>
      <c r="AH904" s="75">
        <f>IF(Table13[[#This Row],[value Type]]="","",VLOOKUP(Table13[[#This Row],[AddrTypeI]],Table22[],2,FALSE))</f>
        <v>0</v>
      </c>
      <c r="AI904" s="68">
        <f>IF(Table13[[#This Row],[value Type]]="","",VLOOKUP(Table13[[#This Row],[DataType]],Table351218[],2,FALSE))</f>
        <v>0</v>
      </c>
      <c r="AJ904" s="68">
        <f>IF(Table13[[#This Row],[value Type]]="","",Table13[[#This Row],[DataWidth]])</f>
        <v>32</v>
      </c>
      <c r="AK904" s="68">
        <f>IF(Table13[[#This Row],[value Type]]="","", Table13[[#This Row],[DataOffset]])</f>
        <v>0</v>
      </c>
      <c r="AL904" s="24"/>
      <c r="AM904" s="24" t="str">
        <f>IF(Table13[[#This Row],[value Type]]="","", "0x"&amp;DEC2HEX(Table13[[#This Row],[ADDR_Offset]],8) )</f>
        <v>0x00000220</v>
      </c>
    </row>
    <row r="905" spans="2:39" x14ac:dyDescent="0.3">
      <c r="B905" s="14">
        <v>0</v>
      </c>
      <c r="C905" s="14" t="s">
        <v>804</v>
      </c>
      <c r="D905" s="14" t="s">
        <v>388</v>
      </c>
      <c r="E905" s="24" t="s">
        <v>278</v>
      </c>
      <c r="F905" s="24">
        <v>4</v>
      </c>
      <c r="G905" s="14" t="s">
        <v>501</v>
      </c>
      <c r="H905" s="15" t="s">
        <v>357</v>
      </c>
      <c r="I905" s="29" t="s">
        <v>715</v>
      </c>
      <c r="J905" s="15" t="s">
        <v>747</v>
      </c>
      <c r="K905" s="15" t="s">
        <v>52</v>
      </c>
      <c r="L905" s="14">
        <v>32</v>
      </c>
      <c r="M905" s="35">
        <v>0</v>
      </c>
      <c r="N905" s="15" t="s">
        <v>400</v>
      </c>
      <c r="O905" s="25" t="s">
        <v>402</v>
      </c>
      <c r="P905" s="25">
        <v>1</v>
      </c>
      <c r="Q905" s="26" t="s">
        <v>80</v>
      </c>
      <c r="R905" s="27" t="s">
        <v>410</v>
      </c>
      <c r="S905" s="27" t="s">
        <v>405</v>
      </c>
      <c r="T905" s="27">
        <v>0</v>
      </c>
      <c r="U905" s="28"/>
      <c r="V905" s="14"/>
      <c r="W905" s="14"/>
      <c r="X905" s="30" t="str">
        <f>IF(Table13[[#This Row],[value Type]]="","",VLOOKUP(Table13[[#This Row],[value Type]],Table2915[],2,FALSE))</f>
        <v>ao</v>
      </c>
      <c r="Y905" s="30" t="str">
        <f>IF(Table13[[#This Row],[value Type]]="","",VLOOKUP(Table13[[#This Row],[value Type]],Table2915[],3,FALSE))</f>
        <v>asynParamFloat64</v>
      </c>
      <c r="Z905" s="64" t="str">
        <f>IF(Table13[[#This Row],[value Type]]="","",VLOOKUP(Table13[[#This Row],[value Type]],Table2915[],4,FALSE))</f>
        <v>"asynFloat64"</v>
      </c>
      <c r="AA905" s="64" t="str">
        <f>IF(Table13[[#This Row],[value Type]]="","",    IF(Table13[[#This Row],[IP MAX]]="","","@"  )     )</f>
        <v>@</v>
      </c>
      <c r="AB905" s="79" t="str">
        <f>IF(Table13[[#This Row],[value Type]]="","",VLOOKUP(Table13[[#This Row],[value Type]],Table2915[],5,FALSE))</f>
        <v xml:space="preserve"> </v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905" s="79">
        <f>IF(Table13[[#This Row],[value Type]]="","",VLOOKUP(Table13[[#This Row],[IP]],Table51117[],2,FALSE))</f>
        <v>6</v>
      </c>
      <c r="AE905" s="79" t="str">
        <f>IF(Table13[[#This Row],[value Type]]="","",    IF(Table13[[#This Row],[IP MAX]]="","0","@"  )     )</f>
        <v>@</v>
      </c>
      <c r="AF905" s="68">
        <f>IF(Table13[[#This Row],[value Type]]="","",VLOOKUP(Table13[[#This Row],[Acc Type]],Table2[],2,FALSE))</f>
        <v>0</v>
      </c>
      <c r="AG905" s="75">
        <f>IF(Table13[[#This Row],[value Type]]="","",4*HEX2DEC(Table13[[#This Row],[Addr'[HEX']]]))</f>
        <v>548</v>
      </c>
      <c r="AH905" s="75">
        <f>IF(Table13[[#This Row],[value Type]]="","",VLOOKUP(Table13[[#This Row],[AddrTypeI]],Table22[],2,FALSE))</f>
        <v>0</v>
      </c>
      <c r="AI905" s="68">
        <f>IF(Table13[[#This Row],[value Type]]="","",VLOOKUP(Table13[[#This Row],[DataType]],Table351218[],2,FALSE))</f>
        <v>0</v>
      </c>
      <c r="AJ905" s="68">
        <f>IF(Table13[[#This Row],[value Type]]="","",Table13[[#This Row],[DataWidth]])</f>
        <v>32</v>
      </c>
      <c r="AK905" s="68">
        <f>IF(Table13[[#This Row],[value Type]]="","", Table13[[#This Row],[DataOffset]])</f>
        <v>0</v>
      </c>
      <c r="AL905" s="24"/>
      <c r="AM905" s="24" t="str">
        <f>IF(Table13[[#This Row],[value Type]]="","", "0x"&amp;DEC2HEX(Table13[[#This Row],[ADDR_Offset]],8) )</f>
        <v>0x00000224</v>
      </c>
    </row>
    <row r="906" spans="2:39" x14ac:dyDescent="0.3">
      <c r="B906" s="14">
        <v>0</v>
      </c>
      <c r="C906" s="14" t="s">
        <v>804</v>
      </c>
      <c r="D906" s="14" t="s">
        <v>388</v>
      </c>
      <c r="E906" s="24" t="s">
        <v>278</v>
      </c>
      <c r="F906" s="24">
        <v>4</v>
      </c>
      <c r="G906" s="14" t="s">
        <v>501</v>
      </c>
      <c r="H906" s="15" t="s">
        <v>358</v>
      </c>
      <c r="I906" s="29" t="s">
        <v>716</v>
      </c>
      <c r="J906" s="15" t="s">
        <v>747</v>
      </c>
      <c r="K906" s="15" t="s">
        <v>52</v>
      </c>
      <c r="L906" s="14">
        <v>32</v>
      </c>
      <c r="M906" s="35">
        <v>0</v>
      </c>
      <c r="N906" s="15" t="s">
        <v>400</v>
      </c>
      <c r="O906" s="25" t="s">
        <v>402</v>
      </c>
      <c r="P906" s="25">
        <v>1</v>
      </c>
      <c r="Q906" s="26" t="s">
        <v>80</v>
      </c>
      <c r="R906" s="27" t="s">
        <v>410</v>
      </c>
      <c r="S906" s="27" t="s">
        <v>405</v>
      </c>
      <c r="T906" s="27">
        <v>0</v>
      </c>
      <c r="U906" s="28"/>
      <c r="V906" s="14"/>
      <c r="W906" s="14"/>
      <c r="X906" s="30" t="str">
        <f>IF(Table13[[#This Row],[value Type]]="","",VLOOKUP(Table13[[#This Row],[value Type]],Table2915[],2,FALSE))</f>
        <v>ao</v>
      </c>
      <c r="Y906" s="30" t="str">
        <f>IF(Table13[[#This Row],[value Type]]="","",VLOOKUP(Table13[[#This Row],[value Type]],Table2915[],3,FALSE))</f>
        <v>asynParamFloat64</v>
      </c>
      <c r="Z906" s="64" t="str">
        <f>IF(Table13[[#This Row],[value Type]]="","",VLOOKUP(Table13[[#This Row],[value Type]],Table2915[],4,FALSE))</f>
        <v>"asynFloat64"</v>
      </c>
      <c r="AA906" s="64" t="str">
        <f>IF(Table13[[#This Row],[value Type]]="","",    IF(Table13[[#This Row],[IP MAX]]="","","@"  )     )</f>
        <v>@</v>
      </c>
      <c r="AB906" s="79" t="str">
        <f>IF(Table13[[#This Row],[value Type]]="","",VLOOKUP(Table13[[#This Row],[value Type]],Table2915[],5,FALSE))</f>
        <v xml:space="preserve"> </v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906" s="79">
        <f>IF(Table13[[#This Row],[value Type]]="","",VLOOKUP(Table13[[#This Row],[IP]],Table51117[],2,FALSE))</f>
        <v>6</v>
      </c>
      <c r="AE906" s="79" t="str">
        <f>IF(Table13[[#This Row],[value Type]]="","",    IF(Table13[[#This Row],[IP MAX]]="","0","@"  )     )</f>
        <v>@</v>
      </c>
      <c r="AF906" s="68">
        <f>IF(Table13[[#This Row],[value Type]]="","",VLOOKUP(Table13[[#This Row],[Acc Type]],Table2[],2,FALSE))</f>
        <v>0</v>
      </c>
      <c r="AG906" s="75">
        <f>IF(Table13[[#This Row],[value Type]]="","",4*HEX2DEC(Table13[[#This Row],[Addr'[HEX']]]))</f>
        <v>552</v>
      </c>
      <c r="AH906" s="75">
        <f>IF(Table13[[#This Row],[value Type]]="","",VLOOKUP(Table13[[#This Row],[AddrTypeI]],Table22[],2,FALSE))</f>
        <v>0</v>
      </c>
      <c r="AI906" s="68">
        <f>IF(Table13[[#This Row],[value Type]]="","",VLOOKUP(Table13[[#This Row],[DataType]],Table351218[],2,FALSE))</f>
        <v>0</v>
      </c>
      <c r="AJ906" s="68">
        <f>IF(Table13[[#This Row],[value Type]]="","",Table13[[#This Row],[DataWidth]])</f>
        <v>32</v>
      </c>
      <c r="AK906" s="68">
        <f>IF(Table13[[#This Row],[value Type]]="","", Table13[[#This Row],[DataOffset]])</f>
        <v>0</v>
      </c>
      <c r="AL906" s="24"/>
      <c r="AM906" s="24" t="str">
        <f>IF(Table13[[#This Row],[value Type]]="","", "0x"&amp;DEC2HEX(Table13[[#This Row],[ADDR_Offset]],8) )</f>
        <v>0x00000228</v>
      </c>
    </row>
    <row r="907" spans="2:39" x14ac:dyDescent="0.3">
      <c r="B907" s="14">
        <v>0</v>
      </c>
      <c r="C907" s="14" t="s">
        <v>804</v>
      </c>
      <c r="D907" s="14" t="s">
        <v>388</v>
      </c>
      <c r="E907" s="24" t="s">
        <v>278</v>
      </c>
      <c r="F907" s="24">
        <v>4</v>
      </c>
      <c r="G907" s="14" t="s">
        <v>501</v>
      </c>
      <c r="H907" s="15" t="s">
        <v>359</v>
      </c>
      <c r="I907" s="29" t="s">
        <v>717</v>
      </c>
      <c r="J907" s="15" t="s">
        <v>747</v>
      </c>
      <c r="K907" s="15" t="s">
        <v>52</v>
      </c>
      <c r="L907" s="14">
        <v>32</v>
      </c>
      <c r="M907" s="35">
        <v>0</v>
      </c>
      <c r="N907" s="15" t="s">
        <v>400</v>
      </c>
      <c r="O907" s="25" t="s">
        <v>402</v>
      </c>
      <c r="P907" s="25">
        <v>1</v>
      </c>
      <c r="Q907" s="26" t="s">
        <v>80</v>
      </c>
      <c r="R907" s="27" t="s">
        <v>410</v>
      </c>
      <c r="S907" s="27" t="s">
        <v>405</v>
      </c>
      <c r="T907" s="27">
        <v>0</v>
      </c>
      <c r="U907" s="28"/>
      <c r="V907" s="14"/>
      <c r="W907" s="14"/>
      <c r="X907" s="30" t="str">
        <f>IF(Table13[[#This Row],[value Type]]="","",VLOOKUP(Table13[[#This Row],[value Type]],Table2915[],2,FALSE))</f>
        <v>ao</v>
      </c>
      <c r="Y907" s="30" t="str">
        <f>IF(Table13[[#This Row],[value Type]]="","",VLOOKUP(Table13[[#This Row],[value Type]],Table2915[],3,FALSE))</f>
        <v>asynParamFloat64</v>
      </c>
      <c r="Z907" s="64" t="str">
        <f>IF(Table13[[#This Row],[value Type]]="","",VLOOKUP(Table13[[#This Row],[value Type]],Table2915[],4,FALSE))</f>
        <v>"asynFloat64"</v>
      </c>
      <c r="AA907" s="64" t="str">
        <f>IF(Table13[[#This Row],[value Type]]="","",    IF(Table13[[#This Row],[IP MAX]]="","","@"  )     )</f>
        <v>@</v>
      </c>
      <c r="AB907" s="79" t="str">
        <f>IF(Table13[[#This Row],[value Type]]="","",VLOOKUP(Table13[[#This Row],[value Type]],Table2915[],5,FALSE))</f>
        <v xml:space="preserve"> </v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907" s="79">
        <f>IF(Table13[[#This Row],[value Type]]="","",VLOOKUP(Table13[[#This Row],[IP]],Table51117[],2,FALSE))</f>
        <v>6</v>
      </c>
      <c r="AE907" s="79" t="str">
        <f>IF(Table13[[#This Row],[value Type]]="","",    IF(Table13[[#This Row],[IP MAX]]="","0","@"  )     )</f>
        <v>@</v>
      </c>
      <c r="AF907" s="68">
        <f>IF(Table13[[#This Row],[value Type]]="","",VLOOKUP(Table13[[#This Row],[Acc Type]],Table2[],2,FALSE))</f>
        <v>0</v>
      </c>
      <c r="AG907" s="75">
        <f>IF(Table13[[#This Row],[value Type]]="","",4*HEX2DEC(Table13[[#This Row],[Addr'[HEX']]]))</f>
        <v>556</v>
      </c>
      <c r="AH907" s="75">
        <f>IF(Table13[[#This Row],[value Type]]="","",VLOOKUP(Table13[[#This Row],[AddrTypeI]],Table22[],2,FALSE))</f>
        <v>0</v>
      </c>
      <c r="AI907" s="68">
        <f>IF(Table13[[#This Row],[value Type]]="","",VLOOKUP(Table13[[#This Row],[DataType]],Table351218[],2,FALSE))</f>
        <v>0</v>
      </c>
      <c r="AJ907" s="68">
        <f>IF(Table13[[#This Row],[value Type]]="","",Table13[[#This Row],[DataWidth]])</f>
        <v>32</v>
      </c>
      <c r="AK907" s="68">
        <f>IF(Table13[[#This Row],[value Type]]="","", Table13[[#This Row],[DataOffset]])</f>
        <v>0</v>
      </c>
      <c r="AL907" s="24"/>
      <c r="AM907" s="24" t="str">
        <f>IF(Table13[[#This Row],[value Type]]="","", "0x"&amp;DEC2HEX(Table13[[#This Row],[ADDR_Offset]],8) )</f>
        <v>0x0000022C</v>
      </c>
    </row>
    <row r="908" spans="2:39" x14ac:dyDescent="0.3">
      <c r="B908" s="14">
        <v>0</v>
      </c>
      <c r="C908" s="14" t="s">
        <v>804</v>
      </c>
      <c r="D908" s="14" t="s">
        <v>388</v>
      </c>
      <c r="E908" s="24" t="s">
        <v>278</v>
      </c>
      <c r="F908" s="24">
        <v>4</v>
      </c>
      <c r="G908" s="14" t="s">
        <v>501</v>
      </c>
      <c r="H908" s="15" t="s">
        <v>360</v>
      </c>
      <c r="I908" s="29" t="s">
        <v>718</v>
      </c>
      <c r="J908" s="15" t="s">
        <v>747</v>
      </c>
      <c r="K908" s="15" t="s">
        <v>52</v>
      </c>
      <c r="L908" s="14">
        <v>32</v>
      </c>
      <c r="M908" s="35">
        <v>0</v>
      </c>
      <c r="N908" s="15" t="s">
        <v>400</v>
      </c>
      <c r="O908" s="25" t="s">
        <v>402</v>
      </c>
      <c r="P908" s="25">
        <v>1</v>
      </c>
      <c r="Q908" s="26" t="s">
        <v>80</v>
      </c>
      <c r="R908" s="27" t="s">
        <v>410</v>
      </c>
      <c r="S908" s="27" t="s">
        <v>405</v>
      </c>
      <c r="T908" s="27">
        <v>0</v>
      </c>
      <c r="U908" s="28"/>
      <c r="V908" s="14"/>
      <c r="W908" s="14"/>
      <c r="X908" s="30" t="str">
        <f>IF(Table13[[#This Row],[value Type]]="","",VLOOKUP(Table13[[#This Row],[value Type]],Table2915[],2,FALSE))</f>
        <v>ao</v>
      </c>
      <c r="Y908" s="30" t="str">
        <f>IF(Table13[[#This Row],[value Type]]="","",VLOOKUP(Table13[[#This Row],[value Type]],Table2915[],3,FALSE))</f>
        <v>asynParamFloat64</v>
      </c>
      <c r="Z908" s="64" t="str">
        <f>IF(Table13[[#This Row],[value Type]]="","",VLOOKUP(Table13[[#This Row],[value Type]],Table2915[],4,FALSE))</f>
        <v>"asynFloat64"</v>
      </c>
      <c r="AA908" s="64" t="str">
        <f>IF(Table13[[#This Row],[value Type]]="","",    IF(Table13[[#This Row],[IP MAX]]="","","@"  )     )</f>
        <v>@</v>
      </c>
      <c r="AB908" s="79" t="str">
        <f>IF(Table13[[#This Row],[value Type]]="","",VLOOKUP(Table13[[#This Row],[value Type]],Table2915[],5,FALSE))</f>
        <v xml:space="preserve"> </v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908" s="79">
        <f>IF(Table13[[#This Row],[value Type]]="","",VLOOKUP(Table13[[#This Row],[IP]],Table51117[],2,FALSE))</f>
        <v>6</v>
      </c>
      <c r="AE908" s="79" t="str">
        <f>IF(Table13[[#This Row],[value Type]]="","",    IF(Table13[[#This Row],[IP MAX]]="","0","@"  )     )</f>
        <v>@</v>
      </c>
      <c r="AF908" s="68">
        <f>IF(Table13[[#This Row],[value Type]]="","",VLOOKUP(Table13[[#This Row],[Acc Type]],Table2[],2,FALSE))</f>
        <v>0</v>
      </c>
      <c r="AG908" s="75">
        <f>IF(Table13[[#This Row],[value Type]]="","",4*HEX2DEC(Table13[[#This Row],[Addr'[HEX']]]))</f>
        <v>560</v>
      </c>
      <c r="AH908" s="75">
        <f>IF(Table13[[#This Row],[value Type]]="","",VLOOKUP(Table13[[#This Row],[AddrTypeI]],Table22[],2,FALSE))</f>
        <v>0</v>
      </c>
      <c r="AI908" s="68">
        <f>IF(Table13[[#This Row],[value Type]]="","",VLOOKUP(Table13[[#This Row],[DataType]],Table351218[],2,FALSE))</f>
        <v>0</v>
      </c>
      <c r="AJ908" s="68">
        <f>IF(Table13[[#This Row],[value Type]]="","",Table13[[#This Row],[DataWidth]])</f>
        <v>32</v>
      </c>
      <c r="AK908" s="68">
        <f>IF(Table13[[#This Row],[value Type]]="","", Table13[[#This Row],[DataOffset]])</f>
        <v>0</v>
      </c>
      <c r="AL908" s="24"/>
      <c r="AM908" s="24" t="str">
        <f>IF(Table13[[#This Row],[value Type]]="","", "0x"&amp;DEC2HEX(Table13[[#This Row],[ADDR_Offset]],8) )</f>
        <v>0x00000230</v>
      </c>
    </row>
    <row r="909" spans="2:39" x14ac:dyDescent="0.3">
      <c r="B909" s="14">
        <v>0</v>
      </c>
      <c r="C909" s="14" t="s">
        <v>804</v>
      </c>
      <c r="D909" s="14" t="s">
        <v>388</v>
      </c>
      <c r="E909" s="24" t="s">
        <v>278</v>
      </c>
      <c r="F909" s="24">
        <v>4</v>
      </c>
      <c r="G909" s="14" t="s">
        <v>501</v>
      </c>
      <c r="H909" s="15" t="s">
        <v>361</v>
      </c>
      <c r="I909" s="29" t="s">
        <v>719</v>
      </c>
      <c r="J909" s="15" t="s">
        <v>747</v>
      </c>
      <c r="K909" s="15" t="s">
        <v>52</v>
      </c>
      <c r="L909" s="14">
        <v>32</v>
      </c>
      <c r="M909" s="35">
        <v>0</v>
      </c>
      <c r="N909" s="15" t="s">
        <v>400</v>
      </c>
      <c r="O909" s="25" t="s">
        <v>402</v>
      </c>
      <c r="P909" s="25">
        <v>1</v>
      </c>
      <c r="Q909" s="26" t="s">
        <v>80</v>
      </c>
      <c r="R909" s="27" t="s">
        <v>410</v>
      </c>
      <c r="S909" s="27" t="s">
        <v>405</v>
      </c>
      <c r="T909" s="27">
        <v>0</v>
      </c>
      <c r="U909" s="28"/>
      <c r="V909" s="14"/>
      <c r="W909" s="14"/>
      <c r="X909" s="30" t="str">
        <f>IF(Table13[[#This Row],[value Type]]="","",VLOOKUP(Table13[[#This Row],[value Type]],Table2915[],2,FALSE))</f>
        <v>ao</v>
      </c>
      <c r="Y909" s="30" t="str">
        <f>IF(Table13[[#This Row],[value Type]]="","",VLOOKUP(Table13[[#This Row],[value Type]],Table2915[],3,FALSE))</f>
        <v>asynParamFloat64</v>
      </c>
      <c r="Z909" s="64" t="str">
        <f>IF(Table13[[#This Row],[value Type]]="","",VLOOKUP(Table13[[#This Row],[value Type]],Table2915[],4,FALSE))</f>
        <v>"asynFloat64"</v>
      </c>
      <c r="AA909" s="64" t="str">
        <f>IF(Table13[[#This Row],[value Type]]="","",    IF(Table13[[#This Row],[IP MAX]]="","","@"  )     )</f>
        <v>@</v>
      </c>
      <c r="AB909" s="79" t="str">
        <f>IF(Table13[[#This Row],[value Type]]="","",VLOOKUP(Table13[[#This Row],[value Type]],Table2915[],5,FALSE))</f>
        <v xml:space="preserve"> </v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909" s="79">
        <f>IF(Table13[[#This Row],[value Type]]="","",VLOOKUP(Table13[[#This Row],[IP]],Table51117[],2,FALSE))</f>
        <v>6</v>
      </c>
      <c r="AE909" s="79" t="str">
        <f>IF(Table13[[#This Row],[value Type]]="","",    IF(Table13[[#This Row],[IP MAX]]="","0","@"  )     )</f>
        <v>@</v>
      </c>
      <c r="AF909" s="68">
        <f>IF(Table13[[#This Row],[value Type]]="","",VLOOKUP(Table13[[#This Row],[Acc Type]],Table2[],2,FALSE))</f>
        <v>0</v>
      </c>
      <c r="AG909" s="75">
        <f>IF(Table13[[#This Row],[value Type]]="","",4*HEX2DEC(Table13[[#This Row],[Addr'[HEX']]]))</f>
        <v>564</v>
      </c>
      <c r="AH909" s="75">
        <f>IF(Table13[[#This Row],[value Type]]="","",VLOOKUP(Table13[[#This Row],[AddrTypeI]],Table22[],2,FALSE))</f>
        <v>0</v>
      </c>
      <c r="AI909" s="68">
        <f>IF(Table13[[#This Row],[value Type]]="","",VLOOKUP(Table13[[#This Row],[DataType]],Table351218[],2,FALSE))</f>
        <v>0</v>
      </c>
      <c r="AJ909" s="68">
        <f>IF(Table13[[#This Row],[value Type]]="","",Table13[[#This Row],[DataWidth]])</f>
        <v>32</v>
      </c>
      <c r="AK909" s="68">
        <f>IF(Table13[[#This Row],[value Type]]="","", Table13[[#This Row],[DataOffset]])</f>
        <v>0</v>
      </c>
      <c r="AL909" s="24"/>
      <c r="AM909" s="24" t="str">
        <f>IF(Table13[[#This Row],[value Type]]="","", "0x"&amp;DEC2HEX(Table13[[#This Row],[ADDR_Offset]],8) )</f>
        <v>0x00000234</v>
      </c>
    </row>
    <row r="910" spans="2:39" x14ac:dyDescent="0.3">
      <c r="B910" s="14">
        <v>0</v>
      </c>
      <c r="C910" s="14" t="s">
        <v>804</v>
      </c>
      <c r="D910" s="14" t="s">
        <v>388</v>
      </c>
      <c r="E910" s="24" t="s">
        <v>278</v>
      </c>
      <c r="F910" s="24">
        <v>4</v>
      </c>
      <c r="G910" s="14" t="s">
        <v>501</v>
      </c>
      <c r="H910" s="15" t="s">
        <v>362</v>
      </c>
      <c r="I910" s="29" t="s">
        <v>720</v>
      </c>
      <c r="J910" s="15" t="s">
        <v>747</v>
      </c>
      <c r="K910" s="15" t="s">
        <v>52</v>
      </c>
      <c r="L910" s="14">
        <v>32</v>
      </c>
      <c r="M910" s="35">
        <v>0</v>
      </c>
      <c r="N910" s="15" t="s">
        <v>400</v>
      </c>
      <c r="O910" s="25" t="s">
        <v>402</v>
      </c>
      <c r="P910" s="25">
        <v>1</v>
      </c>
      <c r="Q910" s="26" t="s">
        <v>80</v>
      </c>
      <c r="R910" s="27" t="s">
        <v>410</v>
      </c>
      <c r="S910" s="27" t="s">
        <v>405</v>
      </c>
      <c r="T910" s="27">
        <v>0</v>
      </c>
      <c r="U910" s="28"/>
      <c r="V910" s="14"/>
      <c r="W910" s="14"/>
      <c r="X910" s="30" t="str">
        <f>IF(Table13[[#This Row],[value Type]]="","",VLOOKUP(Table13[[#This Row],[value Type]],Table2915[],2,FALSE))</f>
        <v>ao</v>
      </c>
      <c r="Y910" s="30" t="str">
        <f>IF(Table13[[#This Row],[value Type]]="","",VLOOKUP(Table13[[#This Row],[value Type]],Table2915[],3,FALSE))</f>
        <v>asynParamFloat64</v>
      </c>
      <c r="Z910" s="64" t="str">
        <f>IF(Table13[[#This Row],[value Type]]="","",VLOOKUP(Table13[[#This Row],[value Type]],Table2915[],4,FALSE))</f>
        <v>"asynFloat64"</v>
      </c>
      <c r="AA910" s="64" t="str">
        <f>IF(Table13[[#This Row],[value Type]]="","",    IF(Table13[[#This Row],[IP MAX]]="","","@"  )     )</f>
        <v>@</v>
      </c>
      <c r="AB910" s="79" t="str">
        <f>IF(Table13[[#This Row],[value Type]]="","",VLOOKUP(Table13[[#This Row],[value Type]],Table2915[],5,FALSE))</f>
        <v xml:space="preserve"> </v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910" s="79">
        <f>IF(Table13[[#This Row],[value Type]]="","",VLOOKUP(Table13[[#This Row],[IP]],Table51117[],2,FALSE))</f>
        <v>6</v>
      </c>
      <c r="AE910" s="79" t="str">
        <f>IF(Table13[[#This Row],[value Type]]="","",    IF(Table13[[#This Row],[IP MAX]]="","0","@"  )     )</f>
        <v>@</v>
      </c>
      <c r="AF910" s="68">
        <f>IF(Table13[[#This Row],[value Type]]="","",VLOOKUP(Table13[[#This Row],[Acc Type]],Table2[],2,FALSE))</f>
        <v>0</v>
      </c>
      <c r="AG910" s="75">
        <f>IF(Table13[[#This Row],[value Type]]="","",4*HEX2DEC(Table13[[#This Row],[Addr'[HEX']]]))</f>
        <v>568</v>
      </c>
      <c r="AH910" s="75">
        <f>IF(Table13[[#This Row],[value Type]]="","",VLOOKUP(Table13[[#This Row],[AddrTypeI]],Table22[],2,FALSE))</f>
        <v>0</v>
      </c>
      <c r="AI910" s="68">
        <f>IF(Table13[[#This Row],[value Type]]="","",VLOOKUP(Table13[[#This Row],[DataType]],Table351218[],2,FALSE))</f>
        <v>0</v>
      </c>
      <c r="AJ910" s="68">
        <f>IF(Table13[[#This Row],[value Type]]="","",Table13[[#This Row],[DataWidth]])</f>
        <v>32</v>
      </c>
      <c r="AK910" s="68">
        <f>IF(Table13[[#This Row],[value Type]]="","", Table13[[#This Row],[DataOffset]])</f>
        <v>0</v>
      </c>
      <c r="AL910" s="24"/>
      <c r="AM910" s="24" t="str">
        <f>IF(Table13[[#This Row],[value Type]]="","", "0x"&amp;DEC2HEX(Table13[[#This Row],[ADDR_Offset]],8) )</f>
        <v>0x00000238</v>
      </c>
    </row>
    <row r="911" spans="2:39" x14ac:dyDescent="0.3">
      <c r="B911" s="14">
        <v>0</v>
      </c>
      <c r="C911" s="14" t="s">
        <v>804</v>
      </c>
      <c r="D911" s="14" t="s">
        <v>388</v>
      </c>
      <c r="E911" s="24" t="s">
        <v>278</v>
      </c>
      <c r="F911" s="24">
        <v>4</v>
      </c>
      <c r="G911" s="14" t="s">
        <v>501</v>
      </c>
      <c r="H911" s="15" t="s">
        <v>363</v>
      </c>
      <c r="I911" s="29" t="s">
        <v>721</v>
      </c>
      <c r="J911" s="15" t="s">
        <v>747</v>
      </c>
      <c r="K911" s="15" t="s">
        <v>52</v>
      </c>
      <c r="L911" s="14">
        <v>32</v>
      </c>
      <c r="M911" s="35">
        <v>0</v>
      </c>
      <c r="N911" s="15" t="s">
        <v>400</v>
      </c>
      <c r="O911" s="25" t="s">
        <v>402</v>
      </c>
      <c r="P911" s="25">
        <v>1</v>
      </c>
      <c r="Q911" s="26" t="s">
        <v>80</v>
      </c>
      <c r="R911" s="27" t="s">
        <v>410</v>
      </c>
      <c r="S911" s="27" t="s">
        <v>405</v>
      </c>
      <c r="T911" s="27">
        <v>0</v>
      </c>
      <c r="U911" s="28"/>
      <c r="V911" s="14"/>
      <c r="W911" s="14"/>
      <c r="X911" s="30" t="str">
        <f>IF(Table13[[#This Row],[value Type]]="","",VLOOKUP(Table13[[#This Row],[value Type]],Table2915[],2,FALSE))</f>
        <v>ao</v>
      </c>
      <c r="Y911" s="30" t="str">
        <f>IF(Table13[[#This Row],[value Type]]="","",VLOOKUP(Table13[[#This Row],[value Type]],Table2915[],3,FALSE))</f>
        <v>asynParamFloat64</v>
      </c>
      <c r="Z911" s="64" t="str">
        <f>IF(Table13[[#This Row],[value Type]]="","",VLOOKUP(Table13[[#This Row],[value Type]],Table2915[],4,FALSE))</f>
        <v>"asynFloat64"</v>
      </c>
      <c r="AA911" s="64" t="str">
        <f>IF(Table13[[#This Row],[value Type]]="","",    IF(Table13[[#This Row],[IP MAX]]="","","@"  )     )</f>
        <v>@</v>
      </c>
      <c r="AB911" s="79" t="str">
        <f>IF(Table13[[#This Row],[value Type]]="","",VLOOKUP(Table13[[#This Row],[value Type]],Table2915[],5,FALSE))</f>
        <v xml:space="preserve"> </v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911" s="79">
        <f>IF(Table13[[#This Row],[value Type]]="","",VLOOKUP(Table13[[#This Row],[IP]],Table51117[],2,FALSE))</f>
        <v>6</v>
      </c>
      <c r="AE911" s="79" t="str">
        <f>IF(Table13[[#This Row],[value Type]]="","",    IF(Table13[[#This Row],[IP MAX]]="","0","@"  )     )</f>
        <v>@</v>
      </c>
      <c r="AF911" s="68">
        <f>IF(Table13[[#This Row],[value Type]]="","",VLOOKUP(Table13[[#This Row],[Acc Type]],Table2[],2,FALSE))</f>
        <v>0</v>
      </c>
      <c r="AG911" s="75">
        <f>IF(Table13[[#This Row],[value Type]]="","",4*HEX2DEC(Table13[[#This Row],[Addr'[HEX']]]))</f>
        <v>572</v>
      </c>
      <c r="AH911" s="75">
        <f>IF(Table13[[#This Row],[value Type]]="","",VLOOKUP(Table13[[#This Row],[AddrTypeI]],Table22[],2,FALSE))</f>
        <v>0</v>
      </c>
      <c r="AI911" s="68">
        <f>IF(Table13[[#This Row],[value Type]]="","",VLOOKUP(Table13[[#This Row],[DataType]],Table351218[],2,FALSE))</f>
        <v>0</v>
      </c>
      <c r="AJ911" s="68">
        <f>IF(Table13[[#This Row],[value Type]]="","",Table13[[#This Row],[DataWidth]])</f>
        <v>32</v>
      </c>
      <c r="AK911" s="68">
        <f>IF(Table13[[#This Row],[value Type]]="","", Table13[[#This Row],[DataOffset]])</f>
        <v>0</v>
      </c>
      <c r="AL911" s="24"/>
      <c r="AM911" s="24" t="str">
        <f>IF(Table13[[#This Row],[value Type]]="","", "0x"&amp;DEC2HEX(Table13[[#This Row],[ADDR_Offset]],8) )</f>
        <v>0x0000023C</v>
      </c>
    </row>
    <row r="912" spans="2:39" x14ac:dyDescent="0.3">
      <c r="B912" s="14">
        <v>0</v>
      </c>
      <c r="C912" s="14" t="s">
        <v>804</v>
      </c>
      <c r="D912" s="14" t="s">
        <v>388</v>
      </c>
      <c r="E912" s="24" t="s">
        <v>278</v>
      </c>
      <c r="F912" s="24">
        <v>4</v>
      </c>
      <c r="G912" s="14" t="s">
        <v>501</v>
      </c>
      <c r="H912" s="15" t="s">
        <v>364</v>
      </c>
      <c r="I912" s="29" t="s">
        <v>722</v>
      </c>
      <c r="J912" s="15" t="s">
        <v>747</v>
      </c>
      <c r="K912" s="15" t="s">
        <v>52</v>
      </c>
      <c r="L912" s="14">
        <v>32</v>
      </c>
      <c r="M912" s="35">
        <v>0</v>
      </c>
      <c r="N912" s="15" t="s">
        <v>400</v>
      </c>
      <c r="O912" s="25" t="s">
        <v>402</v>
      </c>
      <c r="P912" s="25">
        <v>1</v>
      </c>
      <c r="Q912" s="26" t="s">
        <v>80</v>
      </c>
      <c r="R912" s="27" t="s">
        <v>410</v>
      </c>
      <c r="S912" s="27" t="s">
        <v>405</v>
      </c>
      <c r="T912" s="27">
        <v>0</v>
      </c>
      <c r="U912" s="28"/>
      <c r="V912" s="14"/>
      <c r="W912" s="14"/>
      <c r="X912" s="30" t="str">
        <f>IF(Table13[[#This Row],[value Type]]="","",VLOOKUP(Table13[[#This Row],[value Type]],Table2915[],2,FALSE))</f>
        <v>ao</v>
      </c>
      <c r="Y912" s="30" t="str">
        <f>IF(Table13[[#This Row],[value Type]]="","",VLOOKUP(Table13[[#This Row],[value Type]],Table2915[],3,FALSE))</f>
        <v>asynParamFloat64</v>
      </c>
      <c r="Z912" s="64" t="str">
        <f>IF(Table13[[#This Row],[value Type]]="","",VLOOKUP(Table13[[#This Row],[value Type]],Table2915[],4,FALSE))</f>
        <v>"asynFloat64"</v>
      </c>
      <c r="AA912" s="64" t="str">
        <f>IF(Table13[[#This Row],[value Type]]="","",    IF(Table13[[#This Row],[IP MAX]]="","","@"  )     )</f>
        <v>@</v>
      </c>
      <c r="AB912" s="79" t="str">
        <f>IF(Table13[[#This Row],[value Type]]="","",VLOOKUP(Table13[[#This Row],[value Type]],Table2915[],5,FALSE))</f>
        <v xml:space="preserve"> </v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912" s="79">
        <f>IF(Table13[[#This Row],[value Type]]="","",VLOOKUP(Table13[[#This Row],[IP]],Table51117[],2,FALSE))</f>
        <v>6</v>
      </c>
      <c r="AE912" s="79" t="str">
        <f>IF(Table13[[#This Row],[value Type]]="","",    IF(Table13[[#This Row],[IP MAX]]="","0","@"  )     )</f>
        <v>@</v>
      </c>
      <c r="AF912" s="68">
        <f>IF(Table13[[#This Row],[value Type]]="","",VLOOKUP(Table13[[#This Row],[Acc Type]],Table2[],2,FALSE))</f>
        <v>0</v>
      </c>
      <c r="AG912" s="75">
        <f>IF(Table13[[#This Row],[value Type]]="","",4*HEX2DEC(Table13[[#This Row],[Addr'[HEX']]]))</f>
        <v>576</v>
      </c>
      <c r="AH912" s="75">
        <f>IF(Table13[[#This Row],[value Type]]="","",VLOOKUP(Table13[[#This Row],[AddrTypeI]],Table22[],2,FALSE))</f>
        <v>0</v>
      </c>
      <c r="AI912" s="68">
        <f>IF(Table13[[#This Row],[value Type]]="","",VLOOKUP(Table13[[#This Row],[DataType]],Table351218[],2,FALSE))</f>
        <v>0</v>
      </c>
      <c r="AJ912" s="68">
        <f>IF(Table13[[#This Row],[value Type]]="","",Table13[[#This Row],[DataWidth]])</f>
        <v>32</v>
      </c>
      <c r="AK912" s="68">
        <f>IF(Table13[[#This Row],[value Type]]="","", Table13[[#This Row],[DataOffset]])</f>
        <v>0</v>
      </c>
      <c r="AL912" s="24"/>
      <c r="AM912" s="24" t="str">
        <f>IF(Table13[[#This Row],[value Type]]="","", "0x"&amp;DEC2HEX(Table13[[#This Row],[ADDR_Offset]],8) )</f>
        <v>0x00000240</v>
      </c>
    </row>
    <row r="913" spans="2:39" x14ac:dyDescent="0.3">
      <c r="B913" s="14">
        <v>0</v>
      </c>
      <c r="C913" s="14" t="s">
        <v>804</v>
      </c>
      <c r="D913" s="14" t="s">
        <v>388</v>
      </c>
      <c r="E913" s="24" t="s">
        <v>278</v>
      </c>
      <c r="F913" s="24">
        <v>4</v>
      </c>
      <c r="G913" s="14" t="s">
        <v>501</v>
      </c>
      <c r="H913" s="15" t="s">
        <v>365</v>
      </c>
      <c r="I913" s="29" t="s">
        <v>723</v>
      </c>
      <c r="J913" s="15" t="s">
        <v>747</v>
      </c>
      <c r="K913" s="15" t="s">
        <v>52</v>
      </c>
      <c r="L913" s="14">
        <v>32</v>
      </c>
      <c r="M913" s="35">
        <v>0</v>
      </c>
      <c r="N913" s="15" t="s">
        <v>400</v>
      </c>
      <c r="O913" s="25" t="s">
        <v>402</v>
      </c>
      <c r="P913" s="25">
        <v>1</v>
      </c>
      <c r="Q913" s="26" t="s">
        <v>80</v>
      </c>
      <c r="R913" s="27" t="s">
        <v>410</v>
      </c>
      <c r="S913" s="27" t="s">
        <v>405</v>
      </c>
      <c r="T913" s="27">
        <v>0</v>
      </c>
      <c r="U913" s="28"/>
      <c r="V913" s="14"/>
      <c r="W913" s="14"/>
      <c r="X913" s="30" t="str">
        <f>IF(Table13[[#This Row],[value Type]]="","",VLOOKUP(Table13[[#This Row],[value Type]],Table2915[],2,FALSE))</f>
        <v>ao</v>
      </c>
      <c r="Y913" s="30" t="str">
        <f>IF(Table13[[#This Row],[value Type]]="","",VLOOKUP(Table13[[#This Row],[value Type]],Table2915[],3,FALSE))</f>
        <v>asynParamFloat64</v>
      </c>
      <c r="Z913" s="64" t="str">
        <f>IF(Table13[[#This Row],[value Type]]="","",VLOOKUP(Table13[[#This Row],[value Type]],Table2915[],4,FALSE))</f>
        <v>"asynFloat64"</v>
      </c>
      <c r="AA913" s="64" t="str">
        <f>IF(Table13[[#This Row],[value Type]]="","",    IF(Table13[[#This Row],[IP MAX]]="","","@"  )     )</f>
        <v>@</v>
      </c>
      <c r="AB913" s="79" t="str">
        <f>IF(Table13[[#This Row],[value Type]]="","",VLOOKUP(Table13[[#This Row],[value Type]],Table2915[],5,FALSE))</f>
        <v xml:space="preserve"> </v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913" s="79">
        <f>IF(Table13[[#This Row],[value Type]]="","",VLOOKUP(Table13[[#This Row],[IP]],Table51117[],2,FALSE))</f>
        <v>6</v>
      </c>
      <c r="AE913" s="79" t="str">
        <f>IF(Table13[[#This Row],[value Type]]="","",    IF(Table13[[#This Row],[IP MAX]]="","0","@"  )     )</f>
        <v>@</v>
      </c>
      <c r="AF913" s="68">
        <f>IF(Table13[[#This Row],[value Type]]="","",VLOOKUP(Table13[[#This Row],[Acc Type]],Table2[],2,FALSE))</f>
        <v>0</v>
      </c>
      <c r="AG913" s="75">
        <f>IF(Table13[[#This Row],[value Type]]="","",4*HEX2DEC(Table13[[#This Row],[Addr'[HEX']]]))</f>
        <v>580</v>
      </c>
      <c r="AH913" s="75">
        <f>IF(Table13[[#This Row],[value Type]]="","",VLOOKUP(Table13[[#This Row],[AddrTypeI]],Table22[],2,FALSE))</f>
        <v>0</v>
      </c>
      <c r="AI913" s="68">
        <f>IF(Table13[[#This Row],[value Type]]="","",VLOOKUP(Table13[[#This Row],[DataType]],Table351218[],2,FALSE))</f>
        <v>0</v>
      </c>
      <c r="AJ913" s="68">
        <f>IF(Table13[[#This Row],[value Type]]="","",Table13[[#This Row],[DataWidth]])</f>
        <v>32</v>
      </c>
      <c r="AK913" s="68">
        <f>IF(Table13[[#This Row],[value Type]]="","", Table13[[#This Row],[DataOffset]])</f>
        <v>0</v>
      </c>
      <c r="AL913" s="24"/>
      <c r="AM913" s="24" t="str">
        <f>IF(Table13[[#This Row],[value Type]]="","", "0x"&amp;DEC2HEX(Table13[[#This Row],[ADDR_Offset]],8) )</f>
        <v>0x00000244</v>
      </c>
    </row>
    <row r="914" spans="2:39" x14ac:dyDescent="0.3">
      <c r="B914" s="14">
        <v>0</v>
      </c>
      <c r="C914" s="14" t="s">
        <v>804</v>
      </c>
      <c r="D914" s="14" t="s">
        <v>388</v>
      </c>
      <c r="E914" s="24" t="s">
        <v>278</v>
      </c>
      <c r="F914" s="24">
        <v>4</v>
      </c>
      <c r="G914" s="14" t="s">
        <v>501</v>
      </c>
      <c r="H914" s="15" t="s">
        <v>366</v>
      </c>
      <c r="I914" s="29" t="s">
        <v>724</v>
      </c>
      <c r="J914" s="15" t="s">
        <v>747</v>
      </c>
      <c r="K914" s="15" t="s">
        <v>52</v>
      </c>
      <c r="L914" s="14">
        <v>32</v>
      </c>
      <c r="M914" s="35">
        <v>0</v>
      </c>
      <c r="N914" s="15" t="s">
        <v>400</v>
      </c>
      <c r="O914" s="25" t="s">
        <v>402</v>
      </c>
      <c r="P914" s="25">
        <v>1</v>
      </c>
      <c r="Q914" s="26" t="s">
        <v>80</v>
      </c>
      <c r="R914" s="27" t="s">
        <v>410</v>
      </c>
      <c r="S914" s="27" t="s">
        <v>405</v>
      </c>
      <c r="T914" s="27">
        <v>0</v>
      </c>
      <c r="U914" s="28"/>
      <c r="V914" s="14"/>
      <c r="W914" s="14"/>
      <c r="X914" s="30" t="str">
        <f>IF(Table13[[#This Row],[value Type]]="","",VLOOKUP(Table13[[#This Row],[value Type]],Table2915[],2,FALSE))</f>
        <v>ao</v>
      </c>
      <c r="Y914" s="30" t="str">
        <f>IF(Table13[[#This Row],[value Type]]="","",VLOOKUP(Table13[[#This Row],[value Type]],Table2915[],3,FALSE))</f>
        <v>asynParamFloat64</v>
      </c>
      <c r="Z914" s="64" t="str">
        <f>IF(Table13[[#This Row],[value Type]]="","",VLOOKUP(Table13[[#This Row],[value Type]],Table2915[],4,FALSE))</f>
        <v>"asynFloat64"</v>
      </c>
      <c r="AA914" s="64" t="str">
        <f>IF(Table13[[#This Row],[value Type]]="","",    IF(Table13[[#This Row],[IP MAX]]="","","@"  )     )</f>
        <v>@</v>
      </c>
      <c r="AB914" s="79" t="str">
        <f>IF(Table13[[#This Row],[value Type]]="","",VLOOKUP(Table13[[#This Row],[value Type]],Table2915[],5,FALSE))</f>
        <v xml:space="preserve"> </v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914" s="79">
        <f>IF(Table13[[#This Row],[value Type]]="","",VLOOKUP(Table13[[#This Row],[IP]],Table51117[],2,FALSE))</f>
        <v>6</v>
      </c>
      <c r="AE914" s="79" t="str">
        <f>IF(Table13[[#This Row],[value Type]]="","",    IF(Table13[[#This Row],[IP MAX]]="","0","@"  )     )</f>
        <v>@</v>
      </c>
      <c r="AF914" s="68">
        <f>IF(Table13[[#This Row],[value Type]]="","",VLOOKUP(Table13[[#This Row],[Acc Type]],Table2[],2,FALSE))</f>
        <v>0</v>
      </c>
      <c r="AG914" s="75">
        <f>IF(Table13[[#This Row],[value Type]]="","",4*HEX2DEC(Table13[[#This Row],[Addr'[HEX']]]))</f>
        <v>584</v>
      </c>
      <c r="AH914" s="75">
        <f>IF(Table13[[#This Row],[value Type]]="","",VLOOKUP(Table13[[#This Row],[AddrTypeI]],Table22[],2,FALSE))</f>
        <v>0</v>
      </c>
      <c r="AI914" s="68">
        <f>IF(Table13[[#This Row],[value Type]]="","",VLOOKUP(Table13[[#This Row],[DataType]],Table351218[],2,FALSE))</f>
        <v>0</v>
      </c>
      <c r="AJ914" s="68">
        <f>IF(Table13[[#This Row],[value Type]]="","",Table13[[#This Row],[DataWidth]])</f>
        <v>32</v>
      </c>
      <c r="AK914" s="68">
        <f>IF(Table13[[#This Row],[value Type]]="","", Table13[[#This Row],[DataOffset]])</f>
        <v>0</v>
      </c>
      <c r="AL914" s="24"/>
      <c r="AM914" s="24" t="str">
        <f>IF(Table13[[#This Row],[value Type]]="","", "0x"&amp;DEC2HEX(Table13[[#This Row],[ADDR_Offset]],8) )</f>
        <v>0x00000248</v>
      </c>
    </row>
    <row r="915" spans="2:39" x14ac:dyDescent="0.3">
      <c r="B915" s="14">
        <v>0</v>
      </c>
      <c r="C915" s="14" t="s">
        <v>804</v>
      </c>
      <c r="D915" s="14" t="s">
        <v>388</v>
      </c>
      <c r="E915" s="24" t="s">
        <v>278</v>
      </c>
      <c r="F915" s="24">
        <v>4</v>
      </c>
      <c r="G915" s="14" t="s">
        <v>501</v>
      </c>
      <c r="H915" s="15" t="s">
        <v>367</v>
      </c>
      <c r="I915" s="29" t="s">
        <v>725</v>
      </c>
      <c r="J915" s="15" t="s">
        <v>747</v>
      </c>
      <c r="K915" s="15" t="s">
        <v>52</v>
      </c>
      <c r="L915" s="14">
        <v>32</v>
      </c>
      <c r="M915" s="35">
        <v>0</v>
      </c>
      <c r="N915" s="15" t="s">
        <v>400</v>
      </c>
      <c r="O915" s="25" t="s">
        <v>402</v>
      </c>
      <c r="P915" s="25">
        <v>1</v>
      </c>
      <c r="Q915" s="26" t="s">
        <v>80</v>
      </c>
      <c r="R915" s="27" t="s">
        <v>410</v>
      </c>
      <c r="S915" s="27" t="s">
        <v>405</v>
      </c>
      <c r="T915" s="27">
        <v>0</v>
      </c>
      <c r="U915" s="28"/>
      <c r="V915" s="14"/>
      <c r="W915" s="14"/>
      <c r="X915" s="30" t="str">
        <f>IF(Table13[[#This Row],[value Type]]="","",VLOOKUP(Table13[[#This Row],[value Type]],Table2915[],2,FALSE))</f>
        <v>ao</v>
      </c>
      <c r="Y915" s="30" t="str">
        <f>IF(Table13[[#This Row],[value Type]]="","",VLOOKUP(Table13[[#This Row],[value Type]],Table2915[],3,FALSE))</f>
        <v>asynParamFloat64</v>
      </c>
      <c r="Z915" s="64" t="str">
        <f>IF(Table13[[#This Row],[value Type]]="","",VLOOKUP(Table13[[#This Row],[value Type]],Table2915[],4,FALSE))</f>
        <v>"asynFloat64"</v>
      </c>
      <c r="AA915" s="64" t="str">
        <f>IF(Table13[[#This Row],[value Type]]="","",    IF(Table13[[#This Row],[IP MAX]]="","","@"  )     )</f>
        <v>@</v>
      </c>
      <c r="AB915" s="79" t="str">
        <f>IF(Table13[[#This Row],[value Type]]="","",VLOOKUP(Table13[[#This Row],[value Type]],Table2915[],5,FALSE))</f>
        <v xml:space="preserve"> </v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915" s="79">
        <f>IF(Table13[[#This Row],[value Type]]="","",VLOOKUP(Table13[[#This Row],[IP]],Table51117[],2,FALSE))</f>
        <v>6</v>
      </c>
      <c r="AE915" s="79" t="str">
        <f>IF(Table13[[#This Row],[value Type]]="","",    IF(Table13[[#This Row],[IP MAX]]="","0","@"  )     )</f>
        <v>@</v>
      </c>
      <c r="AF915" s="68">
        <f>IF(Table13[[#This Row],[value Type]]="","",VLOOKUP(Table13[[#This Row],[Acc Type]],Table2[],2,FALSE))</f>
        <v>0</v>
      </c>
      <c r="AG915" s="75">
        <f>IF(Table13[[#This Row],[value Type]]="","",4*HEX2DEC(Table13[[#This Row],[Addr'[HEX']]]))</f>
        <v>588</v>
      </c>
      <c r="AH915" s="75">
        <f>IF(Table13[[#This Row],[value Type]]="","",VLOOKUP(Table13[[#This Row],[AddrTypeI]],Table22[],2,FALSE))</f>
        <v>0</v>
      </c>
      <c r="AI915" s="68">
        <f>IF(Table13[[#This Row],[value Type]]="","",VLOOKUP(Table13[[#This Row],[DataType]],Table351218[],2,FALSE))</f>
        <v>0</v>
      </c>
      <c r="AJ915" s="68">
        <f>IF(Table13[[#This Row],[value Type]]="","",Table13[[#This Row],[DataWidth]])</f>
        <v>32</v>
      </c>
      <c r="AK915" s="68">
        <f>IF(Table13[[#This Row],[value Type]]="","", Table13[[#This Row],[DataOffset]])</f>
        <v>0</v>
      </c>
      <c r="AL915" s="24"/>
      <c r="AM915" s="24" t="str">
        <f>IF(Table13[[#This Row],[value Type]]="","", "0x"&amp;DEC2HEX(Table13[[#This Row],[ADDR_Offset]],8) )</f>
        <v>0x0000024C</v>
      </c>
    </row>
    <row r="916" spans="2:39" x14ac:dyDescent="0.3">
      <c r="B916" s="14">
        <v>0</v>
      </c>
      <c r="C916" s="14" t="s">
        <v>804</v>
      </c>
      <c r="D916" s="14" t="s">
        <v>388</v>
      </c>
      <c r="E916" s="24" t="s">
        <v>278</v>
      </c>
      <c r="F916" s="24">
        <v>4</v>
      </c>
      <c r="G916" s="14" t="s">
        <v>501</v>
      </c>
      <c r="H916" s="15" t="s">
        <v>368</v>
      </c>
      <c r="I916" s="29" t="s">
        <v>726</v>
      </c>
      <c r="J916" s="15" t="s">
        <v>747</v>
      </c>
      <c r="K916" s="15" t="s">
        <v>52</v>
      </c>
      <c r="L916" s="14">
        <v>32</v>
      </c>
      <c r="M916" s="35">
        <v>0</v>
      </c>
      <c r="N916" s="15" t="s">
        <v>400</v>
      </c>
      <c r="O916" s="25" t="s">
        <v>402</v>
      </c>
      <c r="P916" s="25">
        <v>1</v>
      </c>
      <c r="Q916" s="26" t="s">
        <v>80</v>
      </c>
      <c r="R916" s="27" t="s">
        <v>410</v>
      </c>
      <c r="S916" s="27" t="s">
        <v>405</v>
      </c>
      <c r="T916" s="27">
        <v>0</v>
      </c>
      <c r="U916" s="28"/>
      <c r="V916" s="14"/>
      <c r="W916" s="14"/>
      <c r="X916" s="30" t="str">
        <f>IF(Table13[[#This Row],[value Type]]="","",VLOOKUP(Table13[[#This Row],[value Type]],Table2915[],2,FALSE))</f>
        <v>ao</v>
      </c>
      <c r="Y916" s="30" t="str">
        <f>IF(Table13[[#This Row],[value Type]]="","",VLOOKUP(Table13[[#This Row],[value Type]],Table2915[],3,FALSE))</f>
        <v>asynParamFloat64</v>
      </c>
      <c r="Z916" s="64" t="str">
        <f>IF(Table13[[#This Row],[value Type]]="","",VLOOKUP(Table13[[#This Row],[value Type]],Table2915[],4,FALSE))</f>
        <v>"asynFloat64"</v>
      </c>
      <c r="AA916" s="64" t="str">
        <f>IF(Table13[[#This Row],[value Type]]="","",    IF(Table13[[#This Row],[IP MAX]]="","","@"  )     )</f>
        <v>@</v>
      </c>
      <c r="AB916" s="79" t="str">
        <f>IF(Table13[[#This Row],[value Type]]="","",VLOOKUP(Table13[[#This Row],[value Type]],Table2915[],5,FALSE))</f>
        <v xml:space="preserve"> </v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916" s="79">
        <f>IF(Table13[[#This Row],[value Type]]="","",VLOOKUP(Table13[[#This Row],[IP]],Table51117[],2,FALSE))</f>
        <v>6</v>
      </c>
      <c r="AE916" s="79" t="str">
        <f>IF(Table13[[#This Row],[value Type]]="","",    IF(Table13[[#This Row],[IP MAX]]="","0","@"  )     )</f>
        <v>@</v>
      </c>
      <c r="AF916" s="68">
        <f>IF(Table13[[#This Row],[value Type]]="","",VLOOKUP(Table13[[#This Row],[Acc Type]],Table2[],2,FALSE))</f>
        <v>0</v>
      </c>
      <c r="AG916" s="75">
        <f>IF(Table13[[#This Row],[value Type]]="","",4*HEX2DEC(Table13[[#This Row],[Addr'[HEX']]]))</f>
        <v>592</v>
      </c>
      <c r="AH916" s="75">
        <f>IF(Table13[[#This Row],[value Type]]="","",VLOOKUP(Table13[[#This Row],[AddrTypeI]],Table22[],2,FALSE))</f>
        <v>0</v>
      </c>
      <c r="AI916" s="68">
        <f>IF(Table13[[#This Row],[value Type]]="","",VLOOKUP(Table13[[#This Row],[DataType]],Table351218[],2,FALSE))</f>
        <v>0</v>
      </c>
      <c r="AJ916" s="68">
        <f>IF(Table13[[#This Row],[value Type]]="","",Table13[[#This Row],[DataWidth]])</f>
        <v>32</v>
      </c>
      <c r="AK916" s="68">
        <f>IF(Table13[[#This Row],[value Type]]="","", Table13[[#This Row],[DataOffset]])</f>
        <v>0</v>
      </c>
      <c r="AL916" s="24"/>
      <c r="AM916" s="24" t="str">
        <f>IF(Table13[[#This Row],[value Type]]="","", "0x"&amp;DEC2HEX(Table13[[#This Row],[ADDR_Offset]],8) )</f>
        <v>0x00000250</v>
      </c>
    </row>
    <row r="917" spans="2:39" x14ac:dyDescent="0.3">
      <c r="B917" s="14">
        <v>0</v>
      </c>
      <c r="C917" s="14" t="s">
        <v>804</v>
      </c>
      <c r="D917" s="14" t="s">
        <v>388</v>
      </c>
      <c r="E917" s="24" t="s">
        <v>278</v>
      </c>
      <c r="F917" s="24">
        <v>4</v>
      </c>
      <c r="G917" s="14" t="s">
        <v>501</v>
      </c>
      <c r="H917" s="15" t="s">
        <v>369</v>
      </c>
      <c r="I917" s="29" t="s">
        <v>727</v>
      </c>
      <c r="J917" s="15" t="s">
        <v>747</v>
      </c>
      <c r="K917" s="15" t="s">
        <v>52</v>
      </c>
      <c r="L917" s="14">
        <v>32</v>
      </c>
      <c r="M917" s="35">
        <v>0</v>
      </c>
      <c r="N917" s="15" t="s">
        <v>400</v>
      </c>
      <c r="O917" s="25" t="s">
        <v>402</v>
      </c>
      <c r="P917" s="25">
        <v>1</v>
      </c>
      <c r="Q917" s="26" t="s">
        <v>80</v>
      </c>
      <c r="R917" s="27" t="s">
        <v>410</v>
      </c>
      <c r="S917" s="27" t="s">
        <v>405</v>
      </c>
      <c r="T917" s="27">
        <v>0</v>
      </c>
      <c r="U917" s="28"/>
      <c r="V917" s="14"/>
      <c r="W917" s="14"/>
      <c r="X917" s="30" t="str">
        <f>IF(Table13[[#This Row],[value Type]]="","",VLOOKUP(Table13[[#This Row],[value Type]],Table2915[],2,FALSE))</f>
        <v>ao</v>
      </c>
      <c r="Y917" s="30" t="str">
        <f>IF(Table13[[#This Row],[value Type]]="","",VLOOKUP(Table13[[#This Row],[value Type]],Table2915[],3,FALSE))</f>
        <v>asynParamFloat64</v>
      </c>
      <c r="Z917" s="64" t="str">
        <f>IF(Table13[[#This Row],[value Type]]="","",VLOOKUP(Table13[[#This Row],[value Type]],Table2915[],4,FALSE))</f>
        <v>"asynFloat64"</v>
      </c>
      <c r="AA917" s="64" t="str">
        <f>IF(Table13[[#This Row],[value Type]]="","",    IF(Table13[[#This Row],[IP MAX]]="","","@"  )     )</f>
        <v>@</v>
      </c>
      <c r="AB917" s="79" t="str">
        <f>IF(Table13[[#This Row],[value Type]]="","",VLOOKUP(Table13[[#This Row],[value Type]],Table2915[],5,FALSE))</f>
        <v xml:space="preserve"> </v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917" s="79">
        <f>IF(Table13[[#This Row],[value Type]]="","",VLOOKUP(Table13[[#This Row],[IP]],Table51117[],2,FALSE))</f>
        <v>6</v>
      </c>
      <c r="AE917" s="79" t="str">
        <f>IF(Table13[[#This Row],[value Type]]="","",    IF(Table13[[#This Row],[IP MAX]]="","0","@"  )     )</f>
        <v>@</v>
      </c>
      <c r="AF917" s="68">
        <f>IF(Table13[[#This Row],[value Type]]="","",VLOOKUP(Table13[[#This Row],[Acc Type]],Table2[],2,FALSE))</f>
        <v>0</v>
      </c>
      <c r="AG917" s="75">
        <f>IF(Table13[[#This Row],[value Type]]="","",4*HEX2DEC(Table13[[#This Row],[Addr'[HEX']]]))</f>
        <v>596</v>
      </c>
      <c r="AH917" s="75">
        <f>IF(Table13[[#This Row],[value Type]]="","",VLOOKUP(Table13[[#This Row],[AddrTypeI]],Table22[],2,FALSE))</f>
        <v>0</v>
      </c>
      <c r="AI917" s="68">
        <f>IF(Table13[[#This Row],[value Type]]="","",VLOOKUP(Table13[[#This Row],[DataType]],Table351218[],2,FALSE))</f>
        <v>0</v>
      </c>
      <c r="AJ917" s="68">
        <f>IF(Table13[[#This Row],[value Type]]="","",Table13[[#This Row],[DataWidth]])</f>
        <v>32</v>
      </c>
      <c r="AK917" s="68">
        <f>IF(Table13[[#This Row],[value Type]]="","", Table13[[#This Row],[DataOffset]])</f>
        <v>0</v>
      </c>
      <c r="AL917" s="24"/>
      <c r="AM917" s="24" t="str">
        <f>IF(Table13[[#This Row],[value Type]]="","", "0x"&amp;DEC2HEX(Table13[[#This Row],[ADDR_Offset]],8) )</f>
        <v>0x00000254</v>
      </c>
    </row>
    <row r="918" spans="2:39" x14ac:dyDescent="0.3">
      <c r="B918" s="14">
        <v>0</v>
      </c>
      <c r="C918" s="14" t="s">
        <v>804</v>
      </c>
      <c r="D918" s="14" t="s">
        <v>388</v>
      </c>
      <c r="E918" s="24" t="s">
        <v>278</v>
      </c>
      <c r="F918" s="24">
        <v>4</v>
      </c>
      <c r="G918" s="14" t="s">
        <v>501</v>
      </c>
      <c r="H918" s="15" t="s">
        <v>370</v>
      </c>
      <c r="I918" s="29" t="s">
        <v>728</v>
      </c>
      <c r="J918" s="15" t="s">
        <v>747</v>
      </c>
      <c r="K918" s="15" t="s">
        <v>52</v>
      </c>
      <c r="L918" s="14">
        <v>32</v>
      </c>
      <c r="M918" s="35">
        <v>0</v>
      </c>
      <c r="N918" s="15" t="s">
        <v>400</v>
      </c>
      <c r="O918" s="25" t="s">
        <v>402</v>
      </c>
      <c r="P918" s="25">
        <v>1</v>
      </c>
      <c r="Q918" s="26" t="s">
        <v>80</v>
      </c>
      <c r="R918" s="27" t="s">
        <v>410</v>
      </c>
      <c r="S918" s="27" t="s">
        <v>405</v>
      </c>
      <c r="T918" s="27">
        <v>0</v>
      </c>
      <c r="U918" s="28"/>
      <c r="V918" s="14"/>
      <c r="W918" s="14"/>
      <c r="X918" s="30" t="str">
        <f>IF(Table13[[#This Row],[value Type]]="","",VLOOKUP(Table13[[#This Row],[value Type]],Table2915[],2,FALSE))</f>
        <v>ao</v>
      </c>
      <c r="Y918" s="30" t="str">
        <f>IF(Table13[[#This Row],[value Type]]="","",VLOOKUP(Table13[[#This Row],[value Type]],Table2915[],3,FALSE))</f>
        <v>asynParamFloat64</v>
      </c>
      <c r="Z918" s="64" t="str">
        <f>IF(Table13[[#This Row],[value Type]]="","",VLOOKUP(Table13[[#This Row],[value Type]],Table2915[],4,FALSE))</f>
        <v>"asynFloat64"</v>
      </c>
      <c r="AA918" s="64" t="str">
        <f>IF(Table13[[#This Row],[value Type]]="","",    IF(Table13[[#This Row],[IP MAX]]="","","@"  )     )</f>
        <v>@</v>
      </c>
      <c r="AB918" s="79" t="str">
        <f>IF(Table13[[#This Row],[value Type]]="","",VLOOKUP(Table13[[#This Row],[value Type]],Table2915[],5,FALSE))</f>
        <v xml:space="preserve"> </v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918" s="79">
        <f>IF(Table13[[#This Row],[value Type]]="","",VLOOKUP(Table13[[#This Row],[IP]],Table51117[],2,FALSE))</f>
        <v>6</v>
      </c>
      <c r="AE918" s="79" t="str">
        <f>IF(Table13[[#This Row],[value Type]]="","",    IF(Table13[[#This Row],[IP MAX]]="","0","@"  )     )</f>
        <v>@</v>
      </c>
      <c r="AF918" s="68">
        <f>IF(Table13[[#This Row],[value Type]]="","",VLOOKUP(Table13[[#This Row],[Acc Type]],Table2[],2,FALSE))</f>
        <v>0</v>
      </c>
      <c r="AG918" s="75">
        <f>IF(Table13[[#This Row],[value Type]]="","",4*HEX2DEC(Table13[[#This Row],[Addr'[HEX']]]))</f>
        <v>600</v>
      </c>
      <c r="AH918" s="75">
        <f>IF(Table13[[#This Row],[value Type]]="","",VLOOKUP(Table13[[#This Row],[AddrTypeI]],Table22[],2,FALSE))</f>
        <v>0</v>
      </c>
      <c r="AI918" s="68">
        <f>IF(Table13[[#This Row],[value Type]]="","",VLOOKUP(Table13[[#This Row],[DataType]],Table351218[],2,FALSE))</f>
        <v>0</v>
      </c>
      <c r="AJ918" s="68">
        <f>IF(Table13[[#This Row],[value Type]]="","",Table13[[#This Row],[DataWidth]])</f>
        <v>32</v>
      </c>
      <c r="AK918" s="68">
        <f>IF(Table13[[#This Row],[value Type]]="","", Table13[[#This Row],[DataOffset]])</f>
        <v>0</v>
      </c>
      <c r="AL918" s="24"/>
      <c r="AM918" s="24" t="str">
        <f>IF(Table13[[#This Row],[value Type]]="","", "0x"&amp;DEC2HEX(Table13[[#This Row],[ADDR_Offset]],8) )</f>
        <v>0x00000258</v>
      </c>
    </row>
    <row r="919" spans="2:39" x14ac:dyDescent="0.3">
      <c r="B919" s="14">
        <v>0</v>
      </c>
      <c r="C919" s="14" t="s">
        <v>804</v>
      </c>
      <c r="D919" s="14" t="s">
        <v>388</v>
      </c>
      <c r="E919" s="24" t="s">
        <v>278</v>
      </c>
      <c r="F919" s="24">
        <v>4</v>
      </c>
      <c r="G919" s="14" t="s">
        <v>501</v>
      </c>
      <c r="H919" s="15" t="s">
        <v>371</v>
      </c>
      <c r="I919" s="29" t="s">
        <v>729</v>
      </c>
      <c r="J919" s="15" t="s">
        <v>747</v>
      </c>
      <c r="K919" s="15" t="s">
        <v>52</v>
      </c>
      <c r="L919" s="14">
        <v>32</v>
      </c>
      <c r="M919" s="35">
        <v>0</v>
      </c>
      <c r="N919" s="15" t="s">
        <v>400</v>
      </c>
      <c r="O919" s="25" t="s">
        <v>402</v>
      </c>
      <c r="P919" s="25">
        <v>1</v>
      </c>
      <c r="Q919" s="26" t="s">
        <v>80</v>
      </c>
      <c r="R919" s="27" t="s">
        <v>410</v>
      </c>
      <c r="S919" s="27" t="s">
        <v>405</v>
      </c>
      <c r="T919" s="27">
        <v>0</v>
      </c>
      <c r="U919" s="28"/>
      <c r="V919" s="14"/>
      <c r="W919" s="14"/>
      <c r="X919" s="30" t="str">
        <f>IF(Table13[[#This Row],[value Type]]="","",VLOOKUP(Table13[[#This Row],[value Type]],Table2915[],2,FALSE))</f>
        <v>ao</v>
      </c>
      <c r="Y919" s="30" t="str">
        <f>IF(Table13[[#This Row],[value Type]]="","",VLOOKUP(Table13[[#This Row],[value Type]],Table2915[],3,FALSE))</f>
        <v>asynParamFloat64</v>
      </c>
      <c r="Z919" s="64" t="str">
        <f>IF(Table13[[#This Row],[value Type]]="","",VLOOKUP(Table13[[#This Row],[value Type]],Table2915[],4,FALSE))</f>
        <v>"asynFloat64"</v>
      </c>
      <c r="AA919" s="64" t="str">
        <f>IF(Table13[[#This Row],[value Type]]="","",    IF(Table13[[#This Row],[IP MAX]]="","","@"  )     )</f>
        <v>@</v>
      </c>
      <c r="AB919" s="79" t="str">
        <f>IF(Table13[[#This Row],[value Type]]="","",VLOOKUP(Table13[[#This Row],[value Type]],Table2915[],5,FALSE))</f>
        <v xml:space="preserve"> </v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919" s="79">
        <f>IF(Table13[[#This Row],[value Type]]="","",VLOOKUP(Table13[[#This Row],[IP]],Table51117[],2,FALSE))</f>
        <v>6</v>
      </c>
      <c r="AE919" s="79" t="str">
        <f>IF(Table13[[#This Row],[value Type]]="","",    IF(Table13[[#This Row],[IP MAX]]="","0","@"  )     )</f>
        <v>@</v>
      </c>
      <c r="AF919" s="68">
        <f>IF(Table13[[#This Row],[value Type]]="","",VLOOKUP(Table13[[#This Row],[Acc Type]],Table2[],2,FALSE))</f>
        <v>0</v>
      </c>
      <c r="AG919" s="75">
        <f>IF(Table13[[#This Row],[value Type]]="","",4*HEX2DEC(Table13[[#This Row],[Addr'[HEX']]]))</f>
        <v>604</v>
      </c>
      <c r="AH919" s="75">
        <f>IF(Table13[[#This Row],[value Type]]="","",VLOOKUP(Table13[[#This Row],[AddrTypeI]],Table22[],2,FALSE))</f>
        <v>0</v>
      </c>
      <c r="AI919" s="68">
        <f>IF(Table13[[#This Row],[value Type]]="","",VLOOKUP(Table13[[#This Row],[DataType]],Table351218[],2,FALSE))</f>
        <v>0</v>
      </c>
      <c r="AJ919" s="68">
        <f>IF(Table13[[#This Row],[value Type]]="","",Table13[[#This Row],[DataWidth]])</f>
        <v>32</v>
      </c>
      <c r="AK919" s="68">
        <f>IF(Table13[[#This Row],[value Type]]="","", Table13[[#This Row],[DataOffset]])</f>
        <v>0</v>
      </c>
      <c r="AL919" s="24"/>
      <c r="AM919" s="24" t="str">
        <f>IF(Table13[[#This Row],[value Type]]="","", "0x"&amp;DEC2HEX(Table13[[#This Row],[ADDR_Offset]],8) )</f>
        <v>0x0000025C</v>
      </c>
    </row>
    <row r="920" spans="2:39" x14ac:dyDescent="0.3">
      <c r="B920" s="14">
        <v>0</v>
      </c>
      <c r="C920" s="14" t="s">
        <v>804</v>
      </c>
      <c r="D920" s="14" t="s">
        <v>388</v>
      </c>
      <c r="E920" s="24" t="s">
        <v>278</v>
      </c>
      <c r="F920" s="24">
        <v>4</v>
      </c>
      <c r="G920" s="14" t="s">
        <v>501</v>
      </c>
      <c r="H920" s="15" t="s">
        <v>372</v>
      </c>
      <c r="I920" s="29" t="s">
        <v>730</v>
      </c>
      <c r="J920" s="15" t="s">
        <v>747</v>
      </c>
      <c r="K920" s="15" t="s">
        <v>52</v>
      </c>
      <c r="L920" s="14">
        <v>32</v>
      </c>
      <c r="M920" s="35">
        <v>0</v>
      </c>
      <c r="N920" s="15" t="s">
        <v>400</v>
      </c>
      <c r="O920" s="25" t="s">
        <v>402</v>
      </c>
      <c r="P920" s="25">
        <v>1</v>
      </c>
      <c r="Q920" s="26" t="s">
        <v>80</v>
      </c>
      <c r="R920" s="27" t="s">
        <v>410</v>
      </c>
      <c r="S920" s="27" t="s">
        <v>405</v>
      </c>
      <c r="T920" s="27">
        <v>0</v>
      </c>
      <c r="U920" s="28"/>
      <c r="V920" s="14"/>
      <c r="W920" s="14"/>
      <c r="X920" s="30" t="str">
        <f>IF(Table13[[#This Row],[value Type]]="","",VLOOKUP(Table13[[#This Row],[value Type]],Table2915[],2,FALSE))</f>
        <v>ao</v>
      </c>
      <c r="Y920" s="30" t="str">
        <f>IF(Table13[[#This Row],[value Type]]="","",VLOOKUP(Table13[[#This Row],[value Type]],Table2915[],3,FALSE))</f>
        <v>asynParamFloat64</v>
      </c>
      <c r="Z920" s="64" t="str">
        <f>IF(Table13[[#This Row],[value Type]]="","",VLOOKUP(Table13[[#This Row],[value Type]],Table2915[],4,FALSE))</f>
        <v>"asynFloat64"</v>
      </c>
      <c r="AA920" s="64" t="str">
        <f>IF(Table13[[#This Row],[value Type]]="","",    IF(Table13[[#This Row],[IP MAX]]="","","@"  )     )</f>
        <v>@</v>
      </c>
      <c r="AB920" s="79" t="str">
        <f>IF(Table13[[#This Row],[value Type]]="","",VLOOKUP(Table13[[#This Row],[value Type]],Table2915[],5,FALSE))</f>
        <v xml:space="preserve"> </v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920" s="79">
        <f>IF(Table13[[#This Row],[value Type]]="","",VLOOKUP(Table13[[#This Row],[IP]],Table51117[],2,FALSE))</f>
        <v>6</v>
      </c>
      <c r="AE920" s="79" t="str">
        <f>IF(Table13[[#This Row],[value Type]]="","",    IF(Table13[[#This Row],[IP MAX]]="","0","@"  )     )</f>
        <v>@</v>
      </c>
      <c r="AF920" s="68">
        <f>IF(Table13[[#This Row],[value Type]]="","",VLOOKUP(Table13[[#This Row],[Acc Type]],Table2[],2,FALSE))</f>
        <v>0</v>
      </c>
      <c r="AG920" s="75">
        <f>IF(Table13[[#This Row],[value Type]]="","",4*HEX2DEC(Table13[[#This Row],[Addr'[HEX']]]))</f>
        <v>608</v>
      </c>
      <c r="AH920" s="75">
        <f>IF(Table13[[#This Row],[value Type]]="","",VLOOKUP(Table13[[#This Row],[AddrTypeI]],Table22[],2,FALSE))</f>
        <v>0</v>
      </c>
      <c r="AI920" s="68">
        <f>IF(Table13[[#This Row],[value Type]]="","",VLOOKUP(Table13[[#This Row],[DataType]],Table351218[],2,FALSE))</f>
        <v>0</v>
      </c>
      <c r="AJ920" s="68">
        <f>IF(Table13[[#This Row],[value Type]]="","",Table13[[#This Row],[DataWidth]])</f>
        <v>32</v>
      </c>
      <c r="AK920" s="68">
        <f>IF(Table13[[#This Row],[value Type]]="","", Table13[[#This Row],[DataOffset]])</f>
        <v>0</v>
      </c>
      <c r="AL920" s="24"/>
      <c r="AM920" s="24" t="str">
        <f>IF(Table13[[#This Row],[value Type]]="","", "0x"&amp;DEC2HEX(Table13[[#This Row],[ADDR_Offset]],8) )</f>
        <v>0x00000260</v>
      </c>
    </row>
    <row r="921" spans="2:39" x14ac:dyDescent="0.3">
      <c r="B921" s="14">
        <v>0</v>
      </c>
      <c r="C921" s="14" t="s">
        <v>804</v>
      </c>
      <c r="D921" s="14" t="s">
        <v>388</v>
      </c>
      <c r="E921" s="24" t="s">
        <v>278</v>
      </c>
      <c r="F921" s="24">
        <v>4</v>
      </c>
      <c r="G921" s="14" t="s">
        <v>501</v>
      </c>
      <c r="H921" s="15" t="s">
        <v>373</v>
      </c>
      <c r="I921" s="29" t="s">
        <v>731</v>
      </c>
      <c r="J921" s="15" t="s">
        <v>747</v>
      </c>
      <c r="K921" s="15" t="s">
        <v>52</v>
      </c>
      <c r="L921" s="14">
        <v>32</v>
      </c>
      <c r="M921" s="35">
        <v>0</v>
      </c>
      <c r="N921" s="15" t="s">
        <v>400</v>
      </c>
      <c r="O921" s="25" t="s">
        <v>402</v>
      </c>
      <c r="P921" s="25">
        <v>1</v>
      </c>
      <c r="Q921" s="26" t="s">
        <v>80</v>
      </c>
      <c r="R921" s="27" t="s">
        <v>410</v>
      </c>
      <c r="S921" s="27" t="s">
        <v>405</v>
      </c>
      <c r="T921" s="27">
        <v>0</v>
      </c>
      <c r="U921" s="28"/>
      <c r="V921" s="14"/>
      <c r="W921" s="14"/>
      <c r="X921" s="30" t="str">
        <f>IF(Table13[[#This Row],[value Type]]="","",VLOOKUP(Table13[[#This Row],[value Type]],Table2915[],2,FALSE))</f>
        <v>ao</v>
      </c>
      <c r="Y921" s="30" t="str">
        <f>IF(Table13[[#This Row],[value Type]]="","",VLOOKUP(Table13[[#This Row],[value Type]],Table2915[],3,FALSE))</f>
        <v>asynParamFloat64</v>
      </c>
      <c r="Z921" s="64" t="str">
        <f>IF(Table13[[#This Row],[value Type]]="","",VLOOKUP(Table13[[#This Row],[value Type]],Table2915[],4,FALSE))</f>
        <v>"asynFloat64"</v>
      </c>
      <c r="AA921" s="64" t="str">
        <f>IF(Table13[[#This Row],[value Type]]="","",    IF(Table13[[#This Row],[IP MAX]]="","","@"  )     )</f>
        <v>@</v>
      </c>
      <c r="AB921" s="79" t="str">
        <f>IF(Table13[[#This Row],[value Type]]="","",VLOOKUP(Table13[[#This Row],[value Type]],Table2915[],5,FALSE))</f>
        <v xml:space="preserve"> </v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921" s="79">
        <f>IF(Table13[[#This Row],[value Type]]="","",VLOOKUP(Table13[[#This Row],[IP]],Table51117[],2,FALSE))</f>
        <v>6</v>
      </c>
      <c r="AE921" s="79" t="str">
        <f>IF(Table13[[#This Row],[value Type]]="","",    IF(Table13[[#This Row],[IP MAX]]="","0","@"  )     )</f>
        <v>@</v>
      </c>
      <c r="AF921" s="68">
        <f>IF(Table13[[#This Row],[value Type]]="","",VLOOKUP(Table13[[#This Row],[Acc Type]],Table2[],2,FALSE))</f>
        <v>0</v>
      </c>
      <c r="AG921" s="75">
        <f>IF(Table13[[#This Row],[value Type]]="","",4*HEX2DEC(Table13[[#This Row],[Addr'[HEX']]]))</f>
        <v>612</v>
      </c>
      <c r="AH921" s="75">
        <f>IF(Table13[[#This Row],[value Type]]="","",VLOOKUP(Table13[[#This Row],[AddrTypeI]],Table22[],2,FALSE))</f>
        <v>0</v>
      </c>
      <c r="AI921" s="68">
        <f>IF(Table13[[#This Row],[value Type]]="","",VLOOKUP(Table13[[#This Row],[DataType]],Table351218[],2,FALSE))</f>
        <v>0</v>
      </c>
      <c r="AJ921" s="68">
        <f>IF(Table13[[#This Row],[value Type]]="","",Table13[[#This Row],[DataWidth]])</f>
        <v>32</v>
      </c>
      <c r="AK921" s="68">
        <f>IF(Table13[[#This Row],[value Type]]="","", Table13[[#This Row],[DataOffset]])</f>
        <v>0</v>
      </c>
      <c r="AL921" s="24"/>
      <c r="AM921" s="24" t="str">
        <f>IF(Table13[[#This Row],[value Type]]="","", "0x"&amp;DEC2HEX(Table13[[#This Row],[ADDR_Offset]],8) )</f>
        <v>0x00000264</v>
      </c>
    </row>
    <row r="922" spans="2:39" x14ac:dyDescent="0.3">
      <c r="B922" s="14">
        <v>0</v>
      </c>
      <c r="C922" s="14" t="s">
        <v>804</v>
      </c>
      <c r="D922" s="14" t="s">
        <v>388</v>
      </c>
      <c r="E922" s="24" t="s">
        <v>278</v>
      </c>
      <c r="F922" s="24">
        <v>4</v>
      </c>
      <c r="G922" s="14" t="s">
        <v>501</v>
      </c>
      <c r="H922" s="15" t="s">
        <v>374</v>
      </c>
      <c r="I922" s="29" t="s">
        <v>732</v>
      </c>
      <c r="J922" s="15" t="s">
        <v>747</v>
      </c>
      <c r="K922" s="15" t="s">
        <v>52</v>
      </c>
      <c r="L922" s="14">
        <v>32</v>
      </c>
      <c r="M922" s="35">
        <v>0</v>
      </c>
      <c r="N922" s="15" t="s">
        <v>400</v>
      </c>
      <c r="O922" s="25" t="s">
        <v>402</v>
      </c>
      <c r="P922" s="25">
        <v>1</v>
      </c>
      <c r="Q922" s="26" t="s">
        <v>80</v>
      </c>
      <c r="R922" s="27" t="s">
        <v>410</v>
      </c>
      <c r="S922" s="27" t="s">
        <v>405</v>
      </c>
      <c r="T922" s="27">
        <v>0</v>
      </c>
      <c r="U922" s="28"/>
      <c r="V922" s="14"/>
      <c r="W922" s="14"/>
      <c r="X922" s="30" t="str">
        <f>IF(Table13[[#This Row],[value Type]]="","",VLOOKUP(Table13[[#This Row],[value Type]],Table2915[],2,FALSE))</f>
        <v>ao</v>
      </c>
      <c r="Y922" s="30" t="str">
        <f>IF(Table13[[#This Row],[value Type]]="","",VLOOKUP(Table13[[#This Row],[value Type]],Table2915[],3,FALSE))</f>
        <v>asynParamFloat64</v>
      </c>
      <c r="Z922" s="64" t="str">
        <f>IF(Table13[[#This Row],[value Type]]="","",VLOOKUP(Table13[[#This Row],[value Type]],Table2915[],4,FALSE))</f>
        <v>"asynFloat64"</v>
      </c>
      <c r="AA922" s="64" t="str">
        <f>IF(Table13[[#This Row],[value Type]]="","",    IF(Table13[[#This Row],[IP MAX]]="","","@"  )     )</f>
        <v>@</v>
      </c>
      <c r="AB922" s="79" t="str">
        <f>IF(Table13[[#This Row],[value Type]]="","",VLOOKUP(Table13[[#This Row],[value Type]],Table2915[],5,FALSE))</f>
        <v xml:space="preserve"> </v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922" s="79">
        <f>IF(Table13[[#This Row],[value Type]]="","",VLOOKUP(Table13[[#This Row],[IP]],Table51117[],2,FALSE))</f>
        <v>6</v>
      </c>
      <c r="AE922" s="79" t="str">
        <f>IF(Table13[[#This Row],[value Type]]="","",    IF(Table13[[#This Row],[IP MAX]]="","0","@"  )     )</f>
        <v>@</v>
      </c>
      <c r="AF922" s="68">
        <f>IF(Table13[[#This Row],[value Type]]="","",VLOOKUP(Table13[[#This Row],[Acc Type]],Table2[],2,FALSE))</f>
        <v>0</v>
      </c>
      <c r="AG922" s="75">
        <f>IF(Table13[[#This Row],[value Type]]="","",4*HEX2DEC(Table13[[#This Row],[Addr'[HEX']]]))</f>
        <v>616</v>
      </c>
      <c r="AH922" s="75">
        <f>IF(Table13[[#This Row],[value Type]]="","",VLOOKUP(Table13[[#This Row],[AddrTypeI]],Table22[],2,FALSE))</f>
        <v>0</v>
      </c>
      <c r="AI922" s="68">
        <f>IF(Table13[[#This Row],[value Type]]="","",VLOOKUP(Table13[[#This Row],[DataType]],Table351218[],2,FALSE))</f>
        <v>0</v>
      </c>
      <c r="AJ922" s="68">
        <f>IF(Table13[[#This Row],[value Type]]="","",Table13[[#This Row],[DataWidth]])</f>
        <v>32</v>
      </c>
      <c r="AK922" s="68">
        <f>IF(Table13[[#This Row],[value Type]]="","", Table13[[#This Row],[DataOffset]])</f>
        <v>0</v>
      </c>
      <c r="AL922" s="24"/>
      <c r="AM922" s="24" t="str">
        <f>IF(Table13[[#This Row],[value Type]]="","", "0x"&amp;DEC2HEX(Table13[[#This Row],[ADDR_Offset]],8) )</f>
        <v>0x00000268</v>
      </c>
    </row>
    <row r="923" spans="2:39" x14ac:dyDescent="0.3">
      <c r="B923" s="14">
        <v>0</v>
      </c>
      <c r="C923" s="14" t="s">
        <v>804</v>
      </c>
      <c r="D923" s="14" t="s">
        <v>388</v>
      </c>
      <c r="E923" s="24" t="s">
        <v>278</v>
      </c>
      <c r="F923" s="24">
        <v>4</v>
      </c>
      <c r="G923" s="14" t="s">
        <v>501</v>
      </c>
      <c r="H923" s="15" t="s">
        <v>375</v>
      </c>
      <c r="I923" s="29" t="s">
        <v>733</v>
      </c>
      <c r="J923" s="15" t="s">
        <v>747</v>
      </c>
      <c r="K923" s="15" t="s">
        <v>52</v>
      </c>
      <c r="L923" s="14">
        <v>32</v>
      </c>
      <c r="M923" s="35">
        <v>0</v>
      </c>
      <c r="N923" s="15" t="s">
        <v>400</v>
      </c>
      <c r="O923" s="25" t="s">
        <v>402</v>
      </c>
      <c r="P923" s="25">
        <v>1</v>
      </c>
      <c r="Q923" s="26" t="s">
        <v>80</v>
      </c>
      <c r="R923" s="27" t="s">
        <v>410</v>
      </c>
      <c r="S923" s="27" t="s">
        <v>405</v>
      </c>
      <c r="T923" s="27">
        <v>0</v>
      </c>
      <c r="U923" s="28"/>
      <c r="V923" s="14"/>
      <c r="W923" s="14"/>
      <c r="X923" s="30" t="str">
        <f>IF(Table13[[#This Row],[value Type]]="","",VLOOKUP(Table13[[#This Row],[value Type]],Table2915[],2,FALSE))</f>
        <v>ao</v>
      </c>
      <c r="Y923" s="30" t="str">
        <f>IF(Table13[[#This Row],[value Type]]="","",VLOOKUP(Table13[[#This Row],[value Type]],Table2915[],3,FALSE))</f>
        <v>asynParamFloat64</v>
      </c>
      <c r="Z923" s="64" t="str">
        <f>IF(Table13[[#This Row],[value Type]]="","",VLOOKUP(Table13[[#This Row],[value Type]],Table2915[],4,FALSE))</f>
        <v>"asynFloat64"</v>
      </c>
      <c r="AA923" s="64" t="str">
        <f>IF(Table13[[#This Row],[value Type]]="","",    IF(Table13[[#This Row],[IP MAX]]="","","@"  )     )</f>
        <v>@</v>
      </c>
      <c r="AB923" s="79" t="str">
        <f>IF(Table13[[#This Row],[value Type]]="","",VLOOKUP(Table13[[#This Row],[value Type]],Table2915[],5,FALSE))</f>
        <v xml:space="preserve"> </v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923" s="79">
        <f>IF(Table13[[#This Row],[value Type]]="","",VLOOKUP(Table13[[#This Row],[IP]],Table51117[],2,FALSE))</f>
        <v>6</v>
      </c>
      <c r="AE923" s="79" t="str">
        <f>IF(Table13[[#This Row],[value Type]]="","",    IF(Table13[[#This Row],[IP MAX]]="","0","@"  )     )</f>
        <v>@</v>
      </c>
      <c r="AF923" s="68">
        <f>IF(Table13[[#This Row],[value Type]]="","",VLOOKUP(Table13[[#This Row],[Acc Type]],Table2[],2,FALSE))</f>
        <v>0</v>
      </c>
      <c r="AG923" s="75">
        <f>IF(Table13[[#This Row],[value Type]]="","",4*HEX2DEC(Table13[[#This Row],[Addr'[HEX']]]))</f>
        <v>620</v>
      </c>
      <c r="AH923" s="75">
        <f>IF(Table13[[#This Row],[value Type]]="","",VLOOKUP(Table13[[#This Row],[AddrTypeI]],Table22[],2,FALSE))</f>
        <v>0</v>
      </c>
      <c r="AI923" s="68">
        <f>IF(Table13[[#This Row],[value Type]]="","",VLOOKUP(Table13[[#This Row],[DataType]],Table351218[],2,FALSE))</f>
        <v>0</v>
      </c>
      <c r="AJ923" s="68">
        <f>IF(Table13[[#This Row],[value Type]]="","",Table13[[#This Row],[DataWidth]])</f>
        <v>32</v>
      </c>
      <c r="AK923" s="68">
        <f>IF(Table13[[#This Row],[value Type]]="","", Table13[[#This Row],[DataOffset]])</f>
        <v>0</v>
      </c>
      <c r="AL923" s="24"/>
      <c r="AM923" s="24" t="str">
        <f>IF(Table13[[#This Row],[value Type]]="","", "0x"&amp;DEC2HEX(Table13[[#This Row],[ADDR_Offset]],8) )</f>
        <v>0x0000026C</v>
      </c>
    </row>
    <row r="924" spans="2:39" x14ac:dyDescent="0.3">
      <c r="B924" s="14">
        <v>0</v>
      </c>
      <c r="C924" s="14" t="s">
        <v>804</v>
      </c>
      <c r="D924" s="14" t="s">
        <v>388</v>
      </c>
      <c r="E924" s="24" t="s">
        <v>278</v>
      </c>
      <c r="F924" s="24">
        <v>4</v>
      </c>
      <c r="G924" s="14" t="s">
        <v>501</v>
      </c>
      <c r="H924" s="15" t="s">
        <v>376</v>
      </c>
      <c r="I924" s="29" t="s">
        <v>734</v>
      </c>
      <c r="J924" s="15" t="s">
        <v>747</v>
      </c>
      <c r="K924" s="15" t="s">
        <v>52</v>
      </c>
      <c r="L924" s="14">
        <v>32</v>
      </c>
      <c r="M924" s="35">
        <v>0</v>
      </c>
      <c r="N924" s="15" t="s">
        <v>400</v>
      </c>
      <c r="O924" s="25" t="s">
        <v>402</v>
      </c>
      <c r="P924" s="25">
        <v>1</v>
      </c>
      <c r="Q924" s="26" t="s">
        <v>80</v>
      </c>
      <c r="R924" s="27" t="s">
        <v>410</v>
      </c>
      <c r="S924" s="27" t="s">
        <v>405</v>
      </c>
      <c r="T924" s="27">
        <v>0</v>
      </c>
      <c r="U924" s="28"/>
      <c r="V924" s="14"/>
      <c r="W924" s="14"/>
      <c r="X924" s="30" t="str">
        <f>IF(Table13[[#This Row],[value Type]]="","",VLOOKUP(Table13[[#This Row],[value Type]],Table2915[],2,FALSE))</f>
        <v>ao</v>
      </c>
      <c r="Y924" s="30" t="str">
        <f>IF(Table13[[#This Row],[value Type]]="","",VLOOKUP(Table13[[#This Row],[value Type]],Table2915[],3,FALSE))</f>
        <v>asynParamFloat64</v>
      </c>
      <c r="Z924" s="64" t="str">
        <f>IF(Table13[[#This Row],[value Type]]="","",VLOOKUP(Table13[[#This Row],[value Type]],Table2915[],4,FALSE))</f>
        <v>"asynFloat64"</v>
      </c>
      <c r="AA924" s="64" t="str">
        <f>IF(Table13[[#This Row],[value Type]]="","",    IF(Table13[[#This Row],[IP MAX]]="","","@"  )     )</f>
        <v>@</v>
      </c>
      <c r="AB924" s="79" t="str">
        <f>IF(Table13[[#This Row],[value Type]]="","",VLOOKUP(Table13[[#This Row],[value Type]],Table2915[],5,FALSE))</f>
        <v xml:space="preserve"> </v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924" s="79">
        <f>IF(Table13[[#This Row],[value Type]]="","",VLOOKUP(Table13[[#This Row],[IP]],Table51117[],2,FALSE))</f>
        <v>6</v>
      </c>
      <c r="AE924" s="79" t="str">
        <f>IF(Table13[[#This Row],[value Type]]="","",    IF(Table13[[#This Row],[IP MAX]]="","0","@"  )     )</f>
        <v>@</v>
      </c>
      <c r="AF924" s="68">
        <f>IF(Table13[[#This Row],[value Type]]="","",VLOOKUP(Table13[[#This Row],[Acc Type]],Table2[],2,FALSE))</f>
        <v>0</v>
      </c>
      <c r="AG924" s="75">
        <f>IF(Table13[[#This Row],[value Type]]="","",4*HEX2DEC(Table13[[#This Row],[Addr'[HEX']]]))</f>
        <v>624</v>
      </c>
      <c r="AH924" s="75">
        <f>IF(Table13[[#This Row],[value Type]]="","",VLOOKUP(Table13[[#This Row],[AddrTypeI]],Table22[],2,FALSE))</f>
        <v>0</v>
      </c>
      <c r="AI924" s="68">
        <f>IF(Table13[[#This Row],[value Type]]="","",VLOOKUP(Table13[[#This Row],[DataType]],Table351218[],2,FALSE))</f>
        <v>0</v>
      </c>
      <c r="AJ924" s="68">
        <f>IF(Table13[[#This Row],[value Type]]="","",Table13[[#This Row],[DataWidth]])</f>
        <v>32</v>
      </c>
      <c r="AK924" s="68">
        <f>IF(Table13[[#This Row],[value Type]]="","", Table13[[#This Row],[DataOffset]])</f>
        <v>0</v>
      </c>
      <c r="AL924" s="24"/>
      <c r="AM924" s="24" t="str">
        <f>IF(Table13[[#This Row],[value Type]]="","", "0x"&amp;DEC2HEX(Table13[[#This Row],[ADDR_Offset]],8) )</f>
        <v>0x00000270</v>
      </c>
    </row>
    <row r="925" spans="2:39" x14ac:dyDescent="0.3">
      <c r="B925" s="14">
        <v>0</v>
      </c>
      <c r="C925" s="14" t="s">
        <v>804</v>
      </c>
      <c r="D925" s="14" t="s">
        <v>388</v>
      </c>
      <c r="E925" s="24" t="s">
        <v>278</v>
      </c>
      <c r="F925" s="24">
        <v>4</v>
      </c>
      <c r="G925" s="14" t="s">
        <v>501</v>
      </c>
      <c r="H925" s="15" t="s">
        <v>377</v>
      </c>
      <c r="I925" s="29" t="s">
        <v>735</v>
      </c>
      <c r="J925" s="15" t="s">
        <v>747</v>
      </c>
      <c r="K925" s="15" t="s">
        <v>52</v>
      </c>
      <c r="L925" s="14">
        <v>32</v>
      </c>
      <c r="M925" s="35">
        <v>0</v>
      </c>
      <c r="N925" s="15" t="s">
        <v>400</v>
      </c>
      <c r="O925" s="25" t="s">
        <v>402</v>
      </c>
      <c r="P925" s="25">
        <v>1</v>
      </c>
      <c r="Q925" s="26" t="s">
        <v>80</v>
      </c>
      <c r="R925" s="27" t="s">
        <v>410</v>
      </c>
      <c r="S925" s="27" t="s">
        <v>405</v>
      </c>
      <c r="T925" s="27">
        <v>0</v>
      </c>
      <c r="U925" s="28"/>
      <c r="V925" s="14"/>
      <c r="W925" s="14"/>
      <c r="X925" s="30" t="str">
        <f>IF(Table13[[#This Row],[value Type]]="","",VLOOKUP(Table13[[#This Row],[value Type]],Table2915[],2,FALSE))</f>
        <v>ao</v>
      </c>
      <c r="Y925" s="30" t="str">
        <f>IF(Table13[[#This Row],[value Type]]="","",VLOOKUP(Table13[[#This Row],[value Type]],Table2915[],3,FALSE))</f>
        <v>asynParamFloat64</v>
      </c>
      <c r="Z925" s="64" t="str">
        <f>IF(Table13[[#This Row],[value Type]]="","",VLOOKUP(Table13[[#This Row],[value Type]],Table2915[],4,FALSE))</f>
        <v>"asynFloat64"</v>
      </c>
      <c r="AA925" s="64" t="str">
        <f>IF(Table13[[#This Row],[value Type]]="","",    IF(Table13[[#This Row],[IP MAX]]="","","@"  )     )</f>
        <v>@</v>
      </c>
      <c r="AB925" s="79" t="str">
        <f>IF(Table13[[#This Row],[value Type]]="","",VLOOKUP(Table13[[#This Row],[value Type]],Table2915[],5,FALSE))</f>
        <v xml:space="preserve"> </v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925" s="79">
        <f>IF(Table13[[#This Row],[value Type]]="","",VLOOKUP(Table13[[#This Row],[IP]],Table51117[],2,FALSE))</f>
        <v>6</v>
      </c>
      <c r="AE925" s="79" t="str">
        <f>IF(Table13[[#This Row],[value Type]]="","",    IF(Table13[[#This Row],[IP MAX]]="","0","@"  )     )</f>
        <v>@</v>
      </c>
      <c r="AF925" s="68">
        <f>IF(Table13[[#This Row],[value Type]]="","",VLOOKUP(Table13[[#This Row],[Acc Type]],Table2[],2,FALSE))</f>
        <v>0</v>
      </c>
      <c r="AG925" s="75">
        <f>IF(Table13[[#This Row],[value Type]]="","",4*HEX2DEC(Table13[[#This Row],[Addr'[HEX']]]))</f>
        <v>628</v>
      </c>
      <c r="AH925" s="75">
        <f>IF(Table13[[#This Row],[value Type]]="","",VLOOKUP(Table13[[#This Row],[AddrTypeI]],Table22[],2,FALSE))</f>
        <v>0</v>
      </c>
      <c r="AI925" s="68">
        <f>IF(Table13[[#This Row],[value Type]]="","",VLOOKUP(Table13[[#This Row],[DataType]],Table351218[],2,FALSE))</f>
        <v>0</v>
      </c>
      <c r="AJ925" s="68">
        <f>IF(Table13[[#This Row],[value Type]]="","",Table13[[#This Row],[DataWidth]])</f>
        <v>32</v>
      </c>
      <c r="AK925" s="68">
        <f>IF(Table13[[#This Row],[value Type]]="","", Table13[[#This Row],[DataOffset]])</f>
        <v>0</v>
      </c>
      <c r="AL925" s="24"/>
      <c r="AM925" s="24" t="str">
        <f>IF(Table13[[#This Row],[value Type]]="","", "0x"&amp;DEC2HEX(Table13[[#This Row],[ADDR_Offset]],8) )</f>
        <v>0x00000274</v>
      </c>
    </row>
    <row r="926" spans="2:39" x14ac:dyDescent="0.3">
      <c r="B926" s="14">
        <v>0</v>
      </c>
      <c r="C926" s="14" t="s">
        <v>1</v>
      </c>
      <c r="D926" s="14" t="s">
        <v>388</v>
      </c>
      <c r="E926" s="24" t="s">
        <v>278</v>
      </c>
      <c r="F926" s="24">
        <v>4</v>
      </c>
      <c r="G926" s="14" t="s">
        <v>282</v>
      </c>
      <c r="H926" s="15" t="s">
        <v>502</v>
      </c>
      <c r="I926" s="29" t="s">
        <v>736</v>
      </c>
      <c r="J926" s="15" t="s">
        <v>747</v>
      </c>
      <c r="K926" s="15" t="s">
        <v>52</v>
      </c>
      <c r="L926" s="14">
        <v>32</v>
      </c>
      <c r="M926" s="35">
        <v>0</v>
      </c>
      <c r="N926" s="15" t="s">
        <v>400</v>
      </c>
      <c r="O926" s="25" t="s">
        <v>402</v>
      </c>
      <c r="P926" s="25">
        <v>1</v>
      </c>
      <c r="Q926" s="26" t="s">
        <v>80</v>
      </c>
      <c r="R926" s="27" t="s">
        <v>410</v>
      </c>
      <c r="S926" s="27" t="s">
        <v>405</v>
      </c>
      <c r="T926" s="27">
        <v>0</v>
      </c>
      <c r="U926" s="28"/>
      <c r="V926" s="14"/>
      <c r="W926" s="14"/>
      <c r="X926" s="30" t="str">
        <f>IF(Table13[[#This Row],[value Type]]="","",VLOOKUP(Table13[[#This Row],[value Type]],Table2915[],2,FALSE))</f>
        <v>longout</v>
      </c>
      <c r="Y926" s="30" t="str">
        <f>IF(Table13[[#This Row],[value Type]]="","",VLOOKUP(Table13[[#This Row],[value Type]],Table2915[],3,FALSE))</f>
        <v>asynParamInt32</v>
      </c>
      <c r="Z926" s="64" t="str">
        <f>IF(Table13[[#This Row],[value Type]]="","",VLOOKUP(Table13[[#This Row],[value Type]],Table2915[],4,FALSE))</f>
        <v>"asynInt32"</v>
      </c>
      <c r="AA926" s="64" t="str">
        <f>IF(Table13[[#This Row],[value Type]]="","",    IF(Table13[[#This Row],[IP MAX]]="","","@"  )     )</f>
        <v>@</v>
      </c>
      <c r="AB926" s="79" t="str">
        <f>IF(Table13[[#This Row],[value Type]]="","",VLOOKUP(Table13[[#This Row],[value Type]],Table2915[],5,FALSE))</f>
        <v xml:space="preserve"> </v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926" s="79">
        <f>IF(Table13[[#This Row],[value Type]]="","",VLOOKUP(Table13[[#This Row],[IP]],Table51117[],2,FALSE))</f>
        <v>6</v>
      </c>
      <c r="AE926" s="79" t="str">
        <f>IF(Table13[[#This Row],[value Type]]="","",    IF(Table13[[#This Row],[IP MAX]]="","0","@"  )     )</f>
        <v>@</v>
      </c>
      <c r="AF926" s="68">
        <f>IF(Table13[[#This Row],[value Type]]="","",VLOOKUP(Table13[[#This Row],[Acc Type]],Table2[],2,FALSE))</f>
        <v>0</v>
      </c>
      <c r="AG926" s="75">
        <f>IF(Table13[[#This Row],[value Type]]="","",4*HEX2DEC(Table13[[#This Row],[Addr'[HEX']]]))</f>
        <v>524</v>
      </c>
      <c r="AH926" s="75">
        <f>IF(Table13[[#This Row],[value Type]]="","",VLOOKUP(Table13[[#This Row],[AddrTypeI]],Table22[],2,FALSE))</f>
        <v>0</v>
      </c>
      <c r="AI926" s="68">
        <f>IF(Table13[[#This Row],[value Type]]="","",VLOOKUP(Table13[[#This Row],[DataType]],Table351218[],2,FALSE))</f>
        <v>0</v>
      </c>
      <c r="AJ926" s="68">
        <f>IF(Table13[[#This Row],[value Type]]="","",Table13[[#This Row],[DataWidth]])</f>
        <v>32</v>
      </c>
      <c r="AK926" s="68">
        <f>IF(Table13[[#This Row],[value Type]]="","", Table13[[#This Row],[DataOffset]])</f>
        <v>0</v>
      </c>
      <c r="AL926" s="24"/>
      <c r="AM926" s="24" t="str">
        <f>IF(Table13[[#This Row],[value Type]]="","", "0x"&amp;DEC2HEX(Table13[[#This Row],[ADDR_Offset]],8) )</f>
        <v>0x0000020C</v>
      </c>
    </row>
    <row r="927" spans="2:39" x14ac:dyDescent="0.3">
      <c r="B927" s="14">
        <v>0</v>
      </c>
      <c r="C927" s="14" t="s">
        <v>1</v>
      </c>
      <c r="D927" s="14" t="s">
        <v>388</v>
      </c>
      <c r="E927" s="24" t="s">
        <v>278</v>
      </c>
      <c r="F927" s="24">
        <v>4</v>
      </c>
      <c r="G927" s="14" t="s">
        <v>282</v>
      </c>
      <c r="H927" s="15" t="s">
        <v>503</v>
      </c>
      <c r="I927" s="29" t="s">
        <v>737</v>
      </c>
      <c r="J927" s="15" t="s">
        <v>747</v>
      </c>
      <c r="K927" s="15" t="s">
        <v>52</v>
      </c>
      <c r="L927" s="14">
        <v>32</v>
      </c>
      <c r="M927" s="35">
        <v>0</v>
      </c>
      <c r="N927" s="15" t="s">
        <v>400</v>
      </c>
      <c r="O927" s="25" t="s">
        <v>402</v>
      </c>
      <c r="P927" s="25">
        <v>1</v>
      </c>
      <c r="Q927" s="26" t="s">
        <v>80</v>
      </c>
      <c r="R927" s="27" t="s">
        <v>410</v>
      </c>
      <c r="S927" s="27" t="s">
        <v>405</v>
      </c>
      <c r="T927" s="27">
        <v>0</v>
      </c>
      <c r="U927" s="28"/>
      <c r="V927" s="14"/>
      <c r="W927" s="14"/>
      <c r="X927" s="30" t="str">
        <f>IF(Table13[[#This Row],[value Type]]="","",VLOOKUP(Table13[[#This Row],[value Type]],Table2915[],2,FALSE))</f>
        <v>longout</v>
      </c>
      <c r="Y927" s="30" t="str">
        <f>IF(Table13[[#This Row],[value Type]]="","",VLOOKUP(Table13[[#This Row],[value Type]],Table2915[],3,FALSE))</f>
        <v>asynParamInt32</v>
      </c>
      <c r="Z927" s="64" t="str">
        <f>IF(Table13[[#This Row],[value Type]]="","",VLOOKUP(Table13[[#This Row],[value Type]],Table2915[],4,FALSE))</f>
        <v>"asynInt32"</v>
      </c>
      <c r="AA927" s="64" t="str">
        <f>IF(Table13[[#This Row],[value Type]]="","",    IF(Table13[[#This Row],[IP MAX]]="","","@"  )     )</f>
        <v>@</v>
      </c>
      <c r="AB927" s="79" t="str">
        <f>IF(Table13[[#This Row],[value Type]]="","",VLOOKUP(Table13[[#This Row],[value Type]],Table2915[],5,FALSE))</f>
        <v xml:space="preserve"> </v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927" s="79">
        <f>IF(Table13[[#This Row],[value Type]]="","",VLOOKUP(Table13[[#This Row],[IP]],Table51117[],2,FALSE))</f>
        <v>6</v>
      </c>
      <c r="AE927" s="79" t="str">
        <f>IF(Table13[[#This Row],[value Type]]="","",    IF(Table13[[#This Row],[IP MAX]]="","0","@"  )     )</f>
        <v>@</v>
      </c>
      <c r="AF927" s="68">
        <f>IF(Table13[[#This Row],[value Type]]="","",VLOOKUP(Table13[[#This Row],[Acc Type]],Table2[],2,FALSE))</f>
        <v>0</v>
      </c>
      <c r="AG927" s="75">
        <f>IF(Table13[[#This Row],[value Type]]="","",4*HEX2DEC(Table13[[#This Row],[Addr'[HEX']]]))</f>
        <v>528</v>
      </c>
      <c r="AH927" s="75">
        <f>IF(Table13[[#This Row],[value Type]]="","",VLOOKUP(Table13[[#This Row],[AddrTypeI]],Table22[],2,FALSE))</f>
        <v>0</v>
      </c>
      <c r="AI927" s="68">
        <f>IF(Table13[[#This Row],[value Type]]="","",VLOOKUP(Table13[[#This Row],[DataType]],Table351218[],2,FALSE))</f>
        <v>0</v>
      </c>
      <c r="AJ927" s="68">
        <f>IF(Table13[[#This Row],[value Type]]="","",Table13[[#This Row],[DataWidth]])</f>
        <v>32</v>
      </c>
      <c r="AK927" s="68">
        <f>IF(Table13[[#This Row],[value Type]]="","", Table13[[#This Row],[DataOffset]])</f>
        <v>0</v>
      </c>
      <c r="AL927" s="24"/>
      <c r="AM927" s="24" t="str">
        <f>IF(Table13[[#This Row],[value Type]]="","", "0x"&amp;DEC2HEX(Table13[[#This Row],[ADDR_Offset]],8) )</f>
        <v>0x00000210</v>
      </c>
    </row>
    <row r="928" spans="2:39" x14ac:dyDescent="0.3">
      <c r="B928" s="14">
        <v>0</v>
      </c>
      <c r="C928" s="14" t="s">
        <v>1</v>
      </c>
      <c r="D928" s="14" t="s">
        <v>388</v>
      </c>
      <c r="E928" s="24" t="s">
        <v>278</v>
      </c>
      <c r="F928" s="24">
        <v>4</v>
      </c>
      <c r="G928" s="14" t="s">
        <v>282</v>
      </c>
      <c r="H928" s="15" t="s">
        <v>504</v>
      </c>
      <c r="I928" s="29" t="s">
        <v>738</v>
      </c>
      <c r="J928" s="15" t="s">
        <v>747</v>
      </c>
      <c r="K928" s="15" t="s">
        <v>52</v>
      </c>
      <c r="L928" s="14">
        <v>32</v>
      </c>
      <c r="M928" s="35">
        <v>0</v>
      </c>
      <c r="N928" s="15" t="s">
        <v>400</v>
      </c>
      <c r="O928" s="25" t="s">
        <v>402</v>
      </c>
      <c r="P928" s="25">
        <v>1</v>
      </c>
      <c r="Q928" s="26" t="s">
        <v>80</v>
      </c>
      <c r="R928" s="27" t="s">
        <v>410</v>
      </c>
      <c r="S928" s="27" t="s">
        <v>405</v>
      </c>
      <c r="T928" s="27">
        <v>0</v>
      </c>
      <c r="U928" s="28"/>
      <c r="V928" s="14"/>
      <c r="W928" s="14"/>
      <c r="X928" s="30" t="str">
        <f>IF(Table13[[#This Row],[value Type]]="","",VLOOKUP(Table13[[#This Row],[value Type]],Table2915[],2,FALSE))</f>
        <v>longout</v>
      </c>
      <c r="Y928" s="30" t="str">
        <f>IF(Table13[[#This Row],[value Type]]="","",VLOOKUP(Table13[[#This Row],[value Type]],Table2915[],3,FALSE))</f>
        <v>asynParamInt32</v>
      </c>
      <c r="Z928" s="64" t="str">
        <f>IF(Table13[[#This Row],[value Type]]="","",VLOOKUP(Table13[[#This Row],[value Type]],Table2915[],4,FALSE))</f>
        <v>"asynInt32"</v>
      </c>
      <c r="AA928" s="64" t="str">
        <f>IF(Table13[[#This Row],[value Type]]="","",    IF(Table13[[#This Row],[IP MAX]]="","","@"  )     )</f>
        <v>@</v>
      </c>
      <c r="AB928" s="79" t="str">
        <f>IF(Table13[[#This Row],[value Type]]="","",VLOOKUP(Table13[[#This Row],[value Type]],Table2915[],5,FALSE))</f>
        <v xml:space="preserve"> </v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928" s="79">
        <f>IF(Table13[[#This Row],[value Type]]="","",VLOOKUP(Table13[[#This Row],[IP]],Table51117[],2,FALSE))</f>
        <v>6</v>
      </c>
      <c r="AE928" s="79" t="str">
        <f>IF(Table13[[#This Row],[value Type]]="","",    IF(Table13[[#This Row],[IP MAX]]="","0","@"  )     )</f>
        <v>@</v>
      </c>
      <c r="AF928" s="68">
        <f>IF(Table13[[#This Row],[value Type]]="","",VLOOKUP(Table13[[#This Row],[Acc Type]],Table2[],2,FALSE))</f>
        <v>0</v>
      </c>
      <c r="AG928" s="75">
        <f>IF(Table13[[#This Row],[value Type]]="","",4*HEX2DEC(Table13[[#This Row],[Addr'[HEX']]]))</f>
        <v>532</v>
      </c>
      <c r="AH928" s="75">
        <f>IF(Table13[[#This Row],[value Type]]="","",VLOOKUP(Table13[[#This Row],[AddrTypeI]],Table22[],2,FALSE))</f>
        <v>0</v>
      </c>
      <c r="AI928" s="68">
        <f>IF(Table13[[#This Row],[value Type]]="","",VLOOKUP(Table13[[#This Row],[DataType]],Table351218[],2,FALSE))</f>
        <v>0</v>
      </c>
      <c r="AJ928" s="68">
        <f>IF(Table13[[#This Row],[value Type]]="","",Table13[[#This Row],[DataWidth]])</f>
        <v>32</v>
      </c>
      <c r="AK928" s="68">
        <f>IF(Table13[[#This Row],[value Type]]="","", Table13[[#This Row],[DataOffset]])</f>
        <v>0</v>
      </c>
      <c r="AL928" s="24"/>
      <c r="AM928" s="24" t="str">
        <f>IF(Table13[[#This Row],[value Type]]="","", "0x"&amp;DEC2HEX(Table13[[#This Row],[ADDR_Offset]],8) )</f>
        <v>0x00000214</v>
      </c>
    </row>
    <row r="929" spans="2:39" x14ac:dyDescent="0.3">
      <c r="B929" s="14">
        <v>0</v>
      </c>
      <c r="C929" s="14"/>
      <c r="D929" s="14"/>
      <c r="E929" s="24"/>
      <c r="F929" s="24"/>
      <c r="G929" s="14"/>
      <c r="H929" s="15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/>
      <c r="Y929" s="30"/>
      <c r="Z929" s="64"/>
      <c r="AA929" s="64"/>
      <c r="AB929" s="79"/>
      <c r="AC929" s="12"/>
      <c r="AD929" s="84"/>
      <c r="AE929" s="79"/>
      <c r="AF929" s="68"/>
      <c r="AG929" s="75"/>
      <c r="AH929" s="75"/>
      <c r="AI929" s="81"/>
      <c r="AJ929" s="81"/>
      <c r="AK929" s="81"/>
      <c r="AL929" s="24"/>
      <c r="AM929" s="24"/>
    </row>
    <row r="930" spans="2:39" x14ac:dyDescent="0.3">
      <c r="B930" s="14">
        <v>0</v>
      </c>
      <c r="C930" s="14" t="s">
        <v>811</v>
      </c>
      <c r="D930" s="14" t="s">
        <v>388</v>
      </c>
      <c r="E930" s="24" t="s">
        <v>278</v>
      </c>
      <c r="F930" s="24">
        <v>4</v>
      </c>
      <c r="G930" s="14" t="s">
        <v>759</v>
      </c>
      <c r="H930" s="15" t="s">
        <v>814</v>
      </c>
      <c r="I930" s="29" t="s">
        <v>812</v>
      </c>
      <c r="J930" s="15" t="s">
        <v>747</v>
      </c>
      <c r="K930" s="15" t="s">
        <v>813</v>
      </c>
      <c r="L930" s="14">
        <v>32</v>
      </c>
      <c r="M930" s="35">
        <v>0</v>
      </c>
      <c r="N930" s="15" t="s">
        <v>400</v>
      </c>
      <c r="O930" s="25" t="s">
        <v>397</v>
      </c>
      <c r="P930" s="25">
        <v>1</v>
      </c>
      <c r="Q930" s="26" t="s">
        <v>80</v>
      </c>
      <c r="R930" s="27" t="s">
        <v>93</v>
      </c>
      <c r="S930" s="27" t="s">
        <v>405</v>
      </c>
      <c r="T930" s="27">
        <v>0</v>
      </c>
      <c r="U930" s="28">
        <v>1024</v>
      </c>
      <c r="V930" s="14"/>
      <c r="W930" s="14"/>
      <c r="X930" s="30" t="str">
        <f>IF(Table13[[#This Row],[value Type]]="","",VLOOKUP(Table13[[#This Row],[value Type]],Table2915[],2,FALSE))</f>
        <v>waveform</v>
      </c>
      <c r="Y930" s="30" t="str">
        <f>IF(Table13[[#This Row],[value Type]]="","",VLOOKUP(Table13[[#This Row],[value Type]],Table2915[],3,FALSE))</f>
        <v>asynParamFloat32Array</v>
      </c>
      <c r="Z930" s="64" t="str">
        <f>IF(Table13[[#This Row],[value Type]]="","",VLOOKUP(Table13[[#This Row],[value Type]],Table2915[],4,FALSE))</f>
        <v>"asynFloat32ArrayIn"</v>
      </c>
      <c r="AA930" s="64" t="str">
        <f>IF(Table13[[#This Row],[value Type]]="","",    IF(Table13[[#This Row],[IP MAX]]="","","@"  )     )</f>
        <v>@</v>
      </c>
      <c r="AB930" s="79" t="str">
        <f>IF(Table13[[#This Row],[value Type]]="","",VLOOKUP(Table13[[#This Row],[value Type]],Table2915[],5,FALSE))</f>
        <v>"FLOAT"</v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930" s="79">
        <f>IF(Table13[[#This Row],[value Type]]="","",VLOOKUP(Table13[[#This Row],[IP]],Table51117[],2,FALSE))</f>
        <v>6</v>
      </c>
      <c r="AE930" s="79" t="str">
        <f>IF(Table13[[#This Row],[value Type]]="","",    IF(Table13[[#This Row],[IP MAX]]="","0","@"  )     )</f>
        <v>@</v>
      </c>
      <c r="AF930" s="68">
        <f>IF(Table13[[#This Row],[value Type]]="","",VLOOKUP(Table13[[#This Row],[Acc Type]],Table2[],2,FALSE))</f>
        <v>0</v>
      </c>
      <c r="AG930" s="75">
        <f>IF(Table13[[#This Row],[value Type]]="","",4*HEX2DEC(Table13[[#This Row],[Addr'[HEX']]]))</f>
        <v>32768</v>
      </c>
      <c r="AH930" s="75">
        <f>IF(Table13[[#This Row],[value Type]]="","",VLOOKUP(Table13[[#This Row],[AddrTypeI]],Table22[],2,FALSE))</f>
        <v>0</v>
      </c>
      <c r="AI930" s="68">
        <f>IF(Table13[[#This Row],[value Type]]="","",VLOOKUP(Table13[[#This Row],[DataType]],Table351218[],2,FALSE))</f>
        <v>9</v>
      </c>
      <c r="AJ930" s="68">
        <f>IF(Table13[[#This Row],[value Type]]="","",Table13[[#This Row],[DataWidth]])</f>
        <v>32</v>
      </c>
      <c r="AK930" s="68">
        <f>IF(Table13[[#This Row],[value Type]]="","", Table13[[#This Row],[DataOffset]])</f>
        <v>0</v>
      </c>
      <c r="AL930" s="24"/>
      <c r="AM930" s="24" t="str">
        <f>IF(Table13[[#This Row],[value Type]]="","", "0x"&amp;DEC2HEX(Table13[[#This Row],[ADDR_Offset]],8) )</f>
        <v>0x00008000</v>
      </c>
    </row>
    <row r="931" spans="2:39" x14ac:dyDescent="0.3">
      <c r="B931" s="14">
        <v>0</v>
      </c>
      <c r="C931" s="14" t="s">
        <v>811</v>
      </c>
      <c r="D931" s="14" t="s">
        <v>388</v>
      </c>
      <c r="E931" s="24" t="s">
        <v>278</v>
      </c>
      <c r="F931" s="24">
        <v>4</v>
      </c>
      <c r="G931" s="14" t="s">
        <v>759</v>
      </c>
      <c r="H931" s="15" t="s">
        <v>760</v>
      </c>
      <c r="I931" s="29" t="s">
        <v>768</v>
      </c>
      <c r="J931" s="15" t="s">
        <v>747</v>
      </c>
      <c r="K931" s="15" t="s">
        <v>813</v>
      </c>
      <c r="L931" s="14">
        <v>32</v>
      </c>
      <c r="M931" s="35">
        <v>0</v>
      </c>
      <c r="N931" s="15" t="s">
        <v>400</v>
      </c>
      <c r="O931" s="25" t="s">
        <v>397</v>
      </c>
      <c r="P931" s="25">
        <v>1</v>
      </c>
      <c r="Q931" s="26" t="s">
        <v>80</v>
      </c>
      <c r="R931" s="27" t="s">
        <v>93</v>
      </c>
      <c r="S931" s="27" t="s">
        <v>405</v>
      </c>
      <c r="T931" s="27">
        <v>0</v>
      </c>
      <c r="U931" s="28">
        <v>1024</v>
      </c>
      <c r="V931" s="14"/>
      <c r="W931" s="14"/>
      <c r="X931" s="30" t="str">
        <f>IF(Table13[[#This Row],[value Type]]="","",VLOOKUP(Table13[[#This Row],[value Type]],Table2915[],2,FALSE))</f>
        <v>waveform</v>
      </c>
      <c r="Y931" s="30" t="str">
        <f>IF(Table13[[#This Row],[value Type]]="","",VLOOKUP(Table13[[#This Row],[value Type]],Table2915[],3,FALSE))</f>
        <v>asynParamFloat32Array</v>
      </c>
      <c r="Z931" s="64" t="str">
        <f>IF(Table13[[#This Row],[value Type]]="","",VLOOKUP(Table13[[#This Row],[value Type]],Table2915[],4,FALSE))</f>
        <v>"asynFloat32ArrayIn"</v>
      </c>
      <c r="AA931" s="64" t="str">
        <f>IF(Table13[[#This Row],[value Type]]="","",    IF(Table13[[#This Row],[IP MAX]]="","","@"  )     )</f>
        <v>@</v>
      </c>
      <c r="AB931" s="79" t="str">
        <f>IF(Table13[[#This Row],[value Type]]="","",VLOOKUP(Table13[[#This Row],[value Type]],Table2915[],5,FALSE))</f>
        <v>"FLOAT"</v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931" s="79">
        <f>IF(Table13[[#This Row],[value Type]]="","",VLOOKUP(Table13[[#This Row],[IP]],Table51117[],2,FALSE))</f>
        <v>6</v>
      </c>
      <c r="AE931" s="79" t="str">
        <f>IF(Table13[[#This Row],[value Type]]="","",    IF(Table13[[#This Row],[IP MAX]]="","0","@"  )     )</f>
        <v>@</v>
      </c>
      <c r="AF931" s="68">
        <f>IF(Table13[[#This Row],[value Type]]="","",VLOOKUP(Table13[[#This Row],[Acc Type]],Table2[],2,FALSE))</f>
        <v>0</v>
      </c>
      <c r="AG931" s="75">
        <f>IF(Table13[[#This Row],[value Type]]="","",4*HEX2DEC(Table13[[#This Row],[Addr'[HEX']]]))</f>
        <v>36864</v>
      </c>
      <c r="AH931" s="75">
        <f>IF(Table13[[#This Row],[value Type]]="","",VLOOKUP(Table13[[#This Row],[AddrTypeI]],Table22[],2,FALSE))</f>
        <v>0</v>
      </c>
      <c r="AI931" s="68">
        <f>IF(Table13[[#This Row],[value Type]]="","",VLOOKUP(Table13[[#This Row],[DataType]],Table351218[],2,FALSE))</f>
        <v>9</v>
      </c>
      <c r="AJ931" s="68">
        <f>IF(Table13[[#This Row],[value Type]]="","",Table13[[#This Row],[DataWidth]])</f>
        <v>32</v>
      </c>
      <c r="AK931" s="68">
        <f>IF(Table13[[#This Row],[value Type]]="","", Table13[[#This Row],[DataOffset]])</f>
        <v>0</v>
      </c>
      <c r="AL931" s="24"/>
      <c r="AM931" s="24" t="str">
        <f>IF(Table13[[#This Row],[value Type]]="","", "0x"&amp;DEC2HEX(Table13[[#This Row],[ADDR_Offset]],8) )</f>
        <v>0x00009000</v>
      </c>
    </row>
    <row r="932" spans="2:39" x14ac:dyDescent="0.3">
      <c r="B932" s="14">
        <v>0</v>
      </c>
      <c r="C932" s="14" t="s">
        <v>811</v>
      </c>
      <c r="D932" s="14" t="s">
        <v>388</v>
      </c>
      <c r="E932" s="24" t="s">
        <v>278</v>
      </c>
      <c r="F932" s="24">
        <v>4</v>
      </c>
      <c r="G932" s="14" t="s">
        <v>759</v>
      </c>
      <c r="H932" s="15" t="s">
        <v>761</v>
      </c>
      <c r="I932" s="29" t="s">
        <v>769</v>
      </c>
      <c r="J932" s="15" t="s">
        <v>747</v>
      </c>
      <c r="K932" s="15" t="s">
        <v>813</v>
      </c>
      <c r="L932" s="14">
        <v>32</v>
      </c>
      <c r="M932" s="35">
        <v>0</v>
      </c>
      <c r="N932" s="15" t="s">
        <v>400</v>
      </c>
      <c r="O932" s="25" t="s">
        <v>397</v>
      </c>
      <c r="P932" s="25">
        <v>1</v>
      </c>
      <c r="Q932" s="26" t="s">
        <v>80</v>
      </c>
      <c r="R932" s="27" t="s">
        <v>93</v>
      </c>
      <c r="S932" s="27" t="s">
        <v>405</v>
      </c>
      <c r="T932" s="27">
        <v>0</v>
      </c>
      <c r="U932" s="28">
        <v>1024</v>
      </c>
      <c r="V932" s="14"/>
      <c r="W932" s="14"/>
      <c r="X932" s="30" t="str">
        <f>IF(Table13[[#This Row],[value Type]]="","",VLOOKUP(Table13[[#This Row],[value Type]],Table2915[],2,FALSE))</f>
        <v>waveform</v>
      </c>
      <c r="Y932" s="30" t="str">
        <f>IF(Table13[[#This Row],[value Type]]="","",VLOOKUP(Table13[[#This Row],[value Type]],Table2915[],3,FALSE))</f>
        <v>asynParamFloat32Array</v>
      </c>
      <c r="Z932" s="64" t="str">
        <f>IF(Table13[[#This Row],[value Type]]="","",VLOOKUP(Table13[[#This Row],[value Type]],Table2915[],4,FALSE))</f>
        <v>"asynFloat32ArrayIn"</v>
      </c>
      <c r="AA932" s="64" t="str">
        <f>IF(Table13[[#This Row],[value Type]]="","",    IF(Table13[[#This Row],[IP MAX]]="","","@"  )     )</f>
        <v>@</v>
      </c>
      <c r="AB932" s="79" t="str">
        <f>IF(Table13[[#This Row],[value Type]]="","",VLOOKUP(Table13[[#This Row],[value Type]],Table2915[],5,FALSE))</f>
        <v>"FLOAT"</v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932" s="79">
        <f>IF(Table13[[#This Row],[value Type]]="","",VLOOKUP(Table13[[#This Row],[IP]],Table51117[],2,FALSE))</f>
        <v>6</v>
      </c>
      <c r="AE932" s="79" t="str">
        <f>IF(Table13[[#This Row],[value Type]]="","",    IF(Table13[[#This Row],[IP MAX]]="","0","@"  )     )</f>
        <v>@</v>
      </c>
      <c r="AF932" s="68">
        <f>IF(Table13[[#This Row],[value Type]]="","",VLOOKUP(Table13[[#This Row],[Acc Type]],Table2[],2,FALSE))</f>
        <v>0</v>
      </c>
      <c r="AG932" s="75">
        <f>IF(Table13[[#This Row],[value Type]]="","",4*HEX2DEC(Table13[[#This Row],[Addr'[HEX']]]))</f>
        <v>40960</v>
      </c>
      <c r="AH932" s="75">
        <f>IF(Table13[[#This Row],[value Type]]="","",VLOOKUP(Table13[[#This Row],[AddrTypeI]],Table22[],2,FALSE))</f>
        <v>0</v>
      </c>
      <c r="AI932" s="68">
        <f>IF(Table13[[#This Row],[value Type]]="","",VLOOKUP(Table13[[#This Row],[DataType]],Table351218[],2,FALSE))</f>
        <v>9</v>
      </c>
      <c r="AJ932" s="68">
        <f>IF(Table13[[#This Row],[value Type]]="","",Table13[[#This Row],[DataWidth]])</f>
        <v>32</v>
      </c>
      <c r="AK932" s="68">
        <f>IF(Table13[[#This Row],[value Type]]="","", Table13[[#This Row],[DataOffset]])</f>
        <v>0</v>
      </c>
      <c r="AL932" s="24"/>
      <c r="AM932" s="24" t="str">
        <f>IF(Table13[[#This Row],[value Type]]="","", "0x"&amp;DEC2HEX(Table13[[#This Row],[ADDR_Offset]],8) )</f>
        <v>0x0000A000</v>
      </c>
    </row>
    <row r="933" spans="2:39" x14ac:dyDescent="0.3">
      <c r="B933" s="14">
        <v>0</v>
      </c>
      <c r="C933" s="14" t="s">
        <v>811</v>
      </c>
      <c r="D933" s="14" t="s">
        <v>388</v>
      </c>
      <c r="E933" s="24" t="s">
        <v>278</v>
      </c>
      <c r="F933" s="24">
        <v>4</v>
      </c>
      <c r="G933" s="14" t="s">
        <v>759</v>
      </c>
      <c r="H933" s="15" t="s">
        <v>762</v>
      </c>
      <c r="I933" s="29" t="s">
        <v>770</v>
      </c>
      <c r="J933" s="15" t="s">
        <v>747</v>
      </c>
      <c r="K933" s="15" t="s">
        <v>813</v>
      </c>
      <c r="L933" s="14">
        <v>32</v>
      </c>
      <c r="M933" s="35">
        <v>0</v>
      </c>
      <c r="N933" s="15" t="s">
        <v>400</v>
      </c>
      <c r="O933" s="25" t="s">
        <v>397</v>
      </c>
      <c r="P933" s="25">
        <v>1</v>
      </c>
      <c r="Q933" s="26" t="s">
        <v>80</v>
      </c>
      <c r="R933" s="27" t="s">
        <v>93</v>
      </c>
      <c r="S933" s="27" t="s">
        <v>405</v>
      </c>
      <c r="T933" s="27">
        <v>0</v>
      </c>
      <c r="U933" s="28">
        <v>1024</v>
      </c>
      <c r="V933" s="14"/>
      <c r="W933" s="14"/>
      <c r="X933" s="30" t="str">
        <f>IF(Table13[[#This Row],[value Type]]="","",VLOOKUP(Table13[[#This Row],[value Type]],Table2915[],2,FALSE))</f>
        <v>waveform</v>
      </c>
      <c r="Y933" s="30" t="str">
        <f>IF(Table13[[#This Row],[value Type]]="","",VLOOKUP(Table13[[#This Row],[value Type]],Table2915[],3,FALSE))</f>
        <v>asynParamFloat32Array</v>
      </c>
      <c r="Z933" s="64" t="str">
        <f>IF(Table13[[#This Row],[value Type]]="","",VLOOKUP(Table13[[#This Row],[value Type]],Table2915[],4,FALSE))</f>
        <v>"asynFloat32ArrayIn"</v>
      </c>
      <c r="AA933" s="64" t="str">
        <f>IF(Table13[[#This Row],[value Type]]="","",    IF(Table13[[#This Row],[IP MAX]]="","","@"  )     )</f>
        <v>@</v>
      </c>
      <c r="AB933" s="79" t="str">
        <f>IF(Table13[[#This Row],[value Type]]="","",VLOOKUP(Table13[[#This Row],[value Type]],Table2915[],5,FALSE))</f>
        <v>"FLOAT"</v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933" s="79">
        <f>IF(Table13[[#This Row],[value Type]]="","",VLOOKUP(Table13[[#This Row],[IP]],Table51117[],2,FALSE))</f>
        <v>6</v>
      </c>
      <c r="AE933" s="79" t="str">
        <f>IF(Table13[[#This Row],[value Type]]="","",    IF(Table13[[#This Row],[IP MAX]]="","0","@"  )     )</f>
        <v>@</v>
      </c>
      <c r="AF933" s="68">
        <f>IF(Table13[[#This Row],[value Type]]="","",VLOOKUP(Table13[[#This Row],[Acc Type]],Table2[],2,FALSE))</f>
        <v>0</v>
      </c>
      <c r="AG933" s="75">
        <f>IF(Table13[[#This Row],[value Type]]="","",4*HEX2DEC(Table13[[#This Row],[Addr'[HEX']]]))</f>
        <v>45056</v>
      </c>
      <c r="AH933" s="75">
        <f>IF(Table13[[#This Row],[value Type]]="","",VLOOKUP(Table13[[#This Row],[AddrTypeI]],Table22[],2,FALSE))</f>
        <v>0</v>
      </c>
      <c r="AI933" s="68">
        <f>IF(Table13[[#This Row],[value Type]]="","",VLOOKUP(Table13[[#This Row],[DataType]],Table351218[],2,FALSE))</f>
        <v>9</v>
      </c>
      <c r="AJ933" s="68">
        <f>IF(Table13[[#This Row],[value Type]]="","",Table13[[#This Row],[DataWidth]])</f>
        <v>32</v>
      </c>
      <c r="AK933" s="68">
        <f>IF(Table13[[#This Row],[value Type]]="","", Table13[[#This Row],[DataOffset]])</f>
        <v>0</v>
      </c>
      <c r="AL933" s="24"/>
      <c r="AM933" s="24" t="str">
        <f>IF(Table13[[#This Row],[value Type]]="","", "0x"&amp;DEC2HEX(Table13[[#This Row],[ADDR_Offset]],8) )</f>
        <v>0x0000B000</v>
      </c>
    </row>
    <row r="934" spans="2:39" x14ac:dyDescent="0.3">
      <c r="B934" s="14">
        <v>0</v>
      </c>
      <c r="C934" s="14" t="s">
        <v>811</v>
      </c>
      <c r="D934" s="14" t="s">
        <v>388</v>
      </c>
      <c r="E934" s="24" t="s">
        <v>278</v>
      </c>
      <c r="F934" s="24">
        <v>4</v>
      </c>
      <c r="G934" s="14" t="s">
        <v>759</v>
      </c>
      <c r="H934" s="15" t="s">
        <v>763</v>
      </c>
      <c r="I934" s="29" t="s">
        <v>771</v>
      </c>
      <c r="J934" s="15" t="s">
        <v>747</v>
      </c>
      <c r="K934" s="15" t="s">
        <v>813</v>
      </c>
      <c r="L934" s="14">
        <v>32</v>
      </c>
      <c r="M934" s="35">
        <v>0</v>
      </c>
      <c r="N934" s="15" t="s">
        <v>400</v>
      </c>
      <c r="O934" s="25" t="s">
        <v>397</v>
      </c>
      <c r="P934" s="25">
        <v>1</v>
      </c>
      <c r="Q934" s="26" t="s">
        <v>80</v>
      </c>
      <c r="R934" s="27" t="s">
        <v>93</v>
      </c>
      <c r="S934" s="27" t="s">
        <v>405</v>
      </c>
      <c r="T934" s="27">
        <v>0</v>
      </c>
      <c r="U934" s="28">
        <v>1024</v>
      </c>
      <c r="V934" s="14"/>
      <c r="W934" s="14"/>
      <c r="X934" s="30" t="str">
        <f>IF(Table13[[#This Row],[value Type]]="","",VLOOKUP(Table13[[#This Row],[value Type]],Table2915[],2,FALSE))</f>
        <v>waveform</v>
      </c>
      <c r="Y934" s="30" t="str">
        <f>IF(Table13[[#This Row],[value Type]]="","",VLOOKUP(Table13[[#This Row],[value Type]],Table2915[],3,FALSE))</f>
        <v>asynParamFloat32Array</v>
      </c>
      <c r="Z934" s="64" t="str">
        <f>IF(Table13[[#This Row],[value Type]]="","",VLOOKUP(Table13[[#This Row],[value Type]],Table2915[],4,FALSE))</f>
        <v>"asynFloat32ArrayIn"</v>
      </c>
      <c r="AA934" s="64" t="str">
        <f>IF(Table13[[#This Row],[value Type]]="","",    IF(Table13[[#This Row],[IP MAX]]="","","@"  )     )</f>
        <v>@</v>
      </c>
      <c r="AB934" s="79" t="str">
        <f>IF(Table13[[#This Row],[value Type]]="","",VLOOKUP(Table13[[#This Row],[value Type]],Table2915[],5,FALSE))</f>
        <v>"FLOAT"</v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934" s="79">
        <f>IF(Table13[[#This Row],[value Type]]="","",VLOOKUP(Table13[[#This Row],[IP]],Table51117[],2,FALSE))</f>
        <v>6</v>
      </c>
      <c r="AE934" s="79" t="str">
        <f>IF(Table13[[#This Row],[value Type]]="","",    IF(Table13[[#This Row],[IP MAX]]="","0","@"  )     )</f>
        <v>@</v>
      </c>
      <c r="AF934" s="68">
        <f>IF(Table13[[#This Row],[value Type]]="","",VLOOKUP(Table13[[#This Row],[Acc Type]],Table2[],2,FALSE))</f>
        <v>0</v>
      </c>
      <c r="AG934" s="75">
        <f>IF(Table13[[#This Row],[value Type]]="","",4*HEX2DEC(Table13[[#This Row],[Addr'[HEX']]]))</f>
        <v>49152</v>
      </c>
      <c r="AH934" s="75">
        <f>IF(Table13[[#This Row],[value Type]]="","",VLOOKUP(Table13[[#This Row],[AddrTypeI]],Table22[],2,FALSE))</f>
        <v>0</v>
      </c>
      <c r="AI934" s="68">
        <f>IF(Table13[[#This Row],[value Type]]="","",VLOOKUP(Table13[[#This Row],[DataType]],Table351218[],2,FALSE))</f>
        <v>9</v>
      </c>
      <c r="AJ934" s="68">
        <f>IF(Table13[[#This Row],[value Type]]="","",Table13[[#This Row],[DataWidth]])</f>
        <v>32</v>
      </c>
      <c r="AK934" s="68">
        <f>IF(Table13[[#This Row],[value Type]]="","", Table13[[#This Row],[DataOffset]])</f>
        <v>0</v>
      </c>
      <c r="AL934" s="24"/>
      <c r="AM934" s="24" t="str">
        <f>IF(Table13[[#This Row],[value Type]]="","", "0x"&amp;DEC2HEX(Table13[[#This Row],[ADDR_Offset]],8) )</f>
        <v>0x0000C000</v>
      </c>
    </row>
    <row r="935" spans="2:39" x14ac:dyDescent="0.3">
      <c r="B935" s="14">
        <v>0</v>
      </c>
      <c r="C935" s="14" t="s">
        <v>811</v>
      </c>
      <c r="D935" s="14" t="s">
        <v>388</v>
      </c>
      <c r="E935" s="24" t="s">
        <v>278</v>
      </c>
      <c r="F935" s="24">
        <v>4</v>
      </c>
      <c r="G935" s="14" t="s">
        <v>759</v>
      </c>
      <c r="H935" s="15" t="s">
        <v>764</v>
      </c>
      <c r="I935" s="29" t="s">
        <v>772</v>
      </c>
      <c r="J935" s="15" t="s">
        <v>747</v>
      </c>
      <c r="K935" s="15" t="s">
        <v>813</v>
      </c>
      <c r="L935" s="14">
        <v>32</v>
      </c>
      <c r="M935" s="35">
        <v>0</v>
      </c>
      <c r="N935" s="15" t="s">
        <v>400</v>
      </c>
      <c r="O935" s="25" t="s">
        <v>397</v>
      </c>
      <c r="P935" s="25">
        <v>1</v>
      </c>
      <c r="Q935" s="26" t="s">
        <v>80</v>
      </c>
      <c r="R935" s="27" t="s">
        <v>93</v>
      </c>
      <c r="S935" s="27" t="s">
        <v>405</v>
      </c>
      <c r="T935" s="27">
        <v>0</v>
      </c>
      <c r="U935" s="28">
        <v>1024</v>
      </c>
      <c r="V935" s="14"/>
      <c r="W935" s="14"/>
      <c r="X935" s="30" t="str">
        <f>IF(Table13[[#This Row],[value Type]]="","",VLOOKUP(Table13[[#This Row],[value Type]],Table2915[],2,FALSE))</f>
        <v>waveform</v>
      </c>
      <c r="Y935" s="30" t="str">
        <f>IF(Table13[[#This Row],[value Type]]="","",VLOOKUP(Table13[[#This Row],[value Type]],Table2915[],3,FALSE))</f>
        <v>asynParamFloat32Array</v>
      </c>
      <c r="Z935" s="64" t="str">
        <f>IF(Table13[[#This Row],[value Type]]="","",VLOOKUP(Table13[[#This Row],[value Type]],Table2915[],4,FALSE))</f>
        <v>"asynFloat32ArrayIn"</v>
      </c>
      <c r="AA935" s="64" t="str">
        <f>IF(Table13[[#This Row],[value Type]]="","",    IF(Table13[[#This Row],[IP MAX]]="","","@"  )     )</f>
        <v>@</v>
      </c>
      <c r="AB935" s="79" t="str">
        <f>IF(Table13[[#This Row],[value Type]]="","",VLOOKUP(Table13[[#This Row],[value Type]],Table2915[],5,FALSE))</f>
        <v>"FLOAT"</v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935" s="79">
        <f>IF(Table13[[#This Row],[value Type]]="","",VLOOKUP(Table13[[#This Row],[IP]],Table51117[],2,FALSE))</f>
        <v>6</v>
      </c>
      <c r="AE935" s="79" t="str">
        <f>IF(Table13[[#This Row],[value Type]]="","",    IF(Table13[[#This Row],[IP MAX]]="","0","@"  )     )</f>
        <v>@</v>
      </c>
      <c r="AF935" s="68">
        <f>IF(Table13[[#This Row],[value Type]]="","",VLOOKUP(Table13[[#This Row],[Acc Type]],Table2[],2,FALSE))</f>
        <v>0</v>
      </c>
      <c r="AG935" s="75">
        <f>IF(Table13[[#This Row],[value Type]]="","",4*HEX2DEC(Table13[[#This Row],[Addr'[HEX']]]))</f>
        <v>53248</v>
      </c>
      <c r="AH935" s="75">
        <f>IF(Table13[[#This Row],[value Type]]="","",VLOOKUP(Table13[[#This Row],[AddrTypeI]],Table22[],2,FALSE))</f>
        <v>0</v>
      </c>
      <c r="AI935" s="68">
        <f>IF(Table13[[#This Row],[value Type]]="","",VLOOKUP(Table13[[#This Row],[DataType]],Table351218[],2,FALSE))</f>
        <v>9</v>
      </c>
      <c r="AJ935" s="68">
        <f>IF(Table13[[#This Row],[value Type]]="","",Table13[[#This Row],[DataWidth]])</f>
        <v>32</v>
      </c>
      <c r="AK935" s="68">
        <f>IF(Table13[[#This Row],[value Type]]="","", Table13[[#This Row],[DataOffset]])</f>
        <v>0</v>
      </c>
      <c r="AL935" s="24"/>
      <c r="AM935" s="24" t="str">
        <f>IF(Table13[[#This Row],[value Type]]="","", "0x"&amp;DEC2HEX(Table13[[#This Row],[ADDR_Offset]],8) )</f>
        <v>0x0000D000</v>
      </c>
    </row>
    <row r="936" spans="2:39" x14ac:dyDescent="0.3">
      <c r="B936" s="14">
        <v>0</v>
      </c>
      <c r="C936" s="14" t="s">
        <v>811</v>
      </c>
      <c r="D936" s="14" t="s">
        <v>388</v>
      </c>
      <c r="E936" s="24" t="s">
        <v>278</v>
      </c>
      <c r="F936" s="24">
        <v>4</v>
      </c>
      <c r="G936" s="14" t="s">
        <v>759</v>
      </c>
      <c r="H936" s="15" t="s">
        <v>765</v>
      </c>
      <c r="I936" s="29" t="s">
        <v>773</v>
      </c>
      <c r="J936" s="15" t="s">
        <v>747</v>
      </c>
      <c r="K936" s="15" t="s">
        <v>813</v>
      </c>
      <c r="L936" s="14">
        <v>32</v>
      </c>
      <c r="M936" s="35">
        <v>0</v>
      </c>
      <c r="N936" s="15" t="s">
        <v>400</v>
      </c>
      <c r="O936" s="25" t="s">
        <v>397</v>
      </c>
      <c r="P936" s="25">
        <v>1</v>
      </c>
      <c r="Q936" s="26" t="s">
        <v>80</v>
      </c>
      <c r="R936" s="27" t="s">
        <v>93</v>
      </c>
      <c r="S936" s="27" t="s">
        <v>405</v>
      </c>
      <c r="T936" s="27">
        <v>0</v>
      </c>
      <c r="U936" s="28">
        <v>1024</v>
      </c>
      <c r="V936" s="14"/>
      <c r="W936" s="14"/>
      <c r="X936" s="30" t="str">
        <f>IF(Table13[[#This Row],[value Type]]="","",VLOOKUP(Table13[[#This Row],[value Type]],Table2915[],2,FALSE))</f>
        <v>waveform</v>
      </c>
      <c r="Y936" s="30" t="str">
        <f>IF(Table13[[#This Row],[value Type]]="","",VLOOKUP(Table13[[#This Row],[value Type]],Table2915[],3,FALSE))</f>
        <v>asynParamFloat32Array</v>
      </c>
      <c r="Z936" s="64" t="str">
        <f>IF(Table13[[#This Row],[value Type]]="","",VLOOKUP(Table13[[#This Row],[value Type]],Table2915[],4,FALSE))</f>
        <v>"asynFloat32ArrayIn"</v>
      </c>
      <c r="AA936" s="64" t="str">
        <f>IF(Table13[[#This Row],[value Type]]="","",    IF(Table13[[#This Row],[IP MAX]]="","","@"  )     )</f>
        <v>@</v>
      </c>
      <c r="AB936" s="79" t="str">
        <f>IF(Table13[[#This Row],[value Type]]="","",VLOOKUP(Table13[[#This Row],[value Type]],Table2915[],5,FALSE))</f>
        <v>"FLOAT"</v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936" s="79">
        <f>IF(Table13[[#This Row],[value Type]]="","",VLOOKUP(Table13[[#This Row],[IP]],Table51117[],2,FALSE))</f>
        <v>6</v>
      </c>
      <c r="AE936" s="79" t="str">
        <f>IF(Table13[[#This Row],[value Type]]="","",    IF(Table13[[#This Row],[IP MAX]]="","0","@"  )     )</f>
        <v>@</v>
      </c>
      <c r="AF936" s="68">
        <f>IF(Table13[[#This Row],[value Type]]="","",VLOOKUP(Table13[[#This Row],[Acc Type]],Table2[],2,FALSE))</f>
        <v>0</v>
      </c>
      <c r="AG936" s="75">
        <f>IF(Table13[[#This Row],[value Type]]="","",4*HEX2DEC(Table13[[#This Row],[Addr'[HEX']]]))</f>
        <v>57344</v>
      </c>
      <c r="AH936" s="75">
        <f>IF(Table13[[#This Row],[value Type]]="","",VLOOKUP(Table13[[#This Row],[AddrTypeI]],Table22[],2,FALSE))</f>
        <v>0</v>
      </c>
      <c r="AI936" s="68">
        <f>IF(Table13[[#This Row],[value Type]]="","",VLOOKUP(Table13[[#This Row],[DataType]],Table351218[],2,FALSE))</f>
        <v>9</v>
      </c>
      <c r="AJ936" s="68">
        <f>IF(Table13[[#This Row],[value Type]]="","",Table13[[#This Row],[DataWidth]])</f>
        <v>32</v>
      </c>
      <c r="AK936" s="68">
        <f>IF(Table13[[#This Row],[value Type]]="","", Table13[[#This Row],[DataOffset]])</f>
        <v>0</v>
      </c>
      <c r="AL936" s="24"/>
      <c r="AM936" s="24" t="str">
        <f>IF(Table13[[#This Row],[value Type]]="","", "0x"&amp;DEC2HEX(Table13[[#This Row],[ADDR_Offset]],8) )</f>
        <v>0x0000E000</v>
      </c>
    </row>
    <row r="937" spans="2:39" x14ac:dyDescent="0.3">
      <c r="B937" s="14">
        <v>0</v>
      </c>
      <c r="C937" s="14" t="s">
        <v>811</v>
      </c>
      <c r="D937" s="14" t="s">
        <v>388</v>
      </c>
      <c r="E937" s="24" t="s">
        <v>278</v>
      </c>
      <c r="F937" s="24">
        <v>4</v>
      </c>
      <c r="G937" s="14" t="s">
        <v>759</v>
      </c>
      <c r="H937" s="15" t="s">
        <v>766</v>
      </c>
      <c r="I937" s="29" t="s">
        <v>774</v>
      </c>
      <c r="J937" s="15" t="s">
        <v>747</v>
      </c>
      <c r="K937" s="15" t="s">
        <v>813</v>
      </c>
      <c r="L937" s="14">
        <v>32</v>
      </c>
      <c r="M937" s="35">
        <v>0</v>
      </c>
      <c r="N937" s="15" t="s">
        <v>400</v>
      </c>
      <c r="O937" s="25" t="s">
        <v>397</v>
      </c>
      <c r="P937" s="25">
        <v>1</v>
      </c>
      <c r="Q937" s="26" t="s">
        <v>80</v>
      </c>
      <c r="R937" s="27" t="s">
        <v>93</v>
      </c>
      <c r="S937" s="27" t="s">
        <v>405</v>
      </c>
      <c r="T937" s="27">
        <v>0</v>
      </c>
      <c r="U937" s="28">
        <v>1024</v>
      </c>
      <c r="V937" s="14"/>
      <c r="W937" s="14"/>
      <c r="X937" s="30" t="str">
        <f>IF(Table13[[#This Row],[value Type]]="","",VLOOKUP(Table13[[#This Row],[value Type]],Table2915[],2,FALSE))</f>
        <v>waveform</v>
      </c>
      <c r="Y937" s="30" t="str">
        <f>IF(Table13[[#This Row],[value Type]]="","",VLOOKUP(Table13[[#This Row],[value Type]],Table2915[],3,FALSE))</f>
        <v>asynParamFloat32Array</v>
      </c>
      <c r="Z937" s="64" t="str">
        <f>IF(Table13[[#This Row],[value Type]]="","",VLOOKUP(Table13[[#This Row],[value Type]],Table2915[],4,FALSE))</f>
        <v>"asynFloat32ArrayIn"</v>
      </c>
      <c r="AA937" s="64" t="str">
        <f>IF(Table13[[#This Row],[value Type]]="","",    IF(Table13[[#This Row],[IP MAX]]="","","@"  )     )</f>
        <v>@</v>
      </c>
      <c r="AB937" s="79" t="str">
        <f>IF(Table13[[#This Row],[value Type]]="","",VLOOKUP(Table13[[#This Row],[value Type]],Table2915[],5,FALSE))</f>
        <v>"FLOAT"</v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937" s="79">
        <f>IF(Table13[[#This Row],[value Type]]="","",VLOOKUP(Table13[[#This Row],[IP]],Table51117[],2,FALSE))</f>
        <v>6</v>
      </c>
      <c r="AE937" s="79" t="str">
        <f>IF(Table13[[#This Row],[value Type]]="","",    IF(Table13[[#This Row],[IP MAX]]="","0","@"  )     )</f>
        <v>@</v>
      </c>
      <c r="AF937" s="68">
        <f>IF(Table13[[#This Row],[value Type]]="","",VLOOKUP(Table13[[#This Row],[Acc Type]],Table2[],2,FALSE))</f>
        <v>0</v>
      </c>
      <c r="AG937" s="75">
        <f>IF(Table13[[#This Row],[value Type]]="","",4*HEX2DEC(Table13[[#This Row],[Addr'[HEX']]]))</f>
        <v>61440</v>
      </c>
      <c r="AH937" s="75">
        <f>IF(Table13[[#This Row],[value Type]]="","",VLOOKUP(Table13[[#This Row],[AddrTypeI]],Table22[],2,FALSE))</f>
        <v>0</v>
      </c>
      <c r="AI937" s="68">
        <f>IF(Table13[[#This Row],[value Type]]="","",VLOOKUP(Table13[[#This Row],[DataType]],Table351218[],2,FALSE))</f>
        <v>9</v>
      </c>
      <c r="AJ937" s="68">
        <f>IF(Table13[[#This Row],[value Type]]="","",Table13[[#This Row],[DataWidth]])</f>
        <v>32</v>
      </c>
      <c r="AK937" s="68">
        <f>IF(Table13[[#This Row],[value Type]]="","", Table13[[#This Row],[DataOffset]])</f>
        <v>0</v>
      </c>
      <c r="AL937" s="24"/>
      <c r="AM937" s="24" t="str">
        <f>IF(Table13[[#This Row],[value Type]]="","", "0x"&amp;DEC2HEX(Table13[[#This Row],[ADDR_Offset]],8) )</f>
        <v>0x0000F000</v>
      </c>
    </row>
    <row r="938" spans="2:39" x14ac:dyDescent="0.3">
      <c r="B938" s="14">
        <v>0</v>
      </c>
      <c r="C938" s="14"/>
      <c r="D938" s="14"/>
      <c r="E938" s="24"/>
      <c r="F938" s="24"/>
      <c r="G938" s="14"/>
      <c r="H938" s="15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/>
      <c r="Y938" s="30"/>
      <c r="Z938" s="64"/>
      <c r="AA938" s="64"/>
      <c r="AB938" s="79"/>
      <c r="AC938" s="12"/>
      <c r="AD938" s="84"/>
      <c r="AE938" s="79"/>
      <c r="AF938" s="68"/>
      <c r="AG938" s="75"/>
      <c r="AH938" s="75"/>
      <c r="AI938" s="81"/>
      <c r="AJ938" s="81"/>
      <c r="AK938" s="81"/>
      <c r="AL938" s="24"/>
      <c r="AM938" s="24"/>
    </row>
    <row r="939" spans="2:39" x14ac:dyDescent="0.3">
      <c r="B939" s="14">
        <v>0</v>
      </c>
      <c r="C939" s="14" t="s">
        <v>811</v>
      </c>
      <c r="D939" s="14" t="s">
        <v>388</v>
      </c>
      <c r="E939" s="24" t="s">
        <v>278</v>
      </c>
      <c r="F939" s="24">
        <v>4</v>
      </c>
      <c r="G939" s="14" t="s">
        <v>767</v>
      </c>
      <c r="H939" s="15" t="s">
        <v>814</v>
      </c>
      <c r="I939" s="29" t="s">
        <v>775</v>
      </c>
      <c r="J939" s="15" t="s">
        <v>747</v>
      </c>
      <c r="K939" s="15" t="s">
        <v>813</v>
      </c>
      <c r="L939" s="14">
        <v>32</v>
      </c>
      <c r="M939" s="35">
        <v>0</v>
      </c>
      <c r="N939" s="15" t="s">
        <v>400</v>
      </c>
      <c r="O939" s="25" t="s">
        <v>397</v>
      </c>
      <c r="P939" s="25">
        <v>1</v>
      </c>
      <c r="Q939" s="26" t="s">
        <v>80</v>
      </c>
      <c r="R939" s="27" t="s">
        <v>93</v>
      </c>
      <c r="S939" s="27" t="s">
        <v>405</v>
      </c>
      <c r="T939" s="27">
        <v>0</v>
      </c>
      <c r="U939" s="28">
        <v>1024</v>
      </c>
      <c r="V939" s="14"/>
      <c r="W939" s="14"/>
      <c r="X939" s="30" t="str">
        <f>IF(Table13[[#This Row],[value Type]]="","",VLOOKUP(Table13[[#This Row],[value Type]],Table2915[],2,FALSE))</f>
        <v>waveform</v>
      </c>
      <c r="Y939" s="30" t="str">
        <f>IF(Table13[[#This Row],[value Type]]="","",VLOOKUP(Table13[[#This Row],[value Type]],Table2915[],3,FALSE))</f>
        <v>asynParamFloat32Array</v>
      </c>
      <c r="Z939" s="64" t="str">
        <f>IF(Table13[[#This Row],[value Type]]="","",VLOOKUP(Table13[[#This Row],[value Type]],Table2915[],4,FALSE))</f>
        <v>"asynFloat32ArrayIn"</v>
      </c>
      <c r="AA939" s="64" t="str">
        <f>IF(Table13[[#This Row],[value Type]]="","",    IF(Table13[[#This Row],[IP MAX]]="","","@"  )     )</f>
        <v>@</v>
      </c>
      <c r="AB939" s="79" t="str">
        <f>IF(Table13[[#This Row],[value Type]]="","",VLOOKUP(Table13[[#This Row],[value Type]],Table2915[],5,FALSE))</f>
        <v>"FLOAT"</v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939" s="79">
        <f>IF(Table13[[#This Row],[value Type]]="","",VLOOKUP(Table13[[#This Row],[IP]],Table51117[],2,FALSE))</f>
        <v>6</v>
      </c>
      <c r="AE939" s="79" t="str">
        <f>IF(Table13[[#This Row],[value Type]]="","",    IF(Table13[[#This Row],[IP MAX]]="","0","@"  )     )</f>
        <v>@</v>
      </c>
      <c r="AF939" s="68">
        <f>IF(Table13[[#This Row],[value Type]]="","",VLOOKUP(Table13[[#This Row],[Acc Type]],Table2[],2,FALSE))</f>
        <v>0</v>
      </c>
      <c r="AG939" s="75">
        <f>IF(Table13[[#This Row],[value Type]]="","",4*HEX2DEC(Table13[[#This Row],[Addr'[HEX']]]))</f>
        <v>98304</v>
      </c>
      <c r="AH939" s="75">
        <f>IF(Table13[[#This Row],[value Type]]="","",VLOOKUP(Table13[[#This Row],[AddrTypeI]],Table22[],2,FALSE))</f>
        <v>0</v>
      </c>
      <c r="AI939" s="68">
        <f>IF(Table13[[#This Row],[value Type]]="","",VLOOKUP(Table13[[#This Row],[DataType]],Table351218[],2,FALSE))</f>
        <v>9</v>
      </c>
      <c r="AJ939" s="68">
        <f>IF(Table13[[#This Row],[value Type]]="","",Table13[[#This Row],[DataWidth]])</f>
        <v>32</v>
      </c>
      <c r="AK939" s="68">
        <f>IF(Table13[[#This Row],[value Type]]="","", Table13[[#This Row],[DataOffset]])</f>
        <v>0</v>
      </c>
      <c r="AL939" s="24"/>
      <c r="AM939" s="24" t="str">
        <f>IF(Table13[[#This Row],[value Type]]="","", "0x"&amp;DEC2HEX(Table13[[#This Row],[ADDR_Offset]],8) )</f>
        <v>0x00018000</v>
      </c>
    </row>
    <row r="940" spans="2:39" x14ac:dyDescent="0.3">
      <c r="B940" s="14">
        <v>0</v>
      </c>
      <c r="C940" s="14" t="s">
        <v>811</v>
      </c>
      <c r="D940" s="14" t="s">
        <v>388</v>
      </c>
      <c r="E940" s="24" t="s">
        <v>278</v>
      </c>
      <c r="F940" s="24">
        <v>4</v>
      </c>
      <c r="G940" s="14" t="s">
        <v>767</v>
      </c>
      <c r="H940" s="15" t="s">
        <v>760</v>
      </c>
      <c r="I940" s="29" t="s">
        <v>776</v>
      </c>
      <c r="J940" s="15" t="s">
        <v>747</v>
      </c>
      <c r="K940" s="15" t="s">
        <v>813</v>
      </c>
      <c r="L940" s="14">
        <v>32</v>
      </c>
      <c r="M940" s="35">
        <v>0</v>
      </c>
      <c r="N940" s="15" t="s">
        <v>400</v>
      </c>
      <c r="O940" s="25" t="s">
        <v>397</v>
      </c>
      <c r="P940" s="25">
        <v>1</v>
      </c>
      <c r="Q940" s="26" t="s">
        <v>80</v>
      </c>
      <c r="R940" s="27" t="s">
        <v>93</v>
      </c>
      <c r="S940" s="27" t="s">
        <v>405</v>
      </c>
      <c r="T940" s="27">
        <v>0</v>
      </c>
      <c r="U940" s="28">
        <v>1024</v>
      </c>
      <c r="V940" s="14"/>
      <c r="W940" s="14"/>
      <c r="X940" s="30" t="str">
        <f>IF(Table13[[#This Row],[value Type]]="","",VLOOKUP(Table13[[#This Row],[value Type]],Table2915[],2,FALSE))</f>
        <v>waveform</v>
      </c>
      <c r="Y940" s="30" t="str">
        <f>IF(Table13[[#This Row],[value Type]]="","",VLOOKUP(Table13[[#This Row],[value Type]],Table2915[],3,FALSE))</f>
        <v>asynParamFloat32Array</v>
      </c>
      <c r="Z940" s="64" t="str">
        <f>IF(Table13[[#This Row],[value Type]]="","",VLOOKUP(Table13[[#This Row],[value Type]],Table2915[],4,FALSE))</f>
        <v>"asynFloat32ArrayIn"</v>
      </c>
      <c r="AA940" s="64" t="str">
        <f>IF(Table13[[#This Row],[value Type]]="","",    IF(Table13[[#This Row],[IP MAX]]="","","@"  )     )</f>
        <v>@</v>
      </c>
      <c r="AB940" s="79" t="str">
        <f>IF(Table13[[#This Row],[value Type]]="","",VLOOKUP(Table13[[#This Row],[value Type]],Table2915[],5,FALSE))</f>
        <v>"FLOAT"</v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940" s="79">
        <f>IF(Table13[[#This Row],[value Type]]="","",VLOOKUP(Table13[[#This Row],[IP]],Table51117[],2,FALSE))</f>
        <v>6</v>
      </c>
      <c r="AE940" s="79" t="str">
        <f>IF(Table13[[#This Row],[value Type]]="","",    IF(Table13[[#This Row],[IP MAX]]="","0","@"  )     )</f>
        <v>@</v>
      </c>
      <c r="AF940" s="68">
        <f>IF(Table13[[#This Row],[value Type]]="","",VLOOKUP(Table13[[#This Row],[Acc Type]],Table2[],2,FALSE))</f>
        <v>0</v>
      </c>
      <c r="AG940" s="75">
        <f>IF(Table13[[#This Row],[value Type]]="","",4*HEX2DEC(Table13[[#This Row],[Addr'[HEX']]]))</f>
        <v>102400</v>
      </c>
      <c r="AH940" s="75">
        <f>IF(Table13[[#This Row],[value Type]]="","",VLOOKUP(Table13[[#This Row],[AddrTypeI]],Table22[],2,FALSE))</f>
        <v>0</v>
      </c>
      <c r="AI940" s="68">
        <f>IF(Table13[[#This Row],[value Type]]="","",VLOOKUP(Table13[[#This Row],[DataType]],Table351218[],2,FALSE))</f>
        <v>9</v>
      </c>
      <c r="AJ940" s="68">
        <f>IF(Table13[[#This Row],[value Type]]="","",Table13[[#This Row],[DataWidth]])</f>
        <v>32</v>
      </c>
      <c r="AK940" s="68">
        <f>IF(Table13[[#This Row],[value Type]]="","", Table13[[#This Row],[DataOffset]])</f>
        <v>0</v>
      </c>
      <c r="AL940" s="24"/>
      <c r="AM940" s="24" t="str">
        <f>IF(Table13[[#This Row],[value Type]]="","", "0x"&amp;DEC2HEX(Table13[[#This Row],[ADDR_Offset]],8) )</f>
        <v>0x00019000</v>
      </c>
    </row>
    <row r="941" spans="2:39" x14ac:dyDescent="0.3">
      <c r="B941" s="14">
        <v>0</v>
      </c>
      <c r="C941" s="14" t="s">
        <v>811</v>
      </c>
      <c r="D941" s="14" t="s">
        <v>388</v>
      </c>
      <c r="E941" s="24" t="s">
        <v>278</v>
      </c>
      <c r="F941" s="24">
        <v>4</v>
      </c>
      <c r="G941" s="14" t="s">
        <v>767</v>
      </c>
      <c r="H941" s="15" t="s">
        <v>761</v>
      </c>
      <c r="I941" s="29" t="s">
        <v>777</v>
      </c>
      <c r="J941" s="15" t="s">
        <v>747</v>
      </c>
      <c r="K941" s="15" t="s">
        <v>813</v>
      </c>
      <c r="L941" s="14">
        <v>32</v>
      </c>
      <c r="M941" s="35">
        <v>0</v>
      </c>
      <c r="N941" s="15" t="s">
        <v>400</v>
      </c>
      <c r="O941" s="25" t="s">
        <v>397</v>
      </c>
      <c r="P941" s="25">
        <v>1</v>
      </c>
      <c r="Q941" s="26" t="s">
        <v>80</v>
      </c>
      <c r="R941" s="27" t="s">
        <v>93</v>
      </c>
      <c r="S941" s="27" t="s">
        <v>405</v>
      </c>
      <c r="T941" s="27">
        <v>0</v>
      </c>
      <c r="U941" s="28">
        <v>1024</v>
      </c>
      <c r="V941" s="14"/>
      <c r="W941" s="14"/>
      <c r="X941" s="30" t="str">
        <f>IF(Table13[[#This Row],[value Type]]="","",VLOOKUP(Table13[[#This Row],[value Type]],Table2915[],2,FALSE))</f>
        <v>waveform</v>
      </c>
      <c r="Y941" s="30" t="str">
        <f>IF(Table13[[#This Row],[value Type]]="","",VLOOKUP(Table13[[#This Row],[value Type]],Table2915[],3,FALSE))</f>
        <v>asynParamFloat32Array</v>
      </c>
      <c r="Z941" s="64" t="str">
        <f>IF(Table13[[#This Row],[value Type]]="","",VLOOKUP(Table13[[#This Row],[value Type]],Table2915[],4,FALSE))</f>
        <v>"asynFloat32ArrayIn"</v>
      </c>
      <c r="AA941" s="64" t="str">
        <f>IF(Table13[[#This Row],[value Type]]="","",    IF(Table13[[#This Row],[IP MAX]]="","","@"  )     )</f>
        <v>@</v>
      </c>
      <c r="AB941" s="79" t="str">
        <f>IF(Table13[[#This Row],[value Type]]="","",VLOOKUP(Table13[[#This Row],[value Type]],Table2915[],5,FALSE))</f>
        <v>"FLOAT"</v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941" s="79">
        <f>IF(Table13[[#This Row],[value Type]]="","",VLOOKUP(Table13[[#This Row],[IP]],Table51117[],2,FALSE))</f>
        <v>6</v>
      </c>
      <c r="AE941" s="79" t="str">
        <f>IF(Table13[[#This Row],[value Type]]="","",    IF(Table13[[#This Row],[IP MAX]]="","0","@"  )     )</f>
        <v>@</v>
      </c>
      <c r="AF941" s="68">
        <f>IF(Table13[[#This Row],[value Type]]="","",VLOOKUP(Table13[[#This Row],[Acc Type]],Table2[],2,FALSE))</f>
        <v>0</v>
      </c>
      <c r="AG941" s="75">
        <f>IF(Table13[[#This Row],[value Type]]="","",4*HEX2DEC(Table13[[#This Row],[Addr'[HEX']]]))</f>
        <v>106496</v>
      </c>
      <c r="AH941" s="75">
        <f>IF(Table13[[#This Row],[value Type]]="","",VLOOKUP(Table13[[#This Row],[AddrTypeI]],Table22[],2,FALSE))</f>
        <v>0</v>
      </c>
      <c r="AI941" s="68">
        <f>IF(Table13[[#This Row],[value Type]]="","",VLOOKUP(Table13[[#This Row],[DataType]],Table351218[],2,FALSE))</f>
        <v>9</v>
      </c>
      <c r="AJ941" s="68">
        <f>IF(Table13[[#This Row],[value Type]]="","",Table13[[#This Row],[DataWidth]])</f>
        <v>32</v>
      </c>
      <c r="AK941" s="68">
        <f>IF(Table13[[#This Row],[value Type]]="","", Table13[[#This Row],[DataOffset]])</f>
        <v>0</v>
      </c>
      <c r="AL941" s="24"/>
      <c r="AM941" s="24" t="str">
        <f>IF(Table13[[#This Row],[value Type]]="","", "0x"&amp;DEC2HEX(Table13[[#This Row],[ADDR_Offset]],8) )</f>
        <v>0x0001A000</v>
      </c>
    </row>
    <row r="942" spans="2:39" x14ac:dyDescent="0.3">
      <c r="B942" s="14">
        <v>0</v>
      </c>
      <c r="C942" s="14" t="s">
        <v>811</v>
      </c>
      <c r="D942" s="14" t="s">
        <v>388</v>
      </c>
      <c r="E942" s="24" t="s">
        <v>278</v>
      </c>
      <c r="F942" s="24">
        <v>4</v>
      </c>
      <c r="G942" s="14" t="s">
        <v>767</v>
      </c>
      <c r="H942" s="15" t="s">
        <v>762</v>
      </c>
      <c r="I942" s="29" t="s">
        <v>778</v>
      </c>
      <c r="J942" s="15" t="s">
        <v>747</v>
      </c>
      <c r="K942" s="15" t="s">
        <v>813</v>
      </c>
      <c r="L942" s="14">
        <v>32</v>
      </c>
      <c r="M942" s="35">
        <v>0</v>
      </c>
      <c r="N942" s="15" t="s">
        <v>400</v>
      </c>
      <c r="O942" s="25" t="s">
        <v>397</v>
      </c>
      <c r="P942" s="25">
        <v>1</v>
      </c>
      <c r="Q942" s="26" t="s">
        <v>80</v>
      </c>
      <c r="R942" s="27" t="s">
        <v>93</v>
      </c>
      <c r="S942" s="27" t="s">
        <v>405</v>
      </c>
      <c r="T942" s="27">
        <v>0</v>
      </c>
      <c r="U942" s="28">
        <v>1024</v>
      </c>
      <c r="V942" s="14"/>
      <c r="W942" s="14"/>
      <c r="X942" s="30" t="str">
        <f>IF(Table13[[#This Row],[value Type]]="","",VLOOKUP(Table13[[#This Row],[value Type]],Table2915[],2,FALSE))</f>
        <v>waveform</v>
      </c>
      <c r="Y942" s="30" t="str">
        <f>IF(Table13[[#This Row],[value Type]]="","",VLOOKUP(Table13[[#This Row],[value Type]],Table2915[],3,FALSE))</f>
        <v>asynParamFloat32Array</v>
      </c>
      <c r="Z942" s="64" t="str">
        <f>IF(Table13[[#This Row],[value Type]]="","",VLOOKUP(Table13[[#This Row],[value Type]],Table2915[],4,FALSE))</f>
        <v>"asynFloat32ArrayIn"</v>
      </c>
      <c r="AA942" s="64" t="str">
        <f>IF(Table13[[#This Row],[value Type]]="","",    IF(Table13[[#This Row],[IP MAX]]="","","@"  )     )</f>
        <v>@</v>
      </c>
      <c r="AB942" s="79" t="str">
        <f>IF(Table13[[#This Row],[value Type]]="","",VLOOKUP(Table13[[#This Row],[value Type]],Table2915[],5,FALSE))</f>
        <v>"FLOAT"</v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942" s="79">
        <f>IF(Table13[[#This Row],[value Type]]="","",VLOOKUP(Table13[[#This Row],[IP]],Table51117[],2,FALSE))</f>
        <v>6</v>
      </c>
      <c r="AE942" s="79" t="str">
        <f>IF(Table13[[#This Row],[value Type]]="","",    IF(Table13[[#This Row],[IP MAX]]="","0","@"  )     )</f>
        <v>@</v>
      </c>
      <c r="AF942" s="68">
        <f>IF(Table13[[#This Row],[value Type]]="","",VLOOKUP(Table13[[#This Row],[Acc Type]],Table2[],2,FALSE))</f>
        <v>0</v>
      </c>
      <c r="AG942" s="75">
        <f>IF(Table13[[#This Row],[value Type]]="","",4*HEX2DEC(Table13[[#This Row],[Addr'[HEX']]]))</f>
        <v>110592</v>
      </c>
      <c r="AH942" s="75">
        <f>IF(Table13[[#This Row],[value Type]]="","",VLOOKUP(Table13[[#This Row],[AddrTypeI]],Table22[],2,FALSE))</f>
        <v>0</v>
      </c>
      <c r="AI942" s="68">
        <f>IF(Table13[[#This Row],[value Type]]="","",VLOOKUP(Table13[[#This Row],[DataType]],Table351218[],2,FALSE))</f>
        <v>9</v>
      </c>
      <c r="AJ942" s="68">
        <f>IF(Table13[[#This Row],[value Type]]="","",Table13[[#This Row],[DataWidth]])</f>
        <v>32</v>
      </c>
      <c r="AK942" s="68">
        <f>IF(Table13[[#This Row],[value Type]]="","", Table13[[#This Row],[DataOffset]])</f>
        <v>0</v>
      </c>
      <c r="AL942" s="24"/>
      <c r="AM942" s="24" t="str">
        <f>IF(Table13[[#This Row],[value Type]]="","", "0x"&amp;DEC2HEX(Table13[[#This Row],[ADDR_Offset]],8) )</f>
        <v>0x0001B000</v>
      </c>
    </row>
    <row r="943" spans="2:39" x14ac:dyDescent="0.3">
      <c r="B943" s="14">
        <v>0</v>
      </c>
      <c r="C943" s="14" t="s">
        <v>811</v>
      </c>
      <c r="D943" s="14" t="s">
        <v>388</v>
      </c>
      <c r="E943" s="24" t="s">
        <v>278</v>
      </c>
      <c r="F943" s="24">
        <v>4</v>
      </c>
      <c r="G943" s="14" t="s">
        <v>767</v>
      </c>
      <c r="H943" s="15" t="s">
        <v>763</v>
      </c>
      <c r="I943" s="29" t="s">
        <v>779</v>
      </c>
      <c r="J943" s="15" t="s">
        <v>747</v>
      </c>
      <c r="K943" s="15" t="s">
        <v>813</v>
      </c>
      <c r="L943" s="14">
        <v>32</v>
      </c>
      <c r="M943" s="35">
        <v>0</v>
      </c>
      <c r="N943" s="15" t="s">
        <v>400</v>
      </c>
      <c r="O943" s="25" t="s">
        <v>397</v>
      </c>
      <c r="P943" s="25">
        <v>1</v>
      </c>
      <c r="Q943" s="26" t="s">
        <v>80</v>
      </c>
      <c r="R943" s="27" t="s">
        <v>93</v>
      </c>
      <c r="S943" s="27" t="s">
        <v>405</v>
      </c>
      <c r="T943" s="27">
        <v>0</v>
      </c>
      <c r="U943" s="28">
        <v>1024</v>
      </c>
      <c r="V943" s="14"/>
      <c r="W943" s="14"/>
      <c r="X943" s="30" t="str">
        <f>IF(Table13[[#This Row],[value Type]]="","",VLOOKUP(Table13[[#This Row],[value Type]],Table2915[],2,FALSE))</f>
        <v>waveform</v>
      </c>
      <c r="Y943" s="30" t="str">
        <f>IF(Table13[[#This Row],[value Type]]="","",VLOOKUP(Table13[[#This Row],[value Type]],Table2915[],3,FALSE))</f>
        <v>asynParamFloat32Array</v>
      </c>
      <c r="Z943" s="64" t="str">
        <f>IF(Table13[[#This Row],[value Type]]="","",VLOOKUP(Table13[[#This Row],[value Type]],Table2915[],4,FALSE))</f>
        <v>"asynFloat32ArrayIn"</v>
      </c>
      <c r="AA943" s="64" t="str">
        <f>IF(Table13[[#This Row],[value Type]]="","",    IF(Table13[[#This Row],[IP MAX]]="","","@"  )     )</f>
        <v>@</v>
      </c>
      <c r="AB943" s="79" t="str">
        <f>IF(Table13[[#This Row],[value Type]]="","",VLOOKUP(Table13[[#This Row],[value Type]],Table2915[],5,FALSE))</f>
        <v>"FLOAT"</v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943" s="79">
        <f>IF(Table13[[#This Row],[value Type]]="","",VLOOKUP(Table13[[#This Row],[IP]],Table51117[],2,FALSE))</f>
        <v>6</v>
      </c>
      <c r="AE943" s="79" t="str">
        <f>IF(Table13[[#This Row],[value Type]]="","",    IF(Table13[[#This Row],[IP MAX]]="","0","@"  )     )</f>
        <v>@</v>
      </c>
      <c r="AF943" s="68">
        <f>IF(Table13[[#This Row],[value Type]]="","",VLOOKUP(Table13[[#This Row],[Acc Type]],Table2[],2,FALSE))</f>
        <v>0</v>
      </c>
      <c r="AG943" s="75">
        <f>IF(Table13[[#This Row],[value Type]]="","",4*HEX2DEC(Table13[[#This Row],[Addr'[HEX']]]))</f>
        <v>114688</v>
      </c>
      <c r="AH943" s="75">
        <f>IF(Table13[[#This Row],[value Type]]="","",VLOOKUP(Table13[[#This Row],[AddrTypeI]],Table22[],2,FALSE))</f>
        <v>0</v>
      </c>
      <c r="AI943" s="68">
        <f>IF(Table13[[#This Row],[value Type]]="","",VLOOKUP(Table13[[#This Row],[DataType]],Table351218[],2,FALSE))</f>
        <v>9</v>
      </c>
      <c r="AJ943" s="68">
        <f>IF(Table13[[#This Row],[value Type]]="","",Table13[[#This Row],[DataWidth]])</f>
        <v>32</v>
      </c>
      <c r="AK943" s="68">
        <f>IF(Table13[[#This Row],[value Type]]="","", Table13[[#This Row],[DataOffset]])</f>
        <v>0</v>
      </c>
      <c r="AL943" s="24"/>
      <c r="AM943" s="24" t="str">
        <f>IF(Table13[[#This Row],[value Type]]="","", "0x"&amp;DEC2HEX(Table13[[#This Row],[ADDR_Offset]],8) )</f>
        <v>0x0001C000</v>
      </c>
    </row>
    <row r="944" spans="2:39" x14ac:dyDescent="0.3">
      <c r="B944" s="14">
        <v>0</v>
      </c>
      <c r="C944" s="14" t="s">
        <v>811</v>
      </c>
      <c r="D944" s="14" t="s">
        <v>388</v>
      </c>
      <c r="E944" s="24" t="s">
        <v>278</v>
      </c>
      <c r="F944" s="24">
        <v>4</v>
      </c>
      <c r="G944" s="14" t="s">
        <v>767</v>
      </c>
      <c r="H944" s="15" t="s">
        <v>764</v>
      </c>
      <c r="I944" s="29" t="s">
        <v>780</v>
      </c>
      <c r="J944" s="15" t="s">
        <v>747</v>
      </c>
      <c r="K944" s="15" t="s">
        <v>813</v>
      </c>
      <c r="L944" s="14">
        <v>32</v>
      </c>
      <c r="M944" s="35">
        <v>0</v>
      </c>
      <c r="N944" s="15" t="s">
        <v>400</v>
      </c>
      <c r="O944" s="25" t="s">
        <v>397</v>
      </c>
      <c r="P944" s="25">
        <v>1</v>
      </c>
      <c r="Q944" s="26" t="s">
        <v>80</v>
      </c>
      <c r="R944" s="27" t="s">
        <v>93</v>
      </c>
      <c r="S944" s="27" t="s">
        <v>405</v>
      </c>
      <c r="T944" s="27">
        <v>0</v>
      </c>
      <c r="U944" s="28">
        <v>1024</v>
      </c>
      <c r="V944" s="14"/>
      <c r="W944" s="14"/>
      <c r="X944" s="30" t="str">
        <f>IF(Table13[[#This Row],[value Type]]="","",VLOOKUP(Table13[[#This Row],[value Type]],Table2915[],2,FALSE))</f>
        <v>waveform</v>
      </c>
      <c r="Y944" s="30" t="str">
        <f>IF(Table13[[#This Row],[value Type]]="","",VLOOKUP(Table13[[#This Row],[value Type]],Table2915[],3,FALSE))</f>
        <v>asynParamFloat32Array</v>
      </c>
      <c r="Z944" s="64" t="str">
        <f>IF(Table13[[#This Row],[value Type]]="","",VLOOKUP(Table13[[#This Row],[value Type]],Table2915[],4,FALSE))</f>
        <v>"asynFloat32ArrayIn"</v>
      </c>
      <c r="AA944" s="64" t="str">
        <f>IF(Table13[[#This Row],[value Type]]="","",    IF(Table13[[#This Row],[IP MAX]]="","","@"  )     )</f>
        <v>@</v>
      </c>
      <c r="AB944" s="79" t="str">
        <f>IF(Table13[[#This Row],[value Type]]="","",VLOOKUP(Table13[[#This Row],[value Type]],Table2915[],5,FALSE))</f>
        <v>"FLOAT"</v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944" s="79">
        <f>IF(Table13[[#This Row],[value Type]]="","",VLOOKUP(Table13[[#This Row],[IP]],Table51117[],2,FALSE))</f>
        <v>6</v>
      </c>
      <c r="AE944" s="79" t="str">
        <f>IF(Table13[[#This Row],[value Type]]="","",    IF(Table13[[#This Row],[IP MAX]]="","0","@"  )     )</f>
        <v>@</v>
      </c>
      <c r="AF944" s="68">
        <f>IF(Table13[[#This Row],[value Type]]="","",VLOOKUP(Table13[[#This Row],[Acc Type]],Table2[],2,FALSE))</f>
        <v>0</v>
      </c>
      <c r="AG944" s="75">
        <f>IF(Table13[[#This Row],[value Type]]="","",4*HEX2DEC(Table13[[#This Row],[Addr'[HEX']]]))</f>
        <v>118784</v>
      </c>
      <c r="AH944" s="75">
        <f>IF(Table13[[#This Row],[value Type]]="","",VLOOKUP(Table13[[#This Row],[AddrTypeI]],Table22[],2,FALSE))</f>
        <v>0</v>
      </c>
      <c r="AI944" s="68">
        <f>IF(Table13[[#This Row],[value Type]]="","",VLOOKUP(Table13[[#This Row],[DataType]],Table351218[],2,FALSE))</f>
        <v>9</v>
      </c>
      <c r="AJ944" s="68">
        <f>IF(Table13[[#This Row],[value Type]]="","",Table13[[#This Row],[DataWidth]])</f>
        <v>32</v>
      </c>
      <c r="AK944" s="68">
        <f>IF(Table13[[#This Row],[value Type]]="","", Table13[[#This Row],[DataOffset]])</f>
        <v>0</v>
      </c>
      <c r="AL944" s="24"/>
      <c r="AM944" s="24" t="str">
        <f>IF(Table13[[#This Row],[value Type]]="","", "0x"&amp;DEC2HEX(Table13[[#This Row],[ADDR_Offset]],8) )</f>
        <v>0x0001D000</v>
      </c>
    </row>
    <row r="945" spans="2:39" x14ac:dyDescent="0.3">
      <c r="B945" s="14">
        <v>0</v>
      </c>
      <c r="C945" s="14" t="s">
        <v>811</v>
      </c>
      <c r="D945" s="14" t="s">
        <v>388</v>
      </c>
      <c r="E945" s="24" t="s">
        <v>278</v>
      </c>
      <c r="F945" s="24">
        <v>4</v>
      </c>
      <c r="G945" s="14" t="s">
        <v>767</v>
      </c>
      <c r="H945" s="15" t="s">
        <v>765</v>
      </c>
      <c r="I945" s="29" t="s">
        <v>781</v>
      </c>
      <c r="J945" s="15" t="s">
        <v>747</v>
      </c>
      <c r="K945" s="15" t="s">
        <v>813</v>
      </c>
      <c r="L945" s="14">
        <v>32</v>
      </c>
      <c r="M945" s="35">
        <v>0</v>
      </c>
      <c r="N945" s="15" t="s">
        <v>400</v>
      </c>
      <c r="O945" s="25" t="s">
        <v>397</v>
      </c>
      <c r="P945" s="25">
        <v>1</v>
      </c>
      <c r="Q945" s="26" t="s">
        <v>80</v>
      </c>
      <c r="R945" s="27" t="s">
        <v>93</v>
      </c>
      <c r="S945" s="27" t="s">
        <v>405</v>
      </c>
      <c r="T945" s="27">
        <v>0</v>
      </c>
      <c r="U945" s="28">
        <v>1024</v>
      </c>
      <c r="V945" s="14"/>
      <c r="W945" s="14"/>
      <c r="X945" s="30" t="str">
        <f>IF(Table13[[#This Row],[value Type]]="","",VLOOKUP(Table13[[#This Row],[value Type]],Table2915[],2,FALSE))</f>
        <v>waveform</v>
      </c>
      <c r="Y945" s="30" t="str">
        <f>IF(Table13[[#This Row],[value Type]]="","",VLOOKUP(Table13[[#This Row],[value Type]],Table2915[],3,FALSE))</f>
        <v>asynParamFloat32Array</v>
      </c>
      <c r="Z945" s="64" t="str">
        <f>IF(Table13[[#This Row],[value Type]]="","",VLOOKUP(Table13[[#This Row],[value Type]],Table2915[],4,FALSE))</f>
        <v>"asynFloat32ArrayIn"</v>
      </c>
      <c r="AA945" s="64" t="str">
        <f>IF(Table13[[#This Row],[value Type]]="","",    IF(Table13[[#This Row],[IP MAX]]="","","@"  )     )</f>
        <v>@</v>
      </c>
      <c r="AB945" s="79" t="str">
        <f>IF(Table13[[#This Row],[value Type]]="","",VLOOKUP(Table13[[#This Row],[value Type]],Table2915[],5,FALSE))</f>
        <v>"FLOAT"</v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945" s="79">
        <f>IF(Table13[[#This Row],[value Type]]="","",VLOOKUP(Table13[[#This Row],[IP]],Table51117[],2,FALSE))</f>
        <v>6</v>
      </c>
      <c r="AE945" s="79" t="str">
        <f>IF(Table13[[#This Row],[value Type]]="","",    IF(Table13[[#This Row],[IP MAX]]="","0","@"  )     )</f>
        <v>@</v>
      </c>
      <c r="AF945" s="68">
        <f>IF(Table13[[#This Row],[value Type]]="","",VLOOKUP(Table13[[#This Row],[Acc Type]],Table2[],2,FALSE))</f>
        <v>0</v>
      </c>
      <c r="AG945" s="75">
        <f>IF(Table13[[#This Row],[value Type]]="","",4*HEX2DEC(Table13[[#This Row],[Addr'[HEX']]]))</f>
        <v>122880</v>
      </c>
      <c r="AH945" s="75">
        <f>IF(Table13[[#This Row],[value Type]]="","",VLOOKUP(Table13[[#This Row],[AddrTypeI]],Table22[],2,FALSE))</f>
        <v>0</v>
      </c>
      <c r="AI945" s="68">
        <f>IF(Table13[[#This Row],[value Type]]="","",VLOOKUP(Table13[[#This Row],[DataType]],Table351218[],2,FALSE))</f>
        <v>9</v>
      </c>
      <c r="AJ945" s="68">
        <f>IF(Table13[[#This Row],[value Type]]="","",Table13[[#This Row],[DataWidth]])</f>
        <v>32</v>
      </c>
      <c r="AK945" s="68">
        <f>IF(Table13[[#This Row],[value Type]]="","", Table13[[#This Row],[DataOffset]])</f>
        <v>0</v>
      </c>
      <c r="AL945" s="24"/>
      <c r="AM945" s="24" t="str">
        <f>IF(Table13[[#This Row],[value Type]]="","", "0x"&amp;DEC2HEX(Table13[[#This Row],[ADDR_Offset]],8) )</f>
        <v>0x0001E000</v>
      </c>
    </row>
    <row r="946" spans="2:39" x14ac:dyDescent="0.3">
      <c r="B946" s="14">
        <v>0</v>
      </c>
      <c r="C946" s="14" t="s">
        <v>811</v>
      </c>
      <c r="D946" s="14" t="s">
        <v>388</v>
      </c>
      <c r="E946" s="24" t="s">
        <v>278</v>
      </c>
      <c r="F946" s="24">
        <v>4</v>
      </c>
      <c r="G946" s="14" t="s">
        <v>767</v>
      </c>
      <c r="H946" s="15" t="s">
        <v>766</v>
      </c>
      <c r="I946" s="29" t="s">
        <v>782</v>
      </c>
      <c r="J946" s="15" t="s">
        <v>747</v>
      </c>
      <c r="K946" s="15" t="s">
        <v>813</v>
      </c>
      <c r="L946" s="14">
        <v>32</v>
      </c>
      <c r="M946" s="35">
        <v>0</v>
      </c>
      <c r="N946" s="15" t="s">
        <v>400</v>
      </c>
      <c r="O946" s="25" t="s">
        <v>397</v>
      </c>
      <c r="P946" s="25">
        <v>1</v>
      </c>
      <c r="Q946" s="26" t="s">
        <v>80</v>
      </c>
      <c r="R946" s="27" t="s">
        <v>93</v>
      </c>
      <c r="S946" s="27" t="s">
        <v>405</v>
      </c>
      <c r="T946" s="27">
        <v>0</v>
      </c>
      <c r="U946" s="28">
        <v>1024</v>
      </c>
      <c r="V946" s="14"/>
      <c r="W946" s="14"/>
      <c r="X946" s="30" t="str">
        <f>IF(Table13[[#This Row],[value Type]]="","",VLOOKUP(Table13[[#This Row],[value Type]],Table2915[],2,FALSE))</f>
        <v>waveform</v>
      </c>
      <c r="Y946" s="30" t="str">
        <f>IF(Table13[[#This Row],[value Type]]="","",VLOOKUP(Table13[[#This Row],[value Type]],Table2915[],3,FALSE))</f>
        <v>asynParamFloat32Array</v>
      </c>
      <c r="Z946" s="64" t="str">
        <f>IF(Table13[[#This Row],[value Type]]="","",VLOOKUP(Table13[[#This Row],[value Type]],Table2915[],4,FALSE))</f>
        <v>"asynFloat32ArrayIn"</v>
      </c>
      <c r="AA946" s="64" t="str">
        <f>IF(Table13[[#This Row],[value Type]]="","",    IF(Table13[[#This Row],[IP MAX]]="","","@"  )     )</f>
        <v>@</v>
      </c>
      <c r="AB946" s="79" t="str">
        <f>IF(Table13[[#This Row],[value Type]]="","",VLOOKUP(Table13[[#This Row],[value Type]],Table2915[],5,FALSE))</f>
        <v>"FLOAT"</v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946" s="79">
        <f>IF(Table13[[#This Row],[value Type]]="","",VLOOKUP(Table13[[#This Row],[IP]],Table51117[],2,FALSE))</f>
        <v>6</v>
      </c>
      <c r="AE946" s="79" t="str">
        <f>IF(Table13[[#This Row],[value Type]]="","",    IF(Table13[[#This Row],[IP MAX]]="","0","@"  )     )</f>
        <v>@</v>
      </c>
      <c r="AF946" s="68">
        <f>IF(Table13[[#This Row],[value Type]]="","",VLOOKUP(Table13[[#This Row],[Acc Type]],Table2[],2,FALSE))</f>
        <v>0</v>
      </c>
      <c r="AG946" s="75">
        <f>IF(Table13[[#This Row],[value Type]]="","",4*HEX2DEC(Table13[[#This Row],[Addr'[HEX']]]))</f>
        <v>126976</v>
      </c>
      <c r="AH946" s="75">
        <f>IF(Table13[[#This Row],[value Type]]="","",VLOOKUP(Table13[[#This Row],[AddrTypeI]],Table22[],2,FALSE))</f>
        <v>0</v>
      </c>
      <c r="AI946" s="68">
        <f>IF(Table13[[#This Row],[value Type]]="","",VLOOKUP(Table13[[#This Row],[DataType]],Table351218[],2,FALSE))</f>
        <v>9</v>
      </c>
      <c r="AJ946" s="68">
        <f>IF(Table13[[#This Row],[value Type]]="","",Table13[[#This Row],[DataWidth]])</f>
        <v>32</v>
      </c>
      <c r="AK946" s="68">
        <f>IF(Table13[[#This Row],[value Type]]="","", Table13[[#This Row],[DataOffset]])</f>
        <v>0</v>
      </c>
      <c r="AL946" s="24"/>
      <c r="AM946" s="24" t="str">
        <f>IF(Table13[[#This Row],[value Type]]="","", "0x"&amp;DEC2HEX(Table13[[#This Row],[ADDR_Offset]],8) )</f>
        <v>0x0001F000</v>
      </c>
    </row>
    <row r="947" spans="2:39" x14ac:dyDescent="0.3">
      <c r="B947" s="14">
        <v>0</v>
      </c>
      <c r="C947" s="14"/>
      <c r="D947" s="14"/>
      <c r="E947" s="24"/>
      <c r="F947" s="24"/>
      <c r="G947" s="14"/>
      <c r="H947" s="15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/>
      <c r="Y947" s="30"/>
      <c r="Z947" s="64"/>
      <c r="AA947" s="64"/>
      <c r="AB947" s="79"/>
      <c r="AC947" s="12"/>
      <c r="AD947" s="84"/>
      <c r="AE947" s="79"/>
      <c r="AF947" s="68"/>
      <c r="AG947" s="75"/>
      <c r="AH947" s="75"/>
      <c r="AI947" s="81"/>
      <c r="AJ947" s="81"/>
      <c r="AK947" s="81"/>
      <c r="AL947" s="24"/>
      <c r="AM947" s="24"/>
    </row>
    <row r="948" spans="2:39" x14ac:dyDescent="0.3">
      <c r="B948" s="14">
        <v>0</v>
      </c>
      <c r="C948" s="14" t="s">
        <v>783</v>
      </c>
      <c r="D948" s="14"/>
      <c r="E948" s="24"/>
      <c r="F948" s="24"/>
      <c r="G948" s="14"/>
      <c r="H948" s="15"/>
      <c r="I948" s="29"/>
      <c r="J948" s="15" t="s">
        <v>747</v>
      </c>
      <c r="K948" s="15"/>
      <c r="L948" s="14"/>
      <c r="M948" s="35"/>
      <c r="N948" s="15"/>
      <c r="O948" s="25"/>
      <c r="P948" s="25"/>
      <c r="Q948" s="15"/>
      <c r="R948" s="26"/>
      <c r="S948" s="27"/>
      <c r="T948" s="27"/>
      <c r="U948" s="28"/>
      <c r="V948" s="14"/>
      <c r="W948" s="14"/>
      <c r="X948" s="30">
        <f>IF(Table13[[#This Row],[value Type]]="","",VLOOKUP(Table13[[#This Row],[value Type]],Table2915[],2,FALSE))</f>
        <v>0</v>
      </c>
      <c r="Y948" s="30">
        <f>IF(Table13[[#This Row],[value Type]]="","",VLOOKUP(Table13[[#This Row],[value Type]],Table2915[],3,FALSE))</f>
        <v>0</v>
      </c>
      <c r="Z948" s="64">
        <f>IF(Table13[[#This Row],[value Type]]="","",VLOOKUP(Table13[[#This Row],[value Type]],Table2915[],4,FALSE))</f>
        <v>0</v>
      </c>
      <c r="AA948" s="64" t="str">
        <f>IF(Table13[[#This Row],[value Type]]="","",    IF(Table13[[#This Row],[IP MAX]]="","","@"  )     )</f>
        <v/>
      </c>
      <c r="AB948" s="79">
        <f>IF(Table13[[#This Row],[value Type]]="","",VLOOKUP(Table13[[#This Row],[value Type]],Table2915[],5,FALSE))</f>
        <v>0</v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48" s="79" t="e">
        <f>IF(Table13[[#This Row],[value Type]]="","",VLOOKUP(Table13[[#This Row],[IP]],Table51117[],2,FALSE))</f>
        <v>#N/A</v>
      </c>
      <c r="AE948" s="79" t="str">
        <f>IF(Table13[[#This Row],[value Type]]="","",    IF(Table13[[#This Row],[IP MAX]]="","0","@"  )     )</f>
        <v>0</v>
      </c>
      <c r="AF948" s="68" t="e">
        <f>IF(Table13[[#This Row],[value Type]]="","",VLOOKUP(Table13[[#This Row],[Acc Type]],Table2[],2,FALSE))</f>
        <v>#N/A</v>
      </c>
      <c r="AG948" s="75">
        <f>IF(Table13[[#This Row],[value Type]]="","",4*HEX2DEC(Table13[[#This Row],[Addr'[HEX']]]))</f>
        <v>0</v>
      </c>
      <c r="AH948" s="75">
        <f>IF(Table13[[#This Row],[value Type]]="","",VLOOKUP(Table13[[#This Row],[AddrTypeI]],Table22[],2,FALSE))</f>
        <v>0</v>
      </c>
      <c r="AI948" s="68" t="e">
        <f>IF(Table13[[#This Row],[value Type]]="","",VLOOKUP(Table13[[#This Row],[DataType]],Table351218[],2,FALSE))</f>
        <v>#N/A</v>
      </c>
      <c r="AJ948" s="68">
        <f>IF(Table13[[#This Row],[value Type]]="","",Table13[[#This Row],[DataWidth]])</f>
        <v>0</v>
      </c>
      <c r="AK948" s="68">
        <f>IF(Table13[[#This Row],[value Type]]="","", Table13[[#This Row],[DataOffset]])</f>
        <v>0</v>
      </c>
      <c r="AL948" s="24"/>
      <c r="AM948" s="24" t="str">
        <f>IF(Table13[[#This Row],[value Type]]="","", "0x"&amp;DEC2HEX(Table13[[#This Row],[ADDR_Offset]],8) )</f>
        <v>0x00000000</v>
      </c>
    </row>
    <row r="949" spans="2:39" x14ac:dyDescent="0.3">
      <c r="B949" s="14">
        <v>0</v>
      </c>
      <c r="C949" s="14"/>
      <c r="D949" s="14"/>
      <c r="E949" s="24"/>
      <c r="F949" s="24"/>
      <c r="G949" s="14"/>
      <c r="H949" s="15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/>
      <c r="Y949" s="30"/>
      <c r="Z949" s="64"/>
      <c r="AA949" s="64"/>
      <c r="AB949" s="79"/>
      <c r="AC949" s="12"/>
      <c r="AD949" s="84"/>
      <c r="AE949" s="79"/>
      <c r="AF949" s="68"/>
      <c r="AG949" s="75"/>
      <c r="AH949" s="75"/>
      <c r="AI949" s="81"/>
      <c r="AJ949" s="81"/>
      <c r="AK949" s="81"/>
      <c r="AL949" s="24"/>
      <c r="AM949" s="24"/>
    </row>
    <row r="950" spans="2:39" x14ac:dyDescent="0.3">
      <c r="B950" s="14">
        <v>0</v>
      </c>
      <c r="C950" s="14"/>
      <c r="D950" s="14"/>
      <c r="E950" s="24"/>
      <c r="F950" s="24"/>
      <c r="G950" s="14"/>
      <c r="H950" s="15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/>
      <c r="Y950" s="30"/>
      <c r="Z950" s="64"/>
      <c r="AA950" s="64"/>
      <c r="AB950" s="79"/>
      <c r="AC950" s="12"/>
      <c r="AD950" s="84"/>
      <c r="AE950" s="79"/>
      <c r="AF950" s="68"/>
      <c r="AG950" s="75"/>
      <c r="AH950" s="75"/>
      <c r="AI950" s="81"/>
      <c r="AJ950" s="81"/>
      <c r="AK950" s="81"/>
      <c r="AL950" s="24"/>
      <c r="AM950" s="24"/>
    </row>
    <row r="951" spans="2:39" x14ac:dyDescent="0.3">
      <c r="B951" s="14">
        <v>0</v>
      </c>
      <c r="C951" s="14"/>
      <c r="D951" s="14"/>
      <c r="E951" s="24"/>
      <c r="F951" s="24"/>
      <c r="G951" s="14"/>
      <c r="H951" s="15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/>
      <c r="Y951" s="30"/>
      <c r="Z951" s="64"/>
      <c r="AA951" s="64"/>
      <c r="AB951" s="79"/>
      <c r="AC951" s="12"/>
      <c r="AD951" s="84"/>
      <c r="AE951" s="79"/>
      <c r="AF951" s="68"/>
      <c r="AG951" s="75"/>
      <c r="AH951" s="75"/>
      <c r="AI951" s="81"/>
      <c r="AJ951" s="81"/>
      <c r="AK951" s="81"/>
      <c r="AL951" s="24"/>
      <c r="AM951" s="24"/>
    </row>
    <row r="952" spans="2:39" x14ac:dyDescent="0.3">
      <c r="B952" s="14">
        <v>0</v>
      </c>
      <c r="C952" s="14"/>
      <c r="D952" s="14"/>
      <c r="E952" s="24"/>
      <c r="F952" s="24"/>
      <c r="G952" s="14"/>
      <c r="H952" s="15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/>
      <c r="Y952" s="30"/>
      <c r="Z952" s="64"/>
      <c r="AA952" s="64"/>
      <c r="AB952" s="79"/>
      <c r="AC952" s="12"/>
      <c r="AD952" s="84"/>
      <c r="AE952" s="79"/>
      <c r="AF952" s="68"/>
      <c r="AG952" s="75"/>
      <c r="AH952" s="75"/>
      <c r="AI952" s="81"/>
      <c r="AJ952" s="81"/>
      <c r="AK952" s="81"/>
      <c r="AL952" s="24"/>
      <c r="AM952" s="24"/>
    </row>
    <row r="953" spans="2:39" x14ac:dyDescent="0.3">
      <c r="B953" s="14">
        <v>0</v>
      </c>
      <c r="C953" s="14"/>
      <c r="D953" s="14"/>
      <c r="E953" s="24"/>
      <c r="F953" s="24"/>
      <c r="G953" s="14"/>
      <c r="H953" s="15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/>
      <c r="Y953" s="30"/>
      <c r="Z953" s="64"/>
      <c r="AA953" s="64"/>
      <c r="AB953" s="79"/>
      <c r="AC953" s="12"/>
      <c r="AD953" s="84"/>
      <c r="AE953" s="79"/>
      <c r="AF953" s="68"/>
      <c r="AG953" s="75"/>
      <c r="AH953" s="75"/>
      <c r="AI953" s="81"/>
      <c r="AJ953" s="81"/>
      <c r="AK953" s="81"/>
      <c r="AL953" s="24"/>
      <c r="AM953" s="24"/>
    </row>
    <row r="954" spans="2:39" x14ac:dyDescent="0.3">
      <c r="B954" s="14">
        <v>0</v>
      </c>
      <c r="C954" s="14"/>
      <c r="D954" s="14"/>
      <c r="E954" s="24"/>
      <c r="F954" s="24"/>
      <c r="G954" s="14"/>
      <c r="H954" s="15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/>
      <c r="Y954" s="30"/>
      <c r="Z954" s="64"/>
      <c r="AA954" s="64"/>
      <c r="AB954" s="79"/>
      <c r="AC954" s="12"/>
      <c r="AD954" s="84"/>
      <c r="AE954" s="79"/>
      <c r="AF954" s="68"/>
      <c r="AG954" s="75"/>
      <c r="AH954" s="75"/>
      <c r="AI954" s="81"/>
      <c r="AJ954" s="81"/>
      <c r="AK954" s="81"/>
      <c r="AL954" s="24"/>
      <c r="AM954" s="24"/>
    </row>
    <row r="955" spans="2:39" x14ac:dyDescent="0.3">
      <c r="B955" s="14">
        <v>0</v>
      </c>
      <c r="C955" s="14"/>
      <c r="D955" s="14"/>
      <c r="E955" s="24"/>
      <c r="F955" s="24"/>
      <c r="G955" s="14"/>
      <c r="H955" s="15"/>
      <c r="I955" s="29"/>
      <c r="J955" s="15"/>
      <c r="K955" s="15"/>
      <c r="L955" s="14"/>
      <c r="M955" s="35"/>
      <c r="N955" s="15"/>
      <c r="O955" s="88"/>
      <c r="P955" s="25"/>
      <c r="Q955" s="15"/>
      <c r="R955" s="26"/>
      <c r="S955" s="27"/>
      <c r="T955" s="27"/>
      <c r="U955" s="28"/>
      <c r="V955" s="14"/>
      <c r="W955" s="14"/>
      <c r="X955" s="30"/>
      <c r="Y955" s="30"/>
      <c r="Z955" s="64"/>
      <c r="AA955" s="64"/>
      <c r="AB955" s="79"/>
      <c r="AC955" s="12"/>
      <c r="AD955" s="84"/>
      <c r="AE955" s="79"/>
      <c r="AF955" s="68"/>
      <c r="AG955" s="75"/>
      <c r="AH955" s="75"/>
      <c r="AI955" s="81"/>
      <c r="AJ955" s="81"/>
      <c r="AK955" s="81"/>
      <c r="AL955" s="24"/>
      <c r="AM955" s="24"/>
    </row>
    <row r="956" spans="2:39" x14ac:dyDescent="0.3">
      <c r="B956" s="14">
        <v>0</v>
      </c>
      <c r="C956" s="14"/>
      <c r="D956" s="14"/>
      <c r="E956" s="24"/>
      <c r="F956" s="24"/>
      <c r="G956" s="14"/>
      <c r="H956" s="15"/>
      <c r="I956" s="29"/>
      <c r="J956" s="15"/>
      <c r="K956" s="15"/>
      <c r="L956" s="14"/>
      <c r="M956" s="35"/>
      <c r="N956" s="15"/>
      <c r="O956" s="88"/>
      <c r="P956" s="25"/>
      <c r="Q956" s="15"/>
      <c r="R956" s="26"/>
      <c r="S956" s="27"/>
      <c r="T956" s="27"/>
      <c r="U956" s="28"/>
      <c r="V956" s="14"/>
      <c r="W956" s="14"/>
      <c r="X956" s="30"/>
      <c r="Y956" s="30"/>
      <c r="Z956" s="64"/>
      <c r="AA956" s="64"/>
      <c r="AB956" s="79"/>
      <c r="AC956" s="12"/>
      <c r="AD956" s="84"/>
      <c r="AE956" s="79"/>
      <c r="AF956" s="68"/>
      <c r="AG956" s="75"/>
      <c r="AH956" s="75"/>
      <c r="AI956" s="81"/>
      <c r="AJ956" s="81"/>
      <c r="AK956" s="81"/>
      <c r="AL956" s="24"/>
      <c r="AM956" s="24"/>
    </row>
    <row r="957" spans="2:39" x14ac:dyDescent="0.3">
      <c r="B957" s="14">
        <v>0</v>
      </c>
      <c r="C957" s="14"/>
      <c r="D957" s="14"/>
      <c r="E957" s="24"/>
      <c r="F957" s="24"/>
      <c r="G957" s="14"/>
      <c r="H957" s="15"/>
      <c r="I957" s="29"/>
      <c r="J957" s="15"/>
      <c r="K957" s="15"/>
      <c r="L957" s="14"/>
      <c r="M957" s="35"/>
      <c r="N957" s="15"/>
      <c r="O957" s="88"/>
      <c r="P957" s="25"/>
      <c r="Q957" s="15"/>
      <c r="R957" s="26"/>
      <c r="S957" s="27"/>
      <c r="T957" s="27"/>
      <c r="U957" s="28"/>
      <c r="V957" s="14"/>
      <c r="W957" s="14"/>
      <c r="X957" s="30"/>
      <c r="Y957" s="30"/>
      <c r="Z957" s="64"/>
      <c r="AA957" s="64"/>
      <c r="AB957" s="79"/>
      <c r="AC957" s="12"/>
      <c r="AD957" s="84"/>
      <c r="AE957" s="79"/>
      <c r="AF957" s="68"/>
      <c r="AG957" s="75"/>
      <c r="AH957" s="75"/>
      <c r="AI957" s="81"/>
      <c r="AJ957" s="81"/>
      <c r="AK957" s="81"/>
      <c r="AL957" s="24"/>
      <c r="AM957" s="24"/>
    </row>
    <row r="958" spans="2:39" x14ac:dyDescent="0.3">
      <c r="B958" s="14">
        <v>0</v>
      </c>
      <c r="C958" s="14"/>
      <c r="D958" s="14"/>
      <c r="E958" s="24"/>
      <c r="F958" s="24"/>
      <c r="G958" s="14"/>
      <c r="H958" s="15"/>
      <c r="I958" s="29"/>
      <c r="J958" s="15"/>
      <c r="K958" s="15"/>
      <c r="L958" s="14"/>
      <c r="M958" s="35"/>
      <c r="N958" s="15"/>
      <c r="O958" s="88"/>
      <c r="P958" s="25"/>
      <c r="Q958" s="15"/>
      <c r="R958" s="26"/>
      <c r="S958" s="27"/>
      <c r="T958" s="27"/>
      <c r="U958" s="28"/>
      <c r="V958" s="14"/>
      <c r="W958" s="14"/>
      <c r="X958" s="30"/>
      <c r="Y958" s="30"/>
      <c r="Z958" s="64"/>
      <c r="AA958" s="64"/>
      <c r="AB958" s="79"/>
      <c r="AC958" s="12"/>
      <c r="AD958" s="84"/>
      <c r="AE958" s="79"/>
      <c r="AF958" s="68"/>
      <c r="AG958" s="75"/>
      <c r="AH958" s="75"/>
      <c r="AI958" s="81"/>
      <c r="AJ958" s="81"/>
      <c r="AK958" s="81"/>
      <c r="AL958" s="24"/>
      <c r="AM958" s="24"/>
    </row>
    <row r="959" spans="2:39" x14ac:dyDescent="0.3">
      <c r="B959" s="14">
        <v>0</v>
      </c>
      <c r="C959" s="14"/>
      <c r="D959" s="14"/>
      <c r="E959" s="24"/>
      <c r="F959" s="24"/>
      <c r="G959" s="14"/>
      <c r="H959" s="15"/>
      <c r="I959" s="29"/>
      <c r="J959" s="15"/>
      <c r="K959" s="15"/>
      <c r="L959" s="14"/>
      <c r="M959" s="35"/>
      <c r="N959" s="15"/>
      <c r="O959" s="88"/>
      <c r="P959" s="25"/>
      <c r="Q959" s="15"/>
      <c r="R959" s="26"/>
      <c r="S959" s="27"/>
      <c r="T959" s="27"/>
      <c r="U959" s="28"/>
      <c r="V959" s="14"/>
      <c r="W959" s="14"/>
      <c r="X959" s="30"/>
      <c r="Y959" s="30"/>
      <c r="Z959" s="64"/>
      <c r="AA959" s="64"/>
      <c r="AB959" s="79"/>
      <c r="AC959" s="12"/>
      <c r="AD959" s="84"/>
      <c r="AE959" s="79"/>
      <c r="AF959" s="68"/>
      <c r="AG959" s="75"/>
      <c r="AH959" s="75"/>
      <c r="AI959" s="81"/>
      <c r="AJ959" s="81"/>
      <c r="AK959" s="81"/>
      <c r="AL959" s="24"/>
      <c r="AM959" s="24"/>
    </row>
    <row r="960" spans="2:39" x14ac:dyDescent="0.3">
      <c r="B960" s="14">
        <v>0</v>
      </c>
      <c r="C960" s="14"/>
      <c r="D960" s="14"/>
      <c r="E960" s="24"/>
      <c r="F960" s="24"/>
      <c r="G960" s="14"/>
      <c r="H960" s="15"/>
      <c r="I960" s="29"/>
      <c r="J960" s="15"/>
      <c r="K960" s="15"/>
      <c r="L960" s="14"/>
      <c r="M960" s="35"/>
      <c r="N960" s="15"/>
      <c r="O960" s="88"/>
      <c r="P960" s="25"/>
      <c r="Q960" s="15"/>
      <c r="R960" s="26"/>
      <c r="S960" s="27"/>
      <c r="T960" s="27"/>
      <c r="U960" s="28"/>
      <c r="V960" s="14"/>
      <c r="W960" s="14"/>
      <c r="X960" s="30"/>
      <c r="Y960" s="30"/>
      <c r="Z960" s="64"/>
      <c r="AA960" s="64"/>
      <c r="AB960" s="79"/>
      <c r="AC960" s="12"/>
      <c r="AD960" s="84"/>
      <c r="AE960" s="79"/>
      <c r="AF960" s="68"/>
      <c r="AG960" s="75"/>
      <c r="AH960" s="75"/>
      <c r="AI960" s="81"/>
      <c r="AJ960" s="81"/>
      <c r="AK960" s="81"/>
      <c r="AL960" s="24"/>
      <c r="AM960" s="24"/>
    </row>
    <row r="961" spans="2:39" x14ac:dyDescent="0.3">
      <c r="B961" s="14">
        <v>0</v>
      </c>
      <c r="C961" s="14"/>
      <c r="D961" s="14"/>
      <c r="E961" s="24"/>
      <c r="F961" s="24"/>
      <c r="G961" s="14"/>
      <c r="H961" s="15"/>
      <c r="I961" s="29"/>
      <c r="J961" s="15"/>
      <c r="K961" s="15"/>
      <c r="L961" s="14"/>
      <c r="M961" s="35"/>
      <c r="N961" s="15"/>
      <c r="O961" s="88"/>
      <c r="P961" s="25"/>
      <c r="Q961" s="15"/>
      <c r="R961" s="26"/>
      <c r="S961" s="27"/>
      <c r="T961" s="27"/>
      <c r="U961" s="28"/>
      <c r="V961" s="14"/>
      <c r="W961" s="14"/>
      <c r="X961" s="30"/>
      <c r="Y961" s="30"/>
      <c r="Z961" s="64"/>
      <c r="AA961" s="64"/>
      <c r="AB961" s="79"/>
      <c r="AC961" s="12"/>
      <c r="AD961" s="84"/>
      <c r="AE961" s="79"/>
      <c r="AF961" s="68"/>
      <c r="AG961" s="75"/>
      <c r="AH961" s="75"/>
      <c r="AI961" s="81"/>
      <c r="AJ961" s="81"/>
      <c r="AK961" s="81"/>
      <c r="AL961" s="24"/>
      <c r="AM961" s="24"/>
    </row>
    <row r="962" spans="2:39" x14ac:dyDescent="0.3">
      <c r="B962" s="14">
        <v>0</v>
      </c>
      <c r="C962" s="14"/>
      <c r="D962" s="14"/>
      <c r="E962" s="24"/>
      <c r="F962" s="24"/>
      <c r="G962" s="14"/>
      <c r="H962" s="15"/>
      <c r="I962" s="29"/>
      <c r="J962" s="15"/>
      <c r="K962" s="15"/>
      <c r="L962" s="14"/>
      <c r="M962" s="35"/>
      <c r="N962" s="15"/>
      <c r="O962" s="88"/>
      <c r="P962" s="25"/>
      <c r="Q962" s="15"/>
      <c r="R962" s="26"/>
      <c r="S962" s="27"/>
      <c r="T962" s="27"/>
      <c r="U962" s="28"/>
      <c r="V962" s="14"/>
      <c r="W962" s="14"/>
      <c r="X962" s="30"/>
      <c r="Y962" s="30"/>
      <c r="Z962" s="64"/>
      <c r="AA962" s="64"/>
      <c r="AB962" s="79"/>
      <c r="AC962" s="12"/>
      <c r="AD962" s="84"/>
      <c r="AE962" s="79"/>
      <c r="AF962" s="68"/>
      <c r="AG962" s="75"/>
      <c r="AH962" s="75"/>
      <c r="AI962" s="81"/>
      <c r="AJ962" s="81"/>
      <c r="AK962" s="81"/>
      <c r="AL962" s="24"/>
      <c r="AM962" s="24"/>
    </row>
    <row r="963" spans="2:39" x14ac:dyDescent="0.3">
      <c r="B963" s="14">
        <v>0</v>
      </c>
      <c r="C963" s="14"/>
      <c r="D963" s="14"/>
      <c r="E963" s="24"/>
      <c r="F963" s="24"/>
      <c r="G963" s="14"/>
      <c r="H963" s="15"/>
      <c r="I963" s="29"/>
      <c r="J963" s="15" t="s">
        <v>747</v>
      </c>
      <c r="K963" s="15"/>
      <c r="L963" s="14"/>
      <c r="M963" s="35"/>
      <c r="N963" s="15"/>
      <c r="O963" s="25"/>
      <c r="P963" s="25"/>
      <c r="Q963" s="15"/>
      <c r="R963" s="26"/>
      <c r="S963" s="27"/>
      <c r="T963" s="27"/>
      <c r="U963" s="28"/>
      <c r="V963" s="14"/>
      <c r="W963" s="14"/>
      <c r="X963" s="30" t="str">
        <f>IF(Table13[[#This Row],[value Type]]="","",VLOOKUP(Table13[[#This Row],[value Type]],Table2915[],2,FALSE))</f>
        <v/>
      </c>
      <c r="Y963" s="30" t="str">
        <f>IF(Table13[[#This Row],[value Type]]="","",VLOOKUP(Table13[[#This Row],[value Type]],Table2915[],3,FALSE))</f>
        <v/>
      </c>
      <c r="Z963" s="64" t="str">
        <f>IF(Table13[[#This Row],[value Type]]="","",VLOOKUP(Table13[[#This Row],[value Type]],Table2915[],4,FALSE))</f>
        <v/>
      </c>
      <c r="AA963" s="64" t="str">
        <f>IF(Table13[[#This Row],[value Type]]="","",    IF(Table13[[#This Row],[IP MAX]]="","","@"  )     )</f>
        <v/>
      </c>
      <c r="AB963" s="79" t="str">
        <f>IF(Table13[[#This Row],[value Type]]="","",VLOOKUP(Table13[[#This Row],[value Type]],Table2915[],5,FALSE))</f>
        <v/>
      </c>
      <c r="AC9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3" s="79" t="str">
        <f>IF(Table13[[#This Row],[value Type]]="","",VLOOKUP(Table13[[#This Row],[IP]],Table51117[],2,FALSE))</f>
        <v/>
      </c>
      <c r="AE963" s="79" t="str">
        <f>IF(Table13[[#This Row],[value Type]]="","",    IF(Table13[[#This Row],[IP MAX]]="","0","@"  )     )</f>
        <v/>
      </c>
      <c r="AF963" s="68" t="str">
        <f>IF(Table13[[#This Row],[value Type]]="","",VLOOKUP(Table13[[#This Row],[Acc Type]],Table2[],2,FALSE))</f>
        <v/>
      </c>
      <c r="AG963" s="75" t="str">
        <f>IF(Table13[[#This Row],[value Type]]="","",4*HEX2DEC(Table13[[#This Row],[Addr'[HEX']]]))</f>
        <v/>
      </c>
      <c r="AH963" s="75" t="str">
        <f>IF(Table13[[#This Row],[value Type]]="","",VLOOKUP(Table13[[#This Row],[AddrTypeI]],Table22[],2,FALSE))</f>
        <v/>
      </c>
      <c r="AI963" s="68" t="str">
        <f>IF(Table13[[#This Row],[value Type]]="","",VLOOKUP(Table13[[#This Row],[DataType]],Table351218[],2,FALSE))</f>
        <v/>
      </c>
      <c r="AJ963" s="68" t="str">
        <f>IF(Table13[[#This Row],[value Type]]="","",Table13[[#This Row],[DataWidth]])</f>
        <v/>
      </c>
      <c r="AK963" s="68" t="str">
        <f>IF(Table13[[#This Row],[value Type]]="","", Table13[[#This Row],[DataOffset]])</f>
        <v/>
      </c>
      <c r="AL963" s="24"/>
      <c r="AM963" s="24" t="str">
        <f>IF(Table13[[#This Row],[value Type]]="","", "0x"&amp;DEC2HEX(Table13[[#This Row],[ADDR_Offset]],8) )</f>
        <v/>
      </c>
    </row>
    <row r="964" spans="2:39" x14ac:dyDescent="0.3">
      <c r="B964" s="14">
        <v>0</v>
      </c>
      <c r="C964" s="14"/>
      <c r="D964" s="14"/>
      <c r="E964" s="24"/>
      <c r="F964" s="24"/>
      <c r="G964" s="14"/>
      <c r="H964" s="15"/>
      <c r="I964" s="29"/>
      <c r="J964" s="15" t="s">
        <v>747</v>
      </c>
      <c r="K964" s="15"/>
      <c r="L964" s="14"/>
      <c r="M964" s="35"/>
      <c r="N964" s="15"/>
      <c r="O964" s="25"/>
      <c r="P964" s="25"/>
      <c r="Q964" s="15"/>
      <c r="R964" s="26"/>
      <c r="S964" s="27"/>
      <c r="T964" s="27"/>
      <c r="U964" s="28"/>
      <c r="V964" s="14"/>
      <c r="W964" s="14"/>
      <c r="X964" s="30" t="str">
        <f>IF(Table13[[#This Row],[value Type]]="","",VLOOKUP(Table13[[#This Row],[value Type]],Table2915[],2,FALSE))</f>
        <v/>
      </c>
      <c r="Y964" s="30" t="str">
        <f>IF(Table13[[#This Row],[value Type]]="","",VLOOKUP(Table13[[#This Row],[value Type]],Table2915[],3,FALSE))</f>
        <v/>
      </c>
      <c r="Z964" s="64" t="str">
        <f>IF(Table13[[#This Row],[value Type]]="","",VLOOKUP(Table13[[#This Row],[value Type]],Table2915[],4,FALSE))</f>
        <v/>
      </c>
      <c r="AA964" s="64" t="str">
        <f>IF(Table13[[#This Row],[value Type]]="","",    IF(Table13[[#This Row],[IP MAX]]="","","@"  )     )</f>
        <v/>
      </c>
      <c r="AB964" s="79" t="str">
        <f>IF(Table13[[#This Row],[value Type]]="","",VLOOKUP(Table13[[#This Row],[value Type]],Table2915[],5,FALSE))</f>
        <v/>
      </c>
      <c r="AC9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4" s="79" t="str">
        <f>IF(Table13[[#This Row],[value Type]]="","",VLOOKUP(Table13[[#This Row],[IP]],Table51117[],2,FALSE))</f>
        <v/>
      </c>
      <c r="AE964" s="79" t="str">
        <f>IF(Table13[[#This Row],[value Type]]="","",    IF(Table13[[#This Row],[IP MAX]]="","0","@"  )     )</f>
        <v/>
      </c>
      <c r="AF964" s="68" t="str">
        <f>IF(Table13[[#This Row],[value Type]]="","",VLOOKUP(Table13[[#This Row],[Acc Type]],Table2[],2,FALSE))</f>
        <v/>
      </c>
      <c r="AG964" s="75" t="str">
        <f>IF(Table13[[#This Row],[value Type]]="","",4*HEX2DEC(Table13[[#This Row],[Addr'[HEX']]]))</f>
        <v/>
      </c>
      <c r="AH964" s="75" t="str">
        <f>IF(Table13[[#This Row],[value Type]]="","",VLOOKUP(Table13[[#This Row],[AddrTypeI]],Table22[],2,FALSE))</f>
        <v/>
      </c>
      <c r="AI964" s="68" t="str">
        <f>IF(Table13[[#This Row],[value Type]]="","",VLOOKUP(Table13[[#This Row],[DataType]],Table351218[],2,FALSE))</f>
        <v/>
      </c>
      <c r="AJ964" s="68" t="str">
        <f>IF(Table13[[#This Row],[value Type]]="","",Table13[[#This Row],[DataWidth]])</f>
        <v/>
      </c>
      <c r="AK964" s="68" t="str">
        <f>IF(Table13[[#This Row],[value Type]]="","", Table13[[#This Row],[DataOffset]])</f>
        <v/>
      </c>
      <c r="AL964" s="24"/>
      <c r="AM964" s="24" t="str">
        <f>IF(Table13[[#This Row],[value Type]]="","", "0x"&amp;DEC2HEX(Table13[[#This Row],[ADDR_Offset]],8) )</f>
        <v/>
      </c>
    </row>
    <row r="965" spans="2:39" x14ac:dyDescent="0.3">
      <c r="B965" s="14">
        <v>0</v>
      </c>
      <c r="C965" s="14"/>
      <c r="D965" s="14"/>
      <c r="E965" s="24"/>
      <c r="F965" s="24"/>
      <c r="G965" s="14"/>
      <c r="H965" s="15"/>
      <c r="I965" s="29"/>
      <c r="J965" s="15" t="s">
        <v>747</v>
      </c>
      <c r="K965" s="15"/>
      <c r="L965" s="14"/>
      <c r="M965" s="35"/>
      <c r="N965" s="15"/>
      <c r="O965" s="25"/>
      <c r="P965" s="25"/>
      <c r="Q965" s="15"/>
      <c r="R965" s="26"/>
      <c r="S965" s="27"/>
      <c r="T965" s="27"/>
      <c r="U965" s="28"/>
      <c r="V965" s="14"/>
      <c r="W965" s="14"/>
      <c r="X965" s="30" t="str">
        <f>IF(Table13[[#This Row],[value Type]]="","",VLOOKUP(Table13[[#This Row],[value Type]],Table2915[],2,FALSE))</f>
        <v/>
      </c>
      <c r="Y965" s="30" t="str">
        <f>IF(Table13[[#This Row],[value Type]]="","",VLOOKUP(Table13[[#This Row],[value Type]],Table2915[],3,FALSE))</f>
        <v/>
      </c>
      <c r="Z965" s="64" t="str">
        <f>IF(Table13[[#This Row],[value Type]]="","",VLOOKUP(Table13[[#This Row],[value Type]],Table2915[],4,FALSE))</f>
        <v/>
      </c>
      <c r="AA965" s="64" t="str">
        <f>IF(Table13[[#This Row],[value Type]]="","",    IF(Table13[[#This Row],[IP MAX]]="","","@"  )     )</f>
        <v/>
      </c>
      <c r="AB965" s="79" t="str">
        <f>IF(Table13[[#This Row],[value Type]]="","",VLOOKUP(Table13[[#This Row],[value Type]],Table2915[],5,FALSE))</f>
        <v/>
      </c>
      <c r="AC9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5" s="79" t="str">
        <f>IF(Table13[[#This Row],[value Type]]="","",VLOOKUP(Table13[[#This Row],[IP]],Table51117[],2,FALSE))</f>
        <v/>
      </c>
      <c r="AE965" s="79" t="str">
        <f>IF(Table13[[#This Row],[value Type]]="","",    IF(Table13[[#This Row],[IP MAX]]="","0","@"  )     )</f>
        <v/>
      </c>
      <c r="AF965" s="68" t="str">
        <f>IF(Table13[[#This Row],[value Type]]="","",VLOOKUP(Table13[[#This Row],[Acc Type]],Table2[],2,FALSE))</f>
        <v/>
      </c>
      <c r="AG965" s="75" t="str">
        <f>IF(Table13[[#This Row],[value Type]]="","",4*HEX2DEC(Table13[[#This Row],[Addr'[HEX']]]))</f>
        <v/>
      </c>
      <c r="AH965" s="75" t="str">
        <f>IF(Table13[[#This Row],[value Type]]="","",VLOOKUP(Table13[[#This Row],[AddrTypeI]],Table22[],2,FALSE))</f>
        <v/>
      </c>
      <c r="AI965" s="68" t="str">
        <f>IF(Table13[[#This Row],[value Type]]="","",VLOOKUP(Table13[[#This Row],[DataType]],Table351218[],2,FALSE))</f>
        <v/>
      </c>
      <c r="AJ965" s="68" t="str">
        <f>IF(Table13[[#This Row],[value Type]]="","",Table13[[#This Row],[DataWidth]])</f>
        <v/>
      </c>
      <c r="AK965" s="68" t="str">
        <f>IF(Table13[[#This Row],[value Type]]="","", Table13[[#This Row],[DataOffset]])</f>
        <v/>
      </c>
      <c r="AL965" s="24"/>
      <c r="AM965" s="24" t="str">
        <f>IF(Table13[[#This Row],[value Type]]="","", "0x"&amp;DEC2HEX(Table13[[#This Row],[ADDR_Offset]],8) )</f>
        <v/>
      </c>
    </row>
    <row r="966" spans="2:39" x14ac:dyDescent="0.3">
      <c r="B966" s="14">
        <v>0</v>
      </c>
      <c r="C966" s="14"/>
      <c r="D966" s="14"/>
      <c r="E966" s="24"/>
      <c r="F966" s="24"/>
      <c r="G966" s="14"/>
      <c r="H966" s="15"/>
      <c r="I966" s="29"/>
      <c r="J966" s="15" t="s">
        <v>747</v>
      </c>
      <c r="K966" s="15"/>
      <c r="L966" s="14"/>
      <c r="M966" s="35"/>
      <c r="N966" s="15"/>
      <c r="O966" s="25"/>
      <c r="P966" s="25"/>
      <c r="Q966" s="15"/>
      <c r="R966" s="26"/>
      <c r="S966" s="27"/>
      <c r="T966" s="27"/>
      <c r="U966" s="28"/>
      <c r="V966" s="14"/>
      <c r="W966" s="14"/>
      <c r="X966" s="30" t="str">
        <f>IF(Table13[[#This Row],[value Type]]="","",VLOOKUP(Table13[[#This Row],[value Type]],Table2915[],2,FALSE))</f>
        <v/>
      </c>
      <c r="Y966" s="30" t="str">
        <f>IF(Table13[[#This Row],[value Type]]="","",VLOOKUP(Table13[[#This Row],[value Type]],Table2915[],3,FALSE))</f>
        <v/>
      </c>
      <c r="Z966" s="64" t="str">
        <f>IF(Table13[[#This Row],[value Type]]="","",VLOOKUP(Table13[[#This Row],[value Type]],Table2915[],4,FALSE))</f>
        <v/>
      </c>
      <c r="AA966" s="64" t="str">
        <f>IF(Table13[[#This Row],[value Type]]="","",    IF(Table13[[#This Row],[IP MAX]]="","","@"  )     )</f>
        <v/>
      </c>
      <c r="AB966" s="79" t="str">
        <f>IF(Table13[[#This Row],[value Type]]="","",VLOOKUP(Table13[[#This Row],[value Type]],Table2915[],5,FALSE))</f>
        <v/>
      </c>
      <c r="AC9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6" s="79" t="str">
        <f>IF(Table13[[#This Row],[value Type]]="","",VLOOKUP(Table13[[#This Row],[IP]],Table51117[],2,FALSE))</f>
        <v/>
      </c>
      <c r="AE966" s="79" t="str">
        <f>IF(Table13[[#This Row],[value Type]]="","",    IF(Table13[[#This Row],[IP MAX]]="","0","@"  )     )</f>
        <v/>
      </c>
      <c r="AF966" s="68" t="str">
        <f>IF(Table13[[#This Row],[value Type]]="","",VLOOKUP(Table13[[#This Row],[Acc Type]],Table2[],2,FALSE))</f>
        <v/>
      </c>
      <c r="AG966" s="75" t="str">
        <f>IF(Table13[[#This Row],[value Type]]="","",4*HEX2DEC(Table13[[#This Row],[Addr'[HEX']]]))</f>
        <v/>
      </c>
      <c r="AH966" s="75" t="str">
        <f>IF(Table13[[#This Row],[value Type]]="","",VLOOKUP(Table13[[#This Row],[AddrTypeI]],Table22[],2,FALSE))</f>
        <v/>
      </c>
      <c r="AI966" s="68" t="str">
        <f>IF(Table13[[#This Row],[value Type]]="","",VLOOKUP(Table13[[#This Row],[DataType]],Table351218[],2,FALSE))</f>
        <v/>
      </c>
      <c r="AJ966" s="68" t="str">
        <f>IF(Table13[[#This Row],[value Type]]="","",Table13[[#This Row],[DataWidth]])</f>
        <v/>
      </c>
      <c r="AK966" s="68" t="str">
        <f>IF(Table13[[#This Row],[value Type]]="","", Table13[[#This Row],[DataOffset]])</f>
        <v/>
      </c>
      <c r="AL966" s="24"/>
      <c r="AM966" s="24" t="str">
        <f>IF(Table13[[#This Row],[value Type]]="","", "0x"&amp;DEC2HEX(Table13[[#This Row],[ADDR_Offset]],8) )</f>
        <v/>
      </c>
    </row>
    <row r="967" spans="2:39" x14ac:dyDescent="0.3">
      <c r="B967" s="14">
        <v>0</v>
      </c>
      <c r="C967" s="14"/>
      <c r="D967" s="14"/>
      <c r="E967" s="24"/>
      <c r="F967" s="24"/>
      <c r="G967" s="14"/>
      <c r="H967" s="15"/>
      <c r="I967" s="29"/>
      <c r="J967" s="15" t="s">
        <v>747</v>
      </c>
      <c r="K967" s="15"/>
      <c r="L967" s="14"/>
      <c r="M967" s="14"/>
      <c r="N967" s="15"/>
      <c r="O967" s="25"/>
      <c r="P967" s="25"/>
      <c r="Q967" s="15"/>
      <c r="R967" s="26"/>
      <c r="S967" s="27"/>
      <c r="T967" s="27"/>
      <c r="U967" s="28"/>
      <c r="V967" s="29"/>
      <c r="W967" s="14"/>
      <c r="X967" s="30" t="str">
        <f>IF(Table13[[#This Row],[value Type]]="","",VLOOKUP(Table13[[#This Row],[value Type]],Table2915[],2,FALSE))</f>
        <v/>
      </c>
      <c r="Y967" s="30" t="str">
        <f>IF(Table13[[#This Row],[value Type]]="","",VLOOKUP(Table13[[#This Row],[value Type]],Table2915[],3,FALSE))</f>
        <v/>
      </c>
      <c r="Z967" s="64" t="str">
        <f>IF(Table13[[#This Row],[value Type]]="","",VLOOKUP(Table13[[#This Row],[value Type]],Table2915[],4,FALSE))</f>
        <v/>
      </c>
      <c r="AA967" s="64" t="str">
        <f>IF(Table13[[#This Row],[value Type]]="","",    IF(Table13[[#This Row],[IP MAX]]="","","@"  )     )</f>
        <v/>
      </c>
      <c r="AB967" s="79" t="str">
        <f>IF(Table13[[#This Row],[value Type]]="","",VLOOKUP(Table13[[#This Row],[value Type]],Table2915[],5,FALSE))</f>
        <v/>
      </c>
      <c r="AC9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7" s="79" t="str">
        <f>IF(Table13[[#This Row],[value Type]]="","",VLOOKUP(Table13[[#This Row],[IP]],Table51117[],2,FALSE))</f>
        <v/>
      </c>
      <c r="AE967" s="79" t="str">
        <f>IF(Table13[[#This Row],[value Type]]="","",    IF(Table13[[#This Row],[IP MAX]]="","0","@"  )     )</f>
        <v/>
      </c>
      <c r="AF967" s="68" t="str">
        <f>IF(Table13[[#This Row],[value Type]]="","",VLOOKUP(Table13[[#This Row],[Acc Type]],Table2[],2,FALSE))</f>
        <v/>
      </c>
      <c r="AG967" s="75" t="str">
        <f>IF(Table13[[#This Row],[value Type]]="","",4*HEX2DEC(Table13[[#This Row],[Addr'[HEX']]]))</f>
        <v/>
      </c>
      <c r="AH967" s="75" t="str">
        <f>IF(Table13[[#This Row],[value Type]]="","",VLOOKUP(Table13[[#This Row],[AddrTypeI]],Table22[],2,FALSE))</f>
        <v/>
      </c>
      <c r="AI967" s="68" t="str">
        <f>IF(Table13[[#This Row],[value Type]]="","",VLOOKUP(Table13[[#This Row],[DataType]],Table351218[],2,FALSE))</f>
        <v/>
      </c>
      <c r="AJ967" s="68" t="str">
        <f>IF(Table13[[#This Row],[value Type]]="","",Table13[[#This Row],[DataWidth]])</f>
        <v/>
      </c>
      <c r="AK967" s="68" t="str">
        <f>IF(Table13[[#This Row],[value Type]]="","", Table13[[#This Row],[DataOffset]])</f>
        <v/>
      </c>
      <c r="AL967" s="24"/>
      <c r="AM967" s="24" t="str">
        <f>IF(Table13[[#This Row],[value Type]]="","", "0x"&amp;DEC2HEX(Table13[[#This Row],[ADDR_Offset]],8) )</f>
        <v/>
      </c>
    </row>
    <row r="968" spans="2:39" x14ac:dyDescent="0.3">
      <c r="B968" s="47">
        <v>0</v>
      </c>
      <c r="C968" s="47"/>
      <c r="D968" s="47"/>
      <c r="E968" s="48"/>
      <c r="F968" s="48"/>
      <c r="G968" s="47"/>
      <c r="H968" s="49"/>
      <c r="I968" s="57"/>
      <c r="J968" s="49"/>
      <c r="K968" s="49"/>
      <c r="L968" s="47"/>
      <c r="M968" s="47"/>
      <c r="N968" s="49"/>
      <c r="O968" s="51"/>
      <c r="P968" s="51"/>
      <c r="Q968" s="49"/>
      <c r="R968" s="52"/>
      <c r="S968" s="53"/>
      <c r="T968" s="53"/>
      <c r="U968" s="54"/>
      <c r="V968" s="57"/>
      <c r="W968" s="47"/>
      <c r="X968" s="55" t="str">
        <f>IF(Table13[[#This Row],[value Type]]="","",VLOOKUP(Table13[[#This Row],[value Type]],Table2915[],2,FALSE))</f>
        <v/>
      </c>
      <c r="Y968" s="55" t="str">
        <f>IF(Table13[[#This Row],[value Type]]="","",VLOOKUP(Table13[[#This Row],[value Type]],Table2915[],3,FALSE))</f>
        <v/>
      </c>
      <c r="Z968" s="65" t="str">
        <f>IF(Table13[[#This Row],[value Type]]="","",VLOOKUP(Table13[[#This Row],[value Type]],Table2915[],4,FALSE))</f>
        <v/>
      </c>
      <c r="AA968" s="65" t="str">
        <f>IF(Table13[[#This Row],[value Type]]="","",    IF(Table13[[#This Row],[IP MAX]]="","","@"  )     )</f>
        <v/>
      </c>
      <c r="AB968" s="80" t="str">
        <f>IF(Table13[[#This Row],[value Type]]="","",VLOOKUP(Table13[[#This Row],[value Type]],Table2915[],5,FALSE))</f>
        <v/>
      </c>
      <c r="AC96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8" s="80" t="str">
        <f>IF(Table13[[#This Row],[value Type]]="","",VLOOKUP(Table13[[#This Row],[IP]],Table51117[],2,FALSE))</f>
        <v/>
      </c>
      <c r="AE968" s="80"/>
      <c r="AF968" s="69" t="str">
        <f>IF(Table13[[#This Row],[value Type]]="","",VLOOKUP(Table13[[#This Row],[Acc Type]],Table2[],2,FALSE))</f>
        <v/>
      </c>
      <c r="AG968" s="76" t="str">
        <f>IF(Table13[[#This Row],[value Type]]="","",4*HEX2DEC(Table13[[#This Row],[Addr'[HEX']]]))</f>
        <v/>
      </c>
      <c r="AH968" s="76" t="str">
        <f>IF(Table13[[#This Row],[value Type]]="","",VLOOKUP(Table13[[#This Row],[AddrTypeI]],Table22[],2,FALSE))</f>
        <v/>
      </c>
      <c r="AI968" s="69" t="str">
        <f>IF(Table13[[#This Row],[value Type]]="","",VLOOKUP(Table13[[#This Row],[DataType]],Table351218[],2,FALSE))</f>
        <v/>
      </c>
      <c r="AJ968" s="69" t="str">
        <f>IF(Table13[[#This Row],[value Type]]="","",Table13[[#This Row],[DataWidth]])</f>
        <v/>
      </c>
      <c r="AK968" s="69" t="str">
        <f>IF(Table13[[#This Row],[value Type]]="","", Table13[[#This Row],[DataOffset]])</f>
        <v/>
      </c>
      <c r="AL968" s="48"/>
      <c r="AM968" s="48" t="str">
        <f>IF(Table13[[#This Row],[value Type]]="","", "0x"&amp;DEC2HEX(Table13[[#This Row],[ADDR_Offset]],8) )</f>
        <v/>
      </c>
    </row>
    <row r="969" spans="2:39" x14ac:dyDescent="0.3">
      <c r="B969" s="38">
        <v>0</v>
      </c>
      <c r="C969" s="38" t="s">
        <v>567</v>
      </c>
      <c r="D969" s="38" t="s">
        <v>388</v>
      </c>
      <c r="E969" s="39"/>
      <c r="F969" s="39"/>
      <c r="G969" s="38"/>
      <c r="H969" s="40"/>
      <c r="I969" s="100"/>
      <c r="J969" s="40"/>
      <c r="K969" s="40"/>
      <c r="L969" s="38"/>
      <c r="M969" s="41"/>
      <c r="N969" s="40"/>
      <c r="O969" s="42"/>
      <c r="P969" s="42"/>
      <c r="Q969" s="40"/>
      <c r="R969" s="43" t="s">
        <v>410</v>
      </c>
      <c r="S969" s="43"/>
      <c r="T969" s="43"/>
      <c r="U969" s="44"/>
      <c r="V969" s="38"/>
      <c r="W969" s="38"/>
      <c r="X969" s="45">
        <f>IF(Table13[[#This Row],[value Type]]="","",VLOOKUP(Table13[[#This Row],[value Type]],Table2915[],2,FALSE))</f>
        <v>0</v>
      </c>
      <c r="Y969" s="45">
        <f>IF(Table13[[#This Row],[value Type]]="","",VLOOKUP(Table13[[#This Row],[value Type]],Table2915[],3,FALSE))</f>
        <v>0</v>
      </c>
      <c r="Z969" s="66">
        <f>IF(Table13[[#This Row],[value Type]]="","",VLOOKUP(Table13[[#This Row],[value Type]],Table2915[],4,FALSE))</f>
        <v>0</v>
      </c>
      <c r="AA969" s="66" t="str">
        <f>IF(Table13[[#This Row],[value Type]]="","",    IF(Table13[[#This Row],[IP MAX]]="","","@"  )     )</f>
        <v/>
      </c>
      <c r="AB969" s="82">
        <f>IF(Table13[[#This Row],[value Type]]="","",VLOOKUP(Table13[[#This Row],[value Type]],Table2915[],5,FALSE))</f>
        <v>0</v>
      </c>
      <c r="AC969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69" s="82" t="e">
        <f>IF(Table13[[#This Row],[value Type]]="","",VLOOKUP(Table13[[#This Row],[IP]],Table51117[],2,FALSE))</f>
        <v>#N/A</v>
      </c>
      <c r="AE969" s="82"/>
      <c r="AF969" s="70">
        <f>IF(Table13[[#This Row],[value Type]]="","",VLOOKUP(Table13[[#This Row],[Acc Type]],Table2[],2,FALSE))</f>
        <v>0</v>
      </c>
      <c r="AG969" s="77">
        <f>IF(Table13[[#This Row],[value Type]]="","",4*HEX2DEC(Table13[[#This Row],[Addr'[HEX']]]))</f>
        <v>0</v>
      </c>
      <c r="AH969" s="77" t="e">
        <f>IF(Table13[[#This Row],[value Type]]="","",VLOOKUP(Table13[[#This Row],[AddrTypeI]],Table22[],2,FALSE))</f>
        <v>#N/A</v>
      </c>
      <c r="AI969" s="70" t="e">
        <f>IF(Table13[[#This Row],[value Type]]="","",VLOOKUP(Table13[[#This Row],[DataType]],Table351218[],2,FALSE))</f>
        <v>#N/A</v>
      </c>
      <c r="AJ969" s="70">
        <f>IF(Table13[[#This Row],[value Type]]="","",Table13[[#This Row],[DataWidth]])</f>
        <v>0</v>
      </c>
      <c r="AK969" s="70">
        <f>IF(Table13[[#This Row],[value Type]]="","", Table13[[#This Row],[DataOffset]])</f>
        <v>0</v>
      </c>
      <c r="AL969" s="39"/>
      <c r="AM969" s="39" t="str">
        <f>IF(Table13[[#This Row],[value Type]]="","", "0x"&amp;DEC2HEX(Table13[[#This Row],[ADDR_Offset]],8) )</f>
        <v>0x00000000</v>
      </c>
    </row>
    <row r="970" spans="2:39" x14ac:dyDescent="0.3">
      <c r="B970" s="14"/>
      <c r="C970" s="14"/>
      <c r="D970" s="14"/>
      <c r="E970" s="24"/>
      <c r="F970" s="24"/>
      <c r="G970" s="14"/>
      <c r="H970" s="36"/>
      <c r="I970" s="29"/>
      <c r="J970" s="15"/>
      <c r="K970" s="15"/>
      <c r="L970" s="14"/>
      <c r="M970" s="35"/>
      <c r="N970" s="15"/>
      <c r="O970" s="88"/>
      <c r="P970" s="25"/>
      <c r="Q970" s="15"/>
      <c r="R970" s="26"/>
      <c r="S970" s="27"/>
      <c r="T970" s="27"/>
      <c r="U970" s="28"/>
      <c r="V970" s="14"/>
      <c r="W970" s="14"/>
      <c r="X970" s="30" t="str">
        <f>IF(Table13[[#This Row],[value Type]]="","",VLOOKUP(Table13[[#This Row],[value Type]],Table2915[],2,FALSE))</f>
        <v/>
      </c>
      <c r="Y970" s="30" t="str">
        <f>IF(Table13[[#This Row],[value Type]]="","",VLOOKUP(Table13[[#This Row],[value Type]],Table2915[],3,FALSE))</f>
        <v/>
      </c>
      <c r="Z970" s="64" t="str">
        <f>IF(Table13[[#This Row],[value Type]]="","",VLOOKUP(Table13[[#This Row],[value Type]],Table2915[],4,FALSE))</f>
        <v/>
      </c>
      <c r="AA970" s="64" t="str">
        <f>IF(Table13[[#This Row],[value Type]]="","",    IF(Table13[[#This Row],[IP MAX]]="","","@"  )     )</f>
        <v/>
      </c>
      <c r="AB970" s="79" t="str">
        <f>IF(Table13[[#This Row],[value Type]]="","",VLOOKUP(Table13[[#This Row],[value Type]],Table2915[],5,FALSE))</f>
        <v/>
      </c>
      <c r="AC9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0" s="79" t="str">
        <f>IF(Table13[[#This Row],[value Type]]="","",VLOOKUP(Table13[[#This Row],[IP]],Table51117[],2,FALSE))</f>
        <v/>
      </c>
      <c r="AE970" s="79"/>
      <c r="AF970" s="68" t="str">
        <f>IF(Table13[[#This Row],[value Type]]="","",VLOOKUP(Table13[[#This Row],[Acc Type]],Table2[],2,FALSE))</f>
        <v/>
      </c>
      <c r="AG970" s="75" t="str">
        <f>IF(Table13[[#This Row],[value Type]]="","",4*HEX2DEC(Table13[[#This Row],[Addr'[HEX']]]))</f>
        <v/>
      </c>
      <c r="AH970" s="75" t="str">
        <f>IF(Table13[[#This Row],[value Type]]="","",VLOOKUP(Table13[[#This Row],[AddrTypeI]],Table22[],2,FALSE))</f>
        <v/>
      </c>
      <c r="AI970" s="68" t="str">
        <f>IF(Table13[[#This Row],[value Type]]="","",VLOOKUP(Table13[[#This Row],[DataType]],Table351218[],2,FALSE))</f>
        <v/>
      </c>
      <c r="AJ970" s="68" t="str">
        <f>IF(Table13[[#This Row],[value Type]]="","",Table13[[#This Row],[DataWidth]])</f>
        <v/>
      </c>
      <c r="AK970" s="68" t="str">
        <f>IF(Table13[[#This Row],[value Type]]="","", Table13[[#This Row],[DataOffset]])</f>
        <v/>
      </c>
      <c r="AL970" s="24"/>
      <c r="AM970" s="24" t="str">
        <f>IF(Table13[[#This Row],[value Type]]="","", "0x"&amp;DEC2HEX(Table13[[#This Row],[ADDR_Offset]],8) )</f>
        <v/>
      </c>
    </row>
    <row r="971" spans="2:39" x14ac:dyDescent="0.3">
      <c r="B971" s="14"/>
      <c r="C971" s="14"/>
      <c r="D971" s="14"/>
      <c r="E971" s="24"/>
      <c r="F971" s="24"/>
      <c r="G971" s="14"/>
      <c r="H971" s="36"/>
      <c r="I971" s="29"/>
      <c r="J971" s="15"/>
      <c r="K971" s="15"/>
      <c r="L971" s="14"/>
      <c r="M971" s="35"/>
      <c r="N971" s="15"/>
      <c r="O971" s="88"/>
      <c r="P971" s="25"/>
      <c r="Q971" s="15"/>
      <c r="R971" s="26"/>
      <c r="S971" s="27"/>
      <c r="T971" s="27"/>
      <c r="U971" s="28"/>
      <c r="V971" s="14"/>
      <c r="W971" s="14"/>
      <c r="X971" s="30" t="str">
        <f>IF(Table13[[#This Row],[value Type]]="","",VLOOKUP(Table13[[#This Row],[value Type]],Table2915[],2,FALSE))</f>
        <v/>
      </c>
      <c r="Y971" s="30" t="str">
        <f>IF(Table13[[#This Row],[value Type]]="","",VLOOKUP(Table13[[#This Row],[value Type]],Table2915[],3,FALSE))</f>
        <v/>
      </c>
      <c r="Z971" s="64" t="str">
        <f>IF(Table13[[#This Row],[value Type]]="","",VLOOKUP(Table13[[#This Row],[value Type]],Table2915[],4,FALSE))</f>
        <v/>
      </c>
      <c r="AA971" s="64" t="str">
        <f>IF(Table13[[#This Row],[value Type]]="","",    IF(Table13[[#This Row],[IP MAX]]="","","@"  )     )</f>
        <v/>
      </c>
      <c r="AB971" s="79" t="str">
        <f>IF(Table13[[#This Row],[value Type]]="","",VLOOKUP(Table13[[#This Row],[value Type]],Table2915[],5,FALSE))</f>
        <v/>
      </c>
      <c r="AC9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1" s="79" t="str">
        <f>IF(Table13[[#This Row],[value Type]]="","",VLOOKUP(Table13[[#This Row],[IP]],Table51117[],2,FALSE))</f>
        <v/>
      </c>
      <c r="AE971" s="79"/>
      <c r="AF971" s="68" t="str">
        <f>IF(Table13[[#This Row],[value Type]]="","",VLOOKUP(Table13[[#This Row],[Acc Type]],Table2[],2,FALSE))</f>
        <v/>
      </c>
      <c r="AG971" s="75" t="str">
        <f>IF(Table13[[#This Row],[value Type]]="","",4*HEX2DEC(Table13[[#This Row],[Addr'[HEX']]]))</f>
        <v/>
      </c>
      <c r="AH971" s="75" t="str">
        <f>IF(Table13[[#This Row],[value Type]]="","",VLOOKUP(Table13[[#This Row],[AddrTypeI]],Table22[],2,FALSE))</f>
        <v/>
      </c>
      <c r="AI971" s="68" t="str">
        <f>IF(Table13[[#This Row],[value Type]]="","",VLOOKUP(Table13[[#This Row],[DataType]],Table351218[],2,FALSE))</f>
        <v/>
      </c>
      <c r="AJ971" s="68" t="str">
        <f>IF(Table13[[#This Row],[value Type]]="","",Table13[[#This Row],[DataWidth]])</f>
        <v/>
      </c>
      <c r="AK971" s="68" t="str">
        <f>IF(Table13[[#This Row],[value Type]]="","", Table13[[#This Row],[DataOffset]])</f>
        <v/>
      </c>
      <c r="AL971" s="24"/>
      <c r="AM971" s="24" t="str">
        <f>IF(Table13[[#This Row],[value Type]]="","", "0x"&amp;DEC2HEX(Table13[[#This Row],[ADDR_Offset]],8) )</f>
        <v/>
      </c>
    </row>
    <row r="972" spans="2:39" x14ac:dyDescent="0.3">
      <c r="B972" s="14"/>
      <c r="C972" s="14"/>
      <c r="D972" s="14"/>
      <c r="E972" s="24"/>
      <c r="F972" s="24"/>
      <c r="G972" s="14"/>
      <c r="H972" s="36"/>
      <c r="I972" s="29"/>
      <c r="J972" s="15"/>
      <c r="K972" s="15"/>
      <c r="L972" s="14"/>
      <c r="M972" s="35"/>
      <c r="N972" s="15"/>
      <c r="O972" s="88"/>
      <c r="P972" s="25"/>
      <c r="Q972" s="15"/>
      <c r="R972" s="26"/>
      <c r="S972" s="27"/>
      <c r="T972" s="27"/>
      <c r="U972" s="28"/>
      <c r="V972" s="14"/>
      <c r="W972" s="14"/>
      <c r="X972" s="30" t="str">
        <f>IF(Table13[[#This Row],[value Type]]="","",VLOOKUP(Table13[[#This Row],[value Type]],Table2915[],2,FALSE))</f>
        <v/>
      </c>
      <c r="Y972" s="30" t="str">
        <f>IF(Table13[[#This Row],[value Type]]="","",VLOOKUP(Table13[[#This Row],[value Type]],Table2915[],3,FALSE))</f>
        <v/>
      </c>
      <c r="Z972" s="64" t="str">
        <f>IF(Table13[[#This Row],[value Type]]="","",VLOOKUP(Table13[[#This Row],[value Type]],Table2915[],4,FALSE))</f>
        <v/>
      </c>
      <c r="AA972" s="64" t="str">
        <f>IF(Table13[[#This Row],[value Type]]="","",    IF(Table13[[#This Row],[IP MAX]]="","","@"  )     )</f>
        <v/>
      </c>
      <c r="AB972" s="79" t="str">
        <f>IF(Table13[[#This Row],[value Type]]="","",VLOOKUP(Table13[[#This Row],[value Type]],Table2915[],5,FALSE))</f>
        <v/>
      </c>
      <c r="AC9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2" s="79" t="str">
        <f>IF(Table13[[#This Row],[value Type]]="","",VLOOKUP(Table13[[#This Row],[IP]],Table51117[],2,FALSE))</f>
        <v/>
      </c>
      <c r="AE972" s="79"/>
      <c r="AF972" s="68" t="str">
        <f>IF(Table13[[#This Row],[value Type]]="","",VLOOKUP(Table13[[#This Row],[Acc Type]],Table2[],2,FALSE))</f>
        <v/>
      </c>
      <c r="AG972" s="75" t="str">
        <f>IF(Table13[[#This Row],[value Type]]="","",4*HEX2DEC(Table13[[#This Row],[Addr'[HEX']]]))</f>
        <v/>
      </c>
      <c r="AH972" s="75" t="str">
        <f>IF(Table13[[#This Row],[value Type]]="","",VLOOKUP(Table13[[#This Row],[AddrTypeI]],Table22[],2,FALSE))</f>
        <v/>
      </c>
      <c r="AI972" s="68" t="str">
        <f>IF(Table13[[#This Row],[value Type]]="","",VLOOKUP(Table13[[#This Row],[DataType]],Table351218[],2,FALSE))</f>
        <v/>
      </c>
      <c r="AJ972" s="68" t="str">
        <f>IF(Table13[[#This Row],[value Type]]="","",Table13[[#This Row],[DataWidth]])</f>
        <v/>
      </c>
      <c r="AK972" s="68" t="str">
        <f>IF(Table13[[#This Row],[value Type]]="","", Table13[[#This Row],[DataOffset]])</f>
        <v/>
      </c>
      <c r="AL972" s="24"/>
      <c r="AM972" s="24" t="str">
        <f>IF(Table13[[#This Row],[value Type]]="","", "0x"&amp;DEC2HEX(Table13[[#This Row],[ADDR_Offset]],8) )</f>
        <v/>
      </c>
    </row>
    <row r="973" spans="2:39" x14ac:dyDescent="0.3">
      <c r="B973" s="14"/>
      <c r="C973" s="14"/>
      <c r="D973" s="14"/>
      <c r="E973" s="24"/>
      <c r="F973" s="24"/>
      <c r="G973" s="14"/>
      <c r="H973" s="36"/>
      <c r="I973" s="29"/>
      <c r="J973" s="15"/>
      <c r="K973" s="15"/>
      <c r="L973" s="14"/>
      <c r="M973" s="35"/>
      <c r="N973" s="15"/>
      <c r="O973" s="88"/>
      <c r="P973" s="25"/>
      <c r="Q973" s="15"/>
      <c r="R973" s="26"/>
      <c r="S973" s="27"/>
      <c r="T973" s="27"/>
      <c r="U973" s="28"/>
      <c r="V973" s="14"/>
      <c r="W973" s="14"/>
      <c r="X973" s="30" t="str">
        <f>IF(Table13[[#This Row],[value Type]]="","",VLOOKUP(Table13[[#This Row],[value Type]],Table2915[],2,FALSE))</f>
        <v/>
      </c>
      <c r="Y973" s="30" t="str">
        <f>IF(Table13[[#This Row],[value Type]]="","",VLOOKUP(Table13[[#This Row],[value Type]],Table2915[],3,FALSE))</f>
        <v/>
      </c>
      <c r="Z973" s="64" t="str">
        <f>IF(Table13[[#This Row],[value Type]]="","",VLOOKUP(Table13[[#This Row],[value Type]],Table2915[],4,FALSE))</f>
        <v/>
      </c>
      <c r="AA973" s="64" t="str">
        <f>IF(Table13[[#This Row],[value Type]]="","",    IF(Table13[[#This Row],[IP MAX]]="","","@"  )     )</f>
        <v/>
      </c>
      <c r="AB973" s="79" t="str">
        <f>IF(Table13[[#This Row],[value Type]]="","",VLOOKUP(Table13[[#This Row],[value Type]],Table2915[],5,FALSE))</f>
        <v/>
      </c>
      <c r="AC9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3" s="79" t="str">
        <f>IF(Table13[[#This Row],[value Type]]="","",VLOOKUP(Table13[[#This Row],[IP]],Table51117[],2,FALSE))</f>
        <v/>
      </c>
      <c r="AE973" s="79"/>
      <c r="AF973" s="68" t="str">
        <f>IF(Table13[[#This Row],[value Type]]="","",VLOOKUP(Table13[[#This Row],[Acc Type]],Table2[],2,FALSE))</f>
        <v/>
      </c>
      <c r="AG973" s="75" t="str">
        <f>IF(Table13[[#This Row],[value Type]]="","",4*HEX2DEC(Table13[[#This Row],[Addr'[HEX']]]))</f>
        <v/>
      </c>
      <c r="AH973" s="75" t="str">
        <f>IF(Table13[[#This Row],[value Type]]="","",VLOOKUP(Table13[[#This Row],[AddrTypeI]],Table22[],2,FALSE))</f>
        <v/>
      </c>
      <c r="AI973" s="68" t="str">
        <f>IF(Table13[[#This Row],[value Type]]="","",VLOOKUP(Table13[[#This Row],[DataType]],Table351218[],2,FALSE))</f>
        <v/>
      </c>
      <c r="AJ973" s="68" t="str">
        <f>IF(Table13[[#This Row],[value Type]]="","",Table13[[#This Row],[DataWidth]])</f>
        <v/>
      </c>
      <c r="AK973" s="68" t="str">
        <f>IF(Table13[[#This Row],[value Type]]="","", Table13[[#This Row],[DataOffset]])</f>
        <v/>
      </c>
      <c r="AL973" s="24"/>
      <c r="AM973" s="24" t="str">
        <f>IF(Table13[[#This Row],[value Type]]="","", "0x"&amp;DEC2HEX(Table13[[#This Row],[ADDR_Offset]],8) )</f>
        <v/>
      </c>
    </row>
    <row r="974" spans="2:39" x14ac:dyDescent="0.3">
      <c r="B974" s="12">
        <v>1000</v>
      </c>
      <c r="C974" s="14" t="s">
        <v>525</v>
      </c>
      <c r="D974" s="14" t="s">
        <v>388</v>
      </c>
      <c r="E974" s="24" t="s">
        <v>349</v>
      </c>
      <c r="F974" s="24">
        <v>1</v>
      </c>
      <c r="G974" s="14" t="s">
        <v>559</v>
      </c>
      <c r="H974" s="15"/>
      <c r="I974" s="101" t="str">
        <f>DEC2HEX(HEX2DEC(Table13[[#This Row],[Index]])/4+Table13[[#This Row],[SUB]],4)</f>
        <v>0400</v>
      </c>
      <c r="J974" s="15" t="s">
        <v>747</v>
      </c>
      <c r="K974" s="15" t="s">
        <v>755</v>
      </c>
      <c r="L974" s="14">
        <v>32</v>
      </c>
      <c r="M974" s="35">
        <v>0</v>
      </c>
      <c r="N974" s="15" t="s">
        <v>275</v>
      </c>
      <c r="O974" s="25" t="s">
        <v>402</v>
      </c>
      <c r="P974" s="25">
        <v>1</v>
      </c>
      <c r="Q974" s="26" t="s">
        <v>80</v>
      </c>
      <c r="R974" s="27" t="s">
        <v>410</v>
      </c>
      <c r="S974" s="27" t="s">
        <v>405</v>
      </c>
      <c r="T974" s="27">
        <v>0</v>
      </c>
      <c r="U974" s="28">
        <v>2048</v>
      </c>
      <c r="V974" s="14"/>
      <c r="W974" s="14"/>
      <c r="X974" s="30" t="str">
        <f>IF(Table13[[#This Row],[value Type]]="","",VLOOKUP(Table13[[#This Row],[value Type]],Table2915[],2,FALSE))</f>
        <v>waveform</v>
      </c>
      <c r="Y974" s="30" t="str">
        <f>IF(Table13[[#This Row],[value Type]]="","",VLOOKUP(Table13[[#This Row],[value Type]],Table2915[],3,FALSE))</f>
        <v>asynParamInt32Array</v>
      </c>
      <c r="Z974" s="64" t="str">
        <f>IF(Table13[[#This Row],[value Type]]="","",VLOOKUP(Table13[[#This Row],[value Type]],Table2915[],4,FALSE))</f>
        <v>"asynInt32ArrayOut"</v>
      </c>
      <c r="AA974" s="64" t="str">
        <f>IF(Table13[[#This Row],[value Type]]="","",    IF(Table13[[#This Row],[IP MAX]]="","","@"  )     )</f>
        <v>@</v>
      </c>
      <c r="AB974" s="79" t="str">
        <f>IF(Table13[[#This Row],[value Type]]="","",VLOOKUP(Table13[[#This Row],[value Type]],Table2915[],5,FALSE))</f>
        <v>"LONG"</v>
      </c>
      <c r="AC9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974" s="79">
        <f>IF(Table13[[#This Row],[value Type]]="","",VLOOKUP(Table13[[#This Row],[IP]],Table51117[],2,FALSE))</f>
        <v>2</v>
      </c>
      <c r="AE974" s="79" t="str">
        <f>IF(Table13[[#This Row],[value Type]]="","",    IF(Table13[[#This Row],[IP MAX]]="","0","@"  )     )</f>
        <v>@</v>
      </c>
      <c r="AF974" s="68">
        <f>IF(Table13[[#This Row],[value Type]]="","",VLOOKUP(Table13[[#This Row],[Acc Type]],Table2[],2,FALSE))</f>
        <v>0</v>
      </c>
      <c r="AG974" s="75">
        <f>IF(Table13[[#This Row],[value Type]]="","",4*HEX2DEC(Table13[[#This Row],[Addr'[HEX']]]))</f>
        <v>4096</v>
      </c>
      <c r="AH974" s="75">
        <f>IF(Table13[[#This Row],[value Type]]="","",VLOOKUP(Table13[[#This Row],[AddrTypeI]],Table22[],2,FALSE))</f>
        <v>0</v>
      </c>
      <c r="AI974" s="68">
        <f>IF(Table13[[#This Row],[value Type]]="","",VLOOKUP(Table13[[#This Row],[DataType]],Table351218[],2,FALSE))</f>
        <v>8</v>
      </c>
      <c r="AJ974" s="68">
        <f>IF(Table13[[#This Row],[value Type]]="","",Table13[[#This Row],[DataWidth]])</f>
        <v>32</v>
      </c>
      <c r="AK974" s="68">
        <f>IF(Table13[[#This Row],[value Type]]="","", Table13[[#This Row],[DataOffset]])</f>
        <v>0</v>
      </c>
      <c r="AL974" s="24"/>
      <c r="AM974" s="24" t="str">
        <f>IF(Table13[[#This Row],[value Type]]="","", "0x"&amp;DEC2HEX(Table13[[#This Row],[ADDR_Offset]],8) )</f>
        <v>0x00001000</v>
      </c>
    </row>
    <row r="975" spans="2:39" x14ac:dyDescent="0.3">
      <c r="B975" s="12">
        <v>3000</v>
      </c>
      <c r="C975" s="14" t="s">
        <v>525</v>
      </c>
      <c r="D975" s="14" t="s">
        <v>388</v>
      </c>
      <c r="E975" s="24" t="s">
        <v>349</v>
      </c>
      <c r="F975" s="24">
        <v>1</v>
      </c>
      <c r="G975" s="14" t="s">
        <v>560</v>
      </c>
      <c r="H975" s="15"/>
      <c r="I975" s="101" t="str">
        <f>DEC2HEX(HEX2DEC(Table13[[#This Row],[Index]])/4+Table13[[#This Row],[SUB]],4)</f>
        <v>0C00</v>
      </c>
      <c r="J975" s="15" t="s">
        <v>747</v>
      </c>
      <c r="K975" s="15" t="s">
        <v>755</v>
      </c>
      <c r="L975" s="14">
        <v>32</v>
      </c>
      <c r="M975" s="35">
        <v>0</v>
      </c>
      <c r="N975" s="15" t="s">
        <v>400</v>
      </c>
      <c r="O975" s="25" t="s">
        <v>402</v>
      </c>
      <c r="P975" s="25">
        <v>1</v>
      </c>
      <c r="Q975" s="26" t="s">
        <v>80</v>
      </c>
      <c r="R975" s="27" t="s">
        <v>410</v>
      </c>
      <c r="S975" s="27" t="s">
        <v>405</v>
      </c>
      <c r="T975" s="27">
        <v>0</v>
      </c>
      <c r="U975" s="28">
        <v>2048</v>
      </c>
      <c r="V975" s="14"/>
      <c r="W975" s="14"/>
      <c r="X975" s="30" t="str">
        <f>IF(Table13[[#This Row],[value Type]]="","",VLOOKUP(Table13[[#This Row],[value Type]],Table2915[],2,FALSE))</f>
        <v>waveform</v>
      </c>
      <c r="Y975" s="30" t="str">
        <f>IF(Table13[[#This Row],[value Type]]="","",VLOOKUP(Table13[[#This Row],[value Type]],Table2915[],3,FALSE))</f>
        <v>asynParamInt32Array</v>
      </c>
      <c r="Z975" s="64" t="str">
        <f>IF(Table13[[#This Row],[value Type]]="","",VLOOKUP(Table13[[#This Row],[value Type]],Table2915[],4,FALSE))</f>
        <v>"asynInt32ArrayOut"</v>
      </c>
      <c r="AA975" s="64" t="str">
        <f>IF(Table13[[#This Row],[value Type]]="","",    IF(Table13[[#This Row],[IP MAX]]="","","@"  )     )</f>
        <v>@</v>
      </c>
      <c r="AB975" s="79" t="str">
        <f>IF(Table13[[#This Row],[value Type]]="","",VLOOKUP(Table13[[#This Row],[value Type]],Table2915[],5,FALSE))</f>
        <v>"LONG"</v>
      </c>
      <c r="AC9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975" s="79">
        <f>IF(Table13[[#This Row],[value Type]]="","",VLOOKUP(Table13[[#This Row],[IP]],Table51117[],2,FALSE))</f>
        <v>2</v>
      </c>
      <c r="AE975" s="79" t="str">
        <f>IF(Table13[[#This Row],[value Type]]="","",    IF(Table13[[#This Row],[IP MAX]]="","0","@"  )     )</f>
        <v>@</v>
      </c>
      <c r="AF975" s="68">
        <f>IF(Table13[[#This Row],[value Type]]="","",VLOOKUP(Table13[[#This Row],[Acc Type]],Table2[],2,FALSE))</f>
        <v>0</v>
      </c>
      <c r="AG975" s="75">
        <f>IF(Table13[[#This Row],[value Type]]="","",4*HEX2DEC(Table13[[#This Row],[Addr'[HEX']]]))</f>
        <v>12288</v>
      </c>
      <c r="AH975" s="75">
        <f>IF(Table13[[#This Row],[value Type]]="","",VLOOKUP(Table13[[#This Row],[AddrTypeI]],Table22[],2,FALSE))</f>
        <v>0</v>
      </c>
      <c r="AI975" s="68">
        <f>IF(Table13[[#This Row],[value Type]]="","",VLOOKUP(Table13[[#This Row],[DataType]],Table351218[],2,FALSE))</f>
        <v>8</v>
      </c>
      <c r="AJ975" s="68">
        <f>IF(Table13[[#This Row],[value Type]]="","",Table13[[#This Row],[DataWidth]])</f>
        <v>32</v>
      </c>
      <c r="AK975" s="68">
        <f>IF(Table13[[#This Row],[value Type]]="","", Table13[[#This Row],[DataOffset]])</f>
        <v>0</v>
      </c>
      <c r="AL975" s="24"/>
      <c r="AM975" s="24" t="str">
        <f>IF(Table13[[#This Row],[value Type]]="","", "0x"&amp;DEC2HEX(Table13[[#This Row],[ADDR_Offset]],8) )</f>
        <v>0x00003000</v>
      </c>
    </row>
    <row r="976" spans="2:39" x14ac:dyDescent="0.3">
      <c r="B976" s="14"/>
      <c r="C976" s="14"/>
      <c r="D976" s="14"/>
      <c r="E976" s="24"/>
      <c r="F976" s="24"/>
      <c r="G976" s="14"/>
      <c r="H976" s="36"/>
      <c r="I976" s="29"/>
      <c r="J976" s="15"/>
      <c r="K976" s="15"/>
      <c r="L976" s="14"/>
      <c r="M976" s="35"/>
      <c r="N976" s="15"/>
      <c r="O976" s="88"/>
      <c r="P976" s="25"/>
      <c r="Q976" s="15"/>
      <c r="R976" s="26"/>
      <c r="S976" s="27"/>
      <c r="T976" s="27"/>
      <c r="U976" s="28"/>
      <c r="V976" s="14"/>
      <c r="W976" s="14"/>
      <c r="X976" s="30" t="str">
        <f>IF(Table13[[#This Row],[value Type]]="","",VLOOKUP(Table13[[#This Row],[value Type]],Table2915[],2,FALSE))</f>
        <v/>
      </c>
      <c r="Y976" s="30" t="str">
        <f>IF(Table13[[#This Row],[value Type]]="","",VLOOKUP(Table13[[#This Row],[value Type]],Table2915[],3,FALSE))</f>
        <v/>
      </c>
      <c r="Z976" s="64" t="str">
        <f>IF(Table13[[#This Row],[value Type]]="","",VLOOKUP(Table13[[#This Row],[value Type]],Table2915[],4,FALSE))</f>
        <v/>
      </c>
      <c r="AA976" s="64" t="str">
        <f>IF(Table13[[#This Row],[value Type]]="","",    IF(Table13[[#This Row],[IP MAX]]="","","@"  )     )</f>
        <v/>
      </c>
      <c r="AB976" s="79" t="str">
        <f>IF(Table13[[#This Row],[value Type]]="","",VLOOKUP(Table13[[#This Row],[value Type]],Table2915[],5,FALSE))</f>
        <v/>
      </c>
      <c r="AC9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6" s="79" t="str">
        <f>IF(Table13[[#This Row],[value Type]]="","",VLOOKUP(Table13[[#This Row],[IP]],Table51117[],2,FALSE))</f>
        <v/>
      </c>
      <c r="AE976" s="79"/>
      <c r="AF976" s="68" t="str">
        <f>IF(Table13[[#This Row],[value Type]]="","",VLOOKUP(Table13[[#This Row],[Acc Type]],Table2[],2,FALSE))</f>
        <v/>
      </c>
      <c r="AG976" s="75" t="str">
        <f>IF(Table13[[#This Row],[value Type]]="","",4*HEX2DEC(Table13[[#This Row],[Addr'[HEX']]]))</f>
        <v/>
      </c>
      <c r="AH976" s="75" t="str">
        <f>IF(Table13[[#This Row],[value Type]]="","",VLOOKUP(Table13[[#This Row],[AddrTypeI]],Table22[],2,FALSE))</f>
        <v/>
      </c>
      <c r="AI976" s="68" t="str">
        <f>IF(Table13[[#This Row],[value Type]]="","",VLOOKUP(Table13[[#This Row],[DataType]],Table351218[],2,FALSE))</f>
        <v/>
      </c>
      <c r="AJ976" s="68" t="str">
        <f>IF(Table13[[#This Row],[value Type]]="","",Table13[[#This Row],[DataWidth]])</f>
        <v/>
      </c>
      <c r="AK976" s="68" t="str">
        <f>IF(Table13[[#This Row],[value Type]]="","", Table13[[#This Row],[DataOffset]])</f>
        <v/>
      </c>
      <c r="AL976" s="24"/>
      <c r="AM976" s="24" t="str">
        <f>IF(Table13[[#This Row],[value Type]]="","", "0x"&amp;DEC2HEX(Table13[[#This Row],[ADDR_Offset]],8) )</f>
        <v/>
      </c>
    </row>
    <row r="977" spans="2:39" x14ac:dyDescent="0.3">
      <c r="B977" s="14"/>
      <c r="C977" s="14"/>
      <c r="D977" s="14"/>
      <c r="E977" s="24"/>
      <c r="F977" s="24"/>
      <c r="G977" s="14"/>
      <c r="H977" s="36"/>
      <c r="I977" s="29"/>
      <c r="J977" s="15"/>
      <c r="K977" s="15"/>
      <c r="L977" s="14"/>
      <c r="M977" s="35"/>
      <c r="N977" s="15"/>
      <c r="O977" s="88"/>
      <c r="P977" s="25"/>
      <c r="Q977" s="15"/>
      <c r="R977" s="26"/>
      <c r="S977" s="27"/>
      <c r="T977" s="27"/>
      <c r="U977" s="28"/>
      <c r="V977" s="14"/>
      <c r="W977" s="14"/>
      <c r="X977" s="30" t="str">
        <f>IF(Table13[[#This Row],[value Type]]="","",VLOOKUP(Table13[[#This Row],[value Type]],Table2915[],2,FALSE))</f>
        <v/>
      </c>
      <c r="Y977" s="30" t="str">
        <f>IF(Table13[[#This Row],[value Type]]="","",VLOOKUP(Table13[[#This Row],[value Type]],Table2915[],3,FALSE))</f>
        <v/>
      </c>
      <c r="Z977" s="64" t="str">
        <f>IF(Table13[[#This Row],[value Type]]="","",VLOOKUP(Table13[[#This Row],[value Type]],Table2915[],4,FALSE))</f>
        <v/>
      </c>
      <c r="AA977" s="64" t="str">
        <f>IF(Table13[[#This Row],[value Type]]="","",    IF(Table13[[#This Row],[IP MAX]]="","","@"  )     )</f>
        <v/>
      </c>
      <c r="AB977" s="79" t="str">
        <f>IF(Table13[[#This Row],[value Type]]="","",VLOOKUP(Table13[[#This Row],[value Type]],Table2915[],5,FALSE))</f>
        <v/>
      </c>
      <c r="AC9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7" s="79" t="str">
        <f>IF(Table13[[#This Row],[value Type]]="","",VLOOKUP(Table13[[#This Row],[IP]],Table51117[],2,FALSE))</f>
        <v/>
      </c>
      <c r="AE977" s="79"/>
      <c r="AF977" s="68" t="str">
        <f>IF(Table13[[#This Row],[value Type]]="","",VLOOKUP(Table13[[#This Row],[Acc Type]],Table2[],2,FALSE))</f>
        <v/>
      </c>
      <c r="AG977" s="75" t="str">
        <f>IF(Table13[[#This Row],[value Type]]="","",4*HEX2DEC(Table13[[#This Row],[Addr'[HEX']]]))</f>
        <v/>
      </c>
      <c r="AH977" s="75" t="str">
        <f>IF(Table13[[#This Row],[value Type]]="","",VLOOKUP(Table13[[#This Row],[AddrTypeI]],Table22[],2,FALSE))</f>
        <v/>
      </c>
      <c r="AI977" s="68" t="str">
        <f>IF(Table13[[#This Row],[value Type]]="","",VLOOKUP(Table13[[#This Row],[DataType]],Table351218[],2,FALSE))</f>
        <v/>
      </c>
      <c r="AJ977" s="68" t="str">
        <f>IF(Table13[[#This Row],[value Type]]="","",Table13[[#This Row],[DataWidth]])</f>
        <v/>
      </c>
      <c r="AK977" s="68" t="str">
        <f>IF(Table13[[#This Row],[value Type]]="","", Table13[[#This Row],[DataOffset]])</f>
        <v/>
      </c>
      <c r="AL977" s="24"/>
      <c r="AM977" s="24" t="str">
        <f>IF(Table13[[#This Row],[value Type]]="","", "0x"&amp;DEC2HEX(Table13[[#This Row],[ADDR_Offset]],8) )</f>
        <v/>
      </c>
    </row>
    <row r="978" spans="2:39" x14ac:dyDescent="0.3">
      <c r="B978" s="14"/>
      <c r="C978" s="14"/>
      <c r="D978" s="14"/>
      <c r="E978" s="24"/>
      <c r="F978" s="24"/>
      <c r="G978" s="14"/>
      <c r="H978" s="36"/>
      <c r="I978" s="29"/>
      <c r="J978" s="15"/>
      <c r="K978" s="15"/>
      <c r="L978" s="14"/>
      <c r="M978" s="35"/>
      <c r="N978" s="15"/>
      <c r="O978" s="88"/>
      <c r="P978" s="25"/>
      <c r="Q978" s="15"/>
      <c r="R978" s="26"/>
      <c r="S978" s="27"/>
      <c r="T978" s="27"/>
      <c r="U978" s="28"/>
      <c r="V978" s="14"/>
      <c r="W978" s="14"/>
      <c r="X978" s="30" t="str">
        <f>IF(Table13[[#This Row],[value Type]]="","",VLOOKUP(Table13[[#This Row],[value Type]],Table2915[],2,FALSE))</f>
        <v/>
      </c>
      <c r="Y978" s="30" t="str">
        <f>IF(Table13[[#This Row],[value Type]]="","",VLOOKUP(Table13[[#This Row],[value Type]],Table2915[],3,FALSE))</f>
        <v/>
      </c>
      <c r="Z978" s="64" t="str">
        <f>IF(Table13[[#This Row],[value Type]]="","",VLOOKUP(Table13[[#This Row],[value Type]],Table2915[],4,FALSE))</f>
        <v/>
      </c>
      <c r="AA978" s="64" t="str">
        <f>IF(Table13[[#This Row],[value Type]]="","",    IF(Table13[[#This Row],[IP MAX]]="","","@"  )     )</f>
        <v/>
      </c>
      <c r="AB978" s="79" t="str">
        <f>IF(Table13[[#This Row],[value Type]]="","",VLOOKUP(Table13[[#This Row],[value Type]],Table2915[],5,FALSE))</f>
        <v/>
      </c>
      <c r="AC9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8" s="79" t="str">
        <f>IF(Table13[[#This Row],[value Type]]="","",VLOOKUP(Table13[[#This Row],[IP]],Table51117[],2,FALSE))</f>
        <v/>
      </c>
      <c r="AE978" s="79"/>
      <c r="AF978" s="68" t="str">
        <f>IF(Table13[[#This Row],[value Type]]="","",VLOOKUP(Table13[[#This Row],[Acc Type]],Table2[],2,FALSE))</f>
        <v/>
      </c>
      <c r="AG978" s="75" t="str">
        <f>IF(Table13[[#This Row],[value Type]]="","",4*HEX2DEC(Table13[[#This Row],[Addr'[HEX']]]))</f>
        <v/>
      </c>
      <c r="AH978" s="75" t="str">
        <f>IF(Table13[[#This Row],[value Type]]="","",VLOOKUP(Table13[[#This Row],[AddrTypeI]],Table22[],2,FALSE))</f>
        <v/>
      </c>
      <c r="AI978" s="68" t="str">
        <f>IF(Table13[[#This Row],[value Type]]="","",VLOOKUP(Table13[[#This Row],[DataType]],Table351218[],2,FALSE))</f>
        <v/>
      </c>
      <c r="AJ978" s="68" t="str">
        <f>IF(Table13[[#This Row],[value Type]]="","",Table13[[#This Row],[DataWidth]])</f>
        <v/>
      </c>
      <c r="AK978" s="68" t="str">
        <f>IF(Table13[[#This Row],[value Type]]="","", Table13[[#This Row],[DataOffset]])</f>
        <v/>
      </c>
      <c r="AL978" s="24"/>
      <c r="AM978" s="24" t="str">
        <f>IF(Table13[[#This Row],[value Type]]="","", "0x"&amp;DEC2HEX(Table13[[#This Row],[ADDR_Offset]],8) )</f>
        <v/>
      </c>
    </row>
    <row r="979" spans="2:39" x14ac:dyDescent="0.3">
      <c r="B979" s="14"/>
      <c r="C979" s="14"/>
      <c r="D979" s="14"/>
      <c r="E979" s="24"/>
      <c r="F979" s="24"/>
      <c r="G979" s="14"/>
      <c r="H979" s="36"/>
      <c r="I979" s="29"/>
      <c r="J979" s="15"/>
      <c r="K979" s="15"/>
      <c r="L979" s="14"/>
      <c r="M979" s="35"/>
      <c r="N979" s="15"/>
      <c r="O979" s="88"/>
      <c r="P979" s="25"/>
      <c r="Q979" s="15"/>
      <c r="R979" s="26"/>
      <c r="S979" s="27"/>
      <c r="T979" s="27"/>
      <c r="U979" s="28"/>
      <c r="V979" s="14"/>
      <c r="W979" s="14"/>
      <c r="X979" s="30" t="str">
        <f>IF(Table13[[#This Row],[value Type]]="","",VLOOKUP(Table13[[#This Row],[value Type]],Table2915[],2,FALSE))</f>
        <v/>
      </c>
      <c r="Y979" s="30" t="str">
        <f>IF(Table13[[#This Row],[value Type]]="","",VLOOKUP(Table13[[#This Row],[value Type]],Table2915[],3,FALSE))</f>
        <v/>
      </c>
      <c r="Z979" s="64" t="str">
        <f>IF(Table13[[#This Row],[value Type]]="","",VLOOKUP(Table13[[#This Row],[value Type]],Table2915[],4,FALSE))</f>
        <v/>
      </c>
      <c r="AA979" s="64" t="str">
        <f>IF(Table13[[#This Row],[value Type]]="","",    IF(Table13[[#This Row],[IP MAX]]="","","@"  )     )</f>
        <v/>
      </c>
      <c r="AB979" s="79" t="str">
        <f>IF(Table13[[#This Row],[value Type]]="","",VLOOKUP(Table13[[#This Row],[value Type]],Table2915[],5,FALSE))</f>
        <v/>
      </c>
      <c r="AC9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9" s="79" t="str">
        <f>IF(Table13[[#This Row],[value Type]]="","",VLOOKUP(Table13[[#This Row],[IP]],Table51117[],2,FALSE))</f>
        <v/>
      </c>
      <c r="AE979" s="79"/>
      <c r="AF979" s="68" t="str">
        <f>IF(Table13[[#This Row],[value Type]]="","",VLOOKUP(Table13[[#This Row],[Acc Type]],Table2[],2,FALSE))</f>
        <v/>
      </c>
      <c r="AG979" s="75" t="str">
        <f>IF(Table13[[#This Row],[value Type]]="","",4*HEX2DEC(Table13[[#This Row],[Addr'[HEX']]]))</f>
        <v/>
      </c>
      <c r="AH979" s="75" t="str">
        <f>IF(Table13[[#This Row],[value Type]]="","",VLOOKUP(Table13[[#This Row],[AddrTypeI]],Table22[],2,FALSE))</f>
        <v/>
      </c>
      <c r="AI979" s="68" t="str">
        <f>IF(Table13[[#This Row],[value Type]]="","",VLOOKUP(Table13[[#This Row],[DataType]],Table351218[],2,FALSE))</f>
        <v/>
      </c>
      <c r="AJ979" s="68" t="str">
        <f>IF(Table13[[#This Row],[value Type]]="","",Table13[[#This Row],[DataWidth]])</f>
        <v/>
      </c>
      <c r="AK979" s="68" t="str">
        <f>IF(Table13[[#This Row],[value Type]]="","", Table13[[#This Row],[DataOffset]])</f>
        <v/>
      </c>
      <c r="AL979" s="24"/>
      <c r="AM979" s="24" t="str">
        <f>IF(Table13[[#This Row],[value Type]]="","", "0x"&amp;DEC2HEX(Table13[[#This Row],[ADDR_Offset]],8) )</f>
        <v/>
      </c>
    </row>
    <row r="980" spans="2:39" x14ac:dyDescent="0.3">
      <c r="B980" s="14"/>
      <c r="C980" s="14"/>
      <c r="D980" s="14"/>
      <c r="E980" s="24"/>
      <c r="F980" s="24"/>
      <c r="G980" s="14"/>
      <c r="H980" s="36"/>
      <c r="I980" s="29"/>
      <c r="J980" s="15"/>
      <c r="K980" s="15"/>
      <c r="L980" s="14"/>
      <c r="M980" s="35"/>
      <c r="N980" s="15"/>
      <c r="O980" s="88"/>
      <c r="P980" s="25"/>
      <c r="Q980" s="15"/>
      <c r="R980" s="26"/>
      <c r="S980" s="27"/>
      <c r="T980" s="27"/>
      <c r="U980" s="28"/>
      <c r="V980" s="14"/>
      <c r="W980" s="14"/>
      <c r="X980" s="30" t="str">
        <f>IF(Table13[[#This Row],[value Type]]="","",VLOOKUP(Table13[[#This Row],[value Type]],Table2915[],2,FALSE))</f>
        <v/>
      </c>
      <c r="Y980" s="30" t="str">
        <f>IF(Table13[[#This Row],[value Type]]="","",VLOOKUP(Table13[[#This Row],[value Type]],Table2915[],3,FALSE))</f>
        <v/>
      </c>
      <c r="Z980" s="64" t="str">
        <f>IF(Table13[[#This Row],[value Type]]="","",VLOOKUP(Table13[[#This Row],[value Type]],Table2915[],4,FALSE))</f>
        <v/>
      </c>
      <c r="AA980" s="64" t="str">
        <f>IF(Table13[[#This Row],[value Type]]="","",    IF(Table13[[#This Row],[IP MAX]]="","","@"  )     )</f>
        <v/>
      </c>
      <c r="AB980" s="79" t="str">
        <f>IF(Table13[[#This Row],[value Type]]="","",VLOOKUP(Table13[[#This Row],[value Type]],Table2915[],5,FALSE))</f>
        <v/>
      </c>
      <c r="AC9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0" s="79" t="str">
        <f>IF(Table13[[#This Row],[value Type]]="","",VLOOKUP(Table13[[#This Row],[IP]],Table51117[],2,FALSE))</f>
        <v/>
      </c>
      <c r="AE980" s="79"/>
      <c r="AF980" s="68" t="str">
        <f>IF(Table13[[#This Row],[value Type]]="","",VLOOKUP(Table13[[#This Row],[Acc Type]],Table2[],2,FALSE))</f>
        <v/>
      </c>
      <c r="AG980" s="75" t="str">
        <f>IF(Table13[[#This Row],[value Type]]="","",4*HEX2DEC(Table13[[#This Row],[Addr'[HEX']]]))</f>
        <v/>
      </c>
      <c r="AH980" s="75" t="str">
        <f>IF(Table13[[#This Row],[value Type]]="","",VLOOKUP(Table13[[#This Row],[AddrTypeI]],Table22[],2,FALSE))</f>
        <v/>
      </c>
      <c r="AI980" s="68" t="str">
        <f>IF(Table13[[#This Row],[value Type]]="","",VLOOKUP(Table13[[#This Row],[DataType]],Table351218[],2,FALSE))</f>
        <v/>
      </c>
      <c r="AJ980" s="68" t="str">
        <f>IF(Table13[[#This Row],[value Type]]="","",Table13[[#This Row],[DataWidth]])</f>
        <v/>
      </c>
      <c r="AK980" s="68" t="str">
        <f>IF(Table13[[#This Row],[value Type]]="","", Table13[[#This Row],[DataOffset]])</f>
        <v/>
      </c>
      <c r="AL980" s="24"/>
      <c r="AM980" s="24" t="str">
        <f>IF(Table13[[#This Row],[value Type]]="","", "0x"&amp;DEC2HEX(Table13[[#This Row],[ADDR_Offset]],8) )</f>
        <v/>
      </c>
    </row>
    <row r="981" spans="2:39" x14ac:dyDescent="0.3">
      <c r="B981" s="14"/>
      <c r="C981" s="14"/>
      <c r="D981" s="14"/>
      <c r="E981" s="24"/>
      <c r="F981" s="24"/>
      <c r="G981" s="14"/>
      <c r="H981" s="36"/>
      <c r="I981" s="29"/>
      <c r="J981" s="15"/>
      <c r="K981" s="15"/>
      <c r="L981" s="14"/>
      <c r="M981" s="35"/>
      <c r="N981" s="15"/>
      <c r="O981" s="88"/>
      <c r="P981" s="25"/>
      <c r="Q981" s="15"/>
      <c r="R981" s="26"/>
      <c r="S981" s="27"/>
      <c r="T981" s="27"/>
      <c r="U981" s="28"/>
      <c r="V981" s="14"/>
      <c r="W981" s="14"/>
      <c r="X981" s="30" t="str">
        <f>IF(Table13[[#This Row],[value Type]]="","",VLOOKUP(Table13[[#This Row],[value Type]],Table2915[],2,FALSE))</f>
        <v/>
      </c>
      <c r="Y981" s="30" t="str">
        <f>IF(Table13[[#This Row],[value Type]]="","",VLOOKUP(Table13[[#This Row],[value Type]],Table2915[],3,FALSE))</f>
        <v/>
      </c>
      <c r="Z981" s="64" t="str">
        <f>IF(Table13[[#This Row],[value Type]]="","",VLOOKUP(Table13[[#This Row],[value Type]],Table2915[],4,FALSE))</f>
        <v/>
      </c>
      <c r="AA981" s="64" t="str">
        <f>IF(Table13[[#This Row],[value Type]]="","",    IF(Table13[[#This Row],[IP MAX]]="","","@"  )     )</f>
        <v/>
      </c>
      <c r="AB981" s="79" t="str">
        <f>IF(Table13[[#This Row],[value Type]]="","",VLOOKUP(Table13[[#This Row],[value Type]],Table2915[],5,FALSE))</f>
        <v/>
      </c>
      <c r="AC9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1" s="79" t="str">
        <f>IF(Table13[[#This Row],[value Type]]="","",VLOOKUP(Table13[[#This Row],[IP]],Table51117[],2,FALSE))</f>
        <v/>
      </c>
      <c r="AE981" s="79"/>
      <c r="AF981" s="68" t="str">
        <f>IF(Table13[[#This Row],[value Type]]="","",VLOOKUP(Table13[[#This Row],[Acc Type]],Table2[],2,FALSE))</f>
        <v/>
      </c>
      <c r="AG981" s="75" t="str">
        <f>IF(Table13[[#This Row],[value Type]]="","",4*HEX2DEC(Table13[[#This Row],[Addr'[HEX']]]))</f>
        <v/>
      </c>
      <c r="AH981" s="75" t="str">
        <f>IF(Table13[[#This Row],[value Type]]="","",VLOOKUP(Table13[[#This Row],[AddrTypeI]],Table22[],2,FALSE))</f>
        <v/>
      </c>
      <c r="AI981" s="68" t="str">
        <f>IF(Table13[[#This Row],[value Type]]="","",VLOOKUP(Table13[[#This Row],[DataType]],Table351218[],2,FALSE))</f>
        <v/>
      </c>
      <c r="AJ981" s="68" t="str">
        <f>IF(Table13[[#This Row],[value Type]]="","",Table13[[#This Row],[DataWidth]])</f>
        <v/>
      </c>
      <c r="AK981" s="68" t="str">
        <f>IF(Table13[[#This Row],[value Type]]="","", Table13[[#This Row],[DataOffset]])</f>
        <v/>
      </c>
      <c r="AL981" s="24"/>
      <c r="AM981" s="24" t="str">
        <f>IF(Table13[[#This Row],[value Type]]="","", "0x"&amp;DEC2HEX(Table13[[#This Row],[ADDR_Offset]],8) )</f>
        <v/>
      </c>
    </row>
    <row r="982" spans="2:39" x14ac:dyDescent="0.3">
      <c r="B982" s="14"/>
      <c r="C982" s="14"/>
      <c r="D982" s="14"/>
      <c r="E982" s="24"/>
      <c r="F982" s="24"/>
      <c r="G982" s="14"/>
      <c r="H982" s="36"/>
      <c r="I982" s="29"/>
      <c r="J982" s="15"/>
      <c r="K982" s="15"/>
      <c r="L982" s="14"/>
      <c r="M982" s="35"/>
      <c r="N982" s="15"/>
      <c r="O982" s="88"/>
      <c r="P982" s="25"/>
      <c r="Q982" s="15"/>
      <c r="R982" s="26"/>
      <c r="S982" s="27"/>
      <c r="T982" s="27"/>
      <c r="U982" s="28"/>
      <c r="V982" s="14"/>
      <c r="W982" s="14"/>
      <c r="X982" s="30" t="str">
        <f>IF(Table13[[#This Row],[value Type]]="","",VLOOKUP(Table13[[#This Row],[value Type]],Table2915[],2,FALSE))</f>
        <v/>
      </c>
      <c r="Y982" s="30" t="str">
        <f>IF(Table13[[#This Row],[value Type]]="","",VLOOKUP(Table13[[#This Row],[value Type]],Table2915[],3,FALSE))</f>
        <v/>
      </c>
      <c r="Z982" s="64" t="str">
        <f>IF(Table13[[#This Row],[value Type]]="","",VLOOKUP(Table13[[#This Row],[value Type]],Table2915[],4,FALSE))</f>
        <v/>
      </c>
      <c r="AA982" s="64" t="str">
        <f>IF(Table13[[#This Row],[value Type]]="","",    IF(Table13[[#This Row],[IP MAX]]="","","@"  )     )</f>
        <v/>
      </c>
      <c r="AB982" s="79" t="str">
        <f>IF(Table13[[#This Row],[value Type]]="","",VLOOKUP(Table13[[#This Row],[value Type]],Table2915[],5,FALSE))</f>
        <v/>
      </c>
      <c r="AC9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2" s="79" t="str">
        <f>IF(Table13[[#This Row],[value Type]]="","",VLOOKUP(Table13[[#This Row],[IP]],Table51117[],2,FALSE))</f>
        <v/>
      </c>
      <c r="AE982" s="79"/>
      <c r="AF982" s="68" t="str">
        <f>IF(Table13[[#This Row],[value Type]]="","",VLOOKUP(Table13[[#This Row],[Acc Type]],Table2[],2,FALSE))</f>
        <v/>
      </c>
      <c r="AG982" s="75" t="str">
        <f>IF(Table13[[#This Row],[value Type]]="","",4*HEX2DEC(Table13[[#This Row],[Addr'[HEX']]]))</f>
        <v/>
      </c>
      <c r="AH982" s="75" t="str">
        <f>IF(Table13[[#This Row],[value Type]]="","",VLOOKUP(Table13[[#This Row],[AddrTypeI]],Table22[],2,FALSE))</f>
        <v/>
      </c>
      <c r="AI982" s="68" t="str">
        <f>IF(Table13[[#This Row],[value Type]]="","",VLOOKUP(Table13[[#This Row],[DataType]],Table351218[],2,FALSE))</f>
        <v/>
      </c>
      <c r="AJ982" s="68" t="str">
        <f>IF(Table13[[#This Row],[value Type]]="","",Table13[[#This Row],[DataWidth]])</f>
        <v/>
      </c>
      <c r="AK982" s="68" t="str">
        <f>IF(Table13[[#This Row],[value Type]]="","", Table13[[#This Row],[DataOffset]])</f>
        <v/>
      </c>
      <c r="AL982" s="24"/>
      <c r="AM982" s="24" t="str">
        <f>IF(Table13[[#This Row],[value Type]]="","", "0x"&amp;DEC2HEX(Table13[[#This Row],[ADDR_Offset]],8) )</f>
        <v/>
      </c>
    </row>
    <row r="983" spans="2:39" x14ac:dyDescent="0.3">
      <c r="B983" s="14"/>
      <c r="C983" s="14"/>
      <c r="D983" s="14"/>
      <c r="E983" s="24"/>
      <c r="F983" s="24"/>
      <c r="G983" s="14"/>
      <c r="H983" s="36"/>
      <c r="I983" s="29"/>
      <c r="J983" s="15"/>
      <c r="K983" s="15"/>
      <c r="L983" s="14"/>
      <c r="M983" s="35"/>
      <c r="N983" s="15"/>
      <c r="O983" s="88"/>
      <c r="P983" s="25"/>
      <c r="Q983" s="15"/>
      <c r="R983" s="26"/>
      <c r="S983" s="27"/>
      <c r="T983" s="27"/>
      <c r="U983" s="28"/>
      <c r="V983" s="14"/>
      <c r="W983" s="14"/>
      <c r="X983" s="30" t="str">
        <f>IF(Table13[[#This Row],[value Type]]="","",VLOOKUP(Table13[[#This Row],[value Type]],Table2915[],2,FALSE))</f>
        <v/>
      </c>
      <c r="Y983" s="30" t="str">
        <f>IF(Table13[[#This Row],[value Type]]="","",VLOOKUP(Table13[[#This Row],[value Type]],Table2915[],3,FALSE))</f>
        <v/>
      </c>
      <c r="Z983" s="64" t="str">
        <f>IF(Table13[[#This Row],[value Type]]="","",VLOOKUP(Table13[[#This Row],[value Type]],Table2915[],4,FALSE))</f>
        <v/>
      </c>
      <c r="AA983" s="64" t="str">
        <f>IF(Table13[[#This Row],[value Type]]="","",    IF(Table13[[#This Row],[IP MAX]]="","","@"  )     )</f>
        <v/>
      </c>
      <c r="AB983" s="79" t="str">
        <f>IF(Table13[[#This Row],[value Type]]="","",VLOOKUP(Table13[[#This Row],[value Type]],Table2915[],5,FALSE))</f>
        <v/>
      </c>
      <c r="AC9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3" s="79" t="str">
        <f>IF(Table13[[#This Row],[value Type]]="","",VLOOKUP(Table13[[#This Row],[IP]],Table51117[],2,FALSE))</f>
        <v/>
      </c>
      <c r="AE983" s="79"/>
      <c r="AF983" s="68" t="str">
        <f>IF(Table13[[#This Row],[value Type]]="","",VLOOKUP(Table13[[#This Row],[Acc Type]],Table2[],2,FALSE))</f>
        <v/>
      </c>
      <c r="AG983" s="75" t="str">
        <f>IF(Table13[[#This Row],[value Type]]="","",4*HEX2DEC(Table13[[#This Row],[Addr'[HEX']]]))</f>
        <v/>
      </c>
      <c r="AH983" s="75" t="str">
        <f>IF(Table13[[#This Row],[value Type]]="","",VLOOKUP(Table13[[#This Row],[AddrTypeI]],Table22[],2,FALSE))</f>
        <v/>
      </c>
      <c r="AI983" s="68" t="str">
        <f>IF(Table13[[#This Row],[value Type]]="","",VLOOKUP(Table13[[#This Row],[DataType]],Table351218[],2,FALSE))</f>
        <v/>
      </c>
      <c r="AJ983" s="68" t="str">
        <f>IF(Table13[[#This Row],[value Type]]="","",Table13[[#This Row],[DataWidth]])</f>
        <v/>
      </c>
      <c r="AK983" s="68" t="str">
        <f>IF(Table13[[#This Row],[value Type]]="","", Table13[[#This Row],[DataOffset]])</f>
        <v/>
      </c>
      <c r="AL983" s="24"/>
      <c r="AM983" s="24" t="str">
        <f>IF(Table13[[#This Row],[value Type]]="","", "0x"&amp;DEC2HEX(Table13[[#This Row],[ADDR_Offset]],8) )</f>
        <v/>
      </c>
    </row>
    <row r="984" spans="2:39" x14ac:dyDescent="0.3">
      <c r="B984" s="14"/>
      <c r="C984" s="14"/>
      <c r="D984" s="14"/>
      <c r="E984" s="24"/>
      <c r="F984" s="24"/>
      <c r="G984" s="14"/>
      <c r="H984" s="36"/>
      <c r="I984" s="29"/>
      <c r="J984" s="15"/>
      <c r="K984" s="15"/>
      <c r="L984" s="14"/>
      <c r="M984" s="35"/>
      <c r="N984" s="15"/>
      <c r="O984" s="88"/>
      <c r="P984" s="25"/>
      <c r="Q984" s="15"/>
      <c r="R984" s="26"/>
      <c r="S984" s="27"/>
      <c r="T984" s="27"/>
      <c r="U984" s="28"/>
      <c r="V984" s="14"/>
      <c r="W984" s="14"/>
      <c r="X984" s="30" t="str">
        <f>IF(Table13[[#This Row],[value Type]]="","",VLOOKUP(Table13[[#This Row],[value Type]],Table2915[],2,FALSE))</f>
        <v/>
      </c>
      <c r="Y984" s="30" t="str">
        <f>IF(Table13[[#This Row],[value Type]]="","",VLOOKUP(Table13[[#This Row],[value Type]],Table2915[],3,FALSE))</f>
        <v/>
      </c>
      <c r="Z984" s="64" t="str">
        <f>IF(Table13[[#This Row],[value Type]]="","",VLOOKUP(Table13[[#This Row],[value Type]],Table2915[],4,FALSE))</f>
        <v/>
      </c>
      <c r="AA984" s="64" t="str">
        <f>IF(Table13[[#This Row],[value Type]]="","",    IF(Table13[[#This Row],[IP MAX]]="","","@"  )     )</f>
        <v/>
      </c>
      <c r="AB984" s="79" t="str">
        <f>IF(Table13[[#This Row],[value Type]]="","",VLOOKUP(Table13[[#This Row],[value Type]],Table2915[],5,FALSE))</f>
        <v/>
      </c>
      <c r="AC9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4" s="79" t="str">
        <f>IF(Table13[[#This Row],[value Type]]="","",VLOOKUP(Table13[[#This Row],[IP]],Table51117[],2,FALSE))</f>
        <v/>
      </c>
      <c r="AE984" s="79"/>
      <c r="AF984" s="68" t="str">
        <f>IF(Table13[[#This Row],[value Type]]="","",VLOOKUP(Table13[[#This Row],[Acc Type]],Table2[],2,FALSE))</f>
        <v/>
      </c>
      <c r="AG984" s="75" t="str">
        <f>IF(Table13[[#This Row],[value Type]]="","",4*HEX2DEC(Table13[[#This Row],[Addr'[HEX']]]))</f>
        <v/>
      </c>
      <c r="AH984" s="75" t="str">
        <f>IF(Table13[[#This Row],[value Type]]="","",VLOOKUP(Table13[[#This Row],[AddrTypeI]],Table22[],2,FALSE))</f>
        <v/>
      </c>
      <c r="AI984" s="68" t="str">
        <f>IF(Table13[[#This Row],[value Type]]="","",VLOOKUP(Table13[[#This Row],[DataType]],Table351218[],2,FALSE))</f>
        <v/>
      </c>
      <c r="AJ984" s="68" t="str">
        <f>IF(Table13[[#This Row],[value Type]]="","",Table13[[#This Row],[DataWidth]])</f>
        <v/>
      </c>
      <c r="AK984" s="68" t="str">
        <f>IF(Table13[[#This Row],[value Type]]="","", Table13[[#This Row],[DataOffset]])</f>
        <v/>
      </c>
      <c r="AL984" s="24"/>
      <c r="AM984" s="24" t="str">
        <f>IF(Table13[[#This Row],[value Type]]="","", "0x"&amp;DEC2HEX(Table13[[#This Row],[ADDR_Offset]],8) )</f>
        <v/>
      </c>
    </row>
    <row r="985" spans="2:39" x14ac:dyDescent="0.3">
      <c r="B985" s="14"/>
      <c r="C985" s="14"/>
      <c r="D985" s="14"/>
      <c r="E985" s="24"/>
      <c r="F985" s="24"/>
      <c r="G985" s="14"/>
      <c r="H985" s="36"/>
      <c r="I985" s="29"/>
      <c r="J985" s="15"/>
      <c r="K985" s="15"/>
      <c r="L985" s="14"/>
      <c r="M985" s="35"/>
      <c r="N985" s="15"/>
      <c r="O985" s="88"/>
      <c r="P985" s="25"/>
      <c r="Q985" s="15"/>
      <c r="R985" s="26"/>
      <c r="S985" s="27"/>
      <c r="T985" s="27"/>
      <c r="U985" s="28"/>
      <c r="V985" s="14"/>
      <c r="W985" s="14"/>
      <c r="X985" s="30" t="str">
        <f>IF(Table13[[#This Row],[value Type]]="","",VLOOKUP(Table13[[#This Row],[value Type]],Table2915[],2,FALSE))</f>
        <v/>
      </c>
      <c r="Y985" s="30" t="str">
        <f>IF(Table13[[#This Row],[value Type]]="","",VLOOKUP(Table13[[#This Row],[value Type]],Table2915[],3,FALSE))</f>
        <v/>
      </c>
      <c r="Z985" s="64" t="str">
        <f>IF(Table13[[#This Row],[value Type]]="","",VLOOKUP(Table13[[#This Row],[value Type]],Table2915[],4,FALSE))</f>
        <v/>
      </c>
      <c r="AA985" s="64" t="str">
        <f>IF(Table13[[#This Row],[value Type]]="","",    IF(Table13[[#This Row],[IP MAX]]="","","@"  )     )</f>
        <v/>
      </c>
      <c r="AB985" s="79" t="str">
        <f>IF(Table13[[#This Row],[value Type]]="","",VLOOKUP(Table13[[#This Row],[value Type]],Table2915[],5,FALSE))</f>
        <v/>
      </c>
      <c r="AC9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5" s="79" t="str">
        <f>IF(Table13[[#This Row],[value Type]]="","",VLOOKUP(Table13[[#This Row],[IP]],Table51117[],2,FALSE))</f>
        <v/>
      </c>
      <c r="AE985" s="79"/>
      <c r="AF985" s="68" t="str">
        <f>IF(Table13[[#This Row],[value Type]]="","",VLOOKUP(Table13[[#This Row],[Acc Type]],Table2[],2,FALSE))</f>
        <v/>
      </c>
      <c r="AG985" s="75" t="str">
        <f>IF(Table13[[#This Row],[value Type]]="","",4*HEX2DEC(Table13[[#This Row],[Addr'[HEX']]]))</f>
        <v/>
      </c>
      <c r="AH985" s="75" t="str">
        <f>IF(Table13[[#This Row],[value Type]]="","",VLOOKUP(Table13[[#This Row],[AddrTypeI]],Table22[],2,FALSE))</f>
        <v/>
      </c>
      <c r="AI985" s="68" t="str">
        <f>IF(Table13[[#This Row],[value Type]]="","",VLOOKUP(Table13[[#This Row],[DataType]],Table351218[],2,FALSE))</f>
        <v/>
      </c>
      <c r="AJ985" s="68" t="str">
        <f>IF(Table13[[#This Row],[value Type]]="","",Table13[[#This Row],[DataWidth]])</f>
        <v/>
      </c>
      <c r="AK985" s="68" t="str">
        <f>IF(Table13[[#This Row],[value Type]]="","", Table13[[#This Row],[DataOffset]])</f>
        <v/>
      </c>
      <c r="AL985" s="24"/>
      <c r="AM985" s="24" t="str">
        <f>IF(Table13[[#This Row],[value Type]]="","", "0x"&amp;DEC2HEX(Table13[[#This Row],[ADDR_Offset]],8) )</f>
        <v/>
      </c>
    </row>
    <row r="986" spans="2:39" x14ac:dyDescent="0.3">
      <c r="B986" s="14"/>
      <c r="C986" s="14"/>
      <c r="D986" s="14"/>
      <c r="E986" s="24"/>
      <c r="F986" s="24"/>
      <c r="G986" s="14"/>
      <c r="H986" s="36"/>
      <c r="I986" s="29"/>
      <c r="J986" s="15"/>
      <c r="K986" s="15"/>
      <c r="L986" s="14"/>
      <c r="M986" s="35"/>
      <c r="N986" s="15"/>
      <c r="O986" s="88"/>
      <c r="P986" s="25"/>
      <c r="Q986" s="15"/>
      <c r="R986" s="26"/>
      <c r="S986" s="27"/>
      <c r="T986" s="27"/>
      <c r="U986" s="28"/>
      <c r="V986" s="14"/>
      <c r="W986" s="14"/>
      <c r="X986" s="30" t="str">
        <f>IF(Table13[[#This Row],[value Type]]="","",VLOOKUP(Table13[[#This Row],[value Type]],Table2915[],2,FALSE))</f>
        <v/>
      </c>
      <c r="Y986" s="30" t="str">
        <f>IF(Table13[[#This Row],[value Type]]="","",VLOOKUP(Table13[[#This Row],[value Type]],Table2915[],3,FALSE))</f>
        <v/>
      </c>
      <c r="Z986" s="64" t="str">
        <f>IF(Table13[[#This Row],[value Type]]="","",VLOOKUP(Table13[[#This Row],[value Type]],Table2915[],4,FALSE))</f>
        <v/>
      </c>
      <c r="AA986" s="64" t="str">
        <f>IF(Table13[[#This Row],[value Type]]="","",    IF(Table13[[#This Row],[IP MAX]]="","","@"  )     )</f>
        <v/>
      </c>
      <c r="AB986" s="79" t="str">
        <f>IF(Table13[[#This Row],[value Type]]="","",VLOOKUP(Table13[[#This Row],[value Type]],Table2915[],5,FALSE))</f>
        <v/>
      </c>
      <c r="AC9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6" s="79" t="str">
        <f>IF(Table13[[#This Row],[value Type]]="","",VLOOKUP(Table13[[#This Row],[IP]],Table51117[],2,FALSE))</f>
        <v/>
      </c>
      <c r="AE986" s="79"/>
      <c r="AF986" s="68" t="str">
        <f>IF(Table13[[#This Row],[value Type]]="","",VLOOKUP(Table13[[#This Row],[Acc Type]],Table2[],2,FALSE))</f>
        <v/>
      </c>
      <c r="AG986" s="75" t="str">
        <f>IF(Table13[[#This Row],[value Type]]="","",4*HEX2DEC(Table13[[#This Row],[Addr'[HEX']]]))</f>
        <v/>
      </c>
      <c r="AH986" s="75" t="str">
        <f>IF(Table13[[#This Row],[value Type]]="","",VLOOKUP(Table13[[#This Row],[AddrTypeI]],Table22[],2,FALSE))</f>
        <v/>
      </c>
      <c r="AI986" s="68" t="str">
        <f>IF(Table13[[#This Row],[value Type]]="","",VLOOKUP(Table13[[#This Row],[DataType]],Table351218[],2,FALSE))</f>
        <v/>
      </c>
      <c r="AJ986" s="68" t="str">
        <f>IF(Table13[[#This Row],[value Type]]="","",Table13[[#This Row],[DataWidth]])</f>
        <v/>
      </c>
      <c r="AK986" s="68" t="str">
        <f>IF(Table13[[#This Row],[value Type]]="","", Table13[[#This Row],[DataOffset]])</f>
        <v/>
      </c>
      <c r="AL986" s="24"/>
      <c r="AM986" s="24" t="str">
        <f>IF(Table13[[#This Row],[value Type]]="","", "0x"&amp;DEC2HEX(Table13[[#This Row],[ADDR_Offset]],8) )</f>
        <v/>
      </c>
    </row>
    <row r="987" spans="2:39" x14ac:dyDescent="0.3">
      <c r="B987" s="14"/>
      <c r="C987" s="14"/>
      <c r="D987" s="14"/>
      <c r="E987" s="24"/>
      <c r="F987" s="24"/>
      <c r="G987" s="14"/>
      <c r="H987" s="36"/>
      <c r="I987" s="29"/>
      <c r="J987" s="15"/>
      <c r="K987" s="15"/>
      <c r="L987" s="14"/>
      <c r="M987" s="35"/>
      <c r="N987" s="15"/>
      <c r="O987" s="88"/>
      <c r="P987" s="25"/>
      <c r="Q987" s="15"/>
      <c r="R987" s="26"/>
      <c r="S987" s="27"/>
      <c r="T987" s="27"/>
      <c r="U987" s="28"/>
      <c r="V987" s="14"/>
      <c r="W987" s="14"/>
      <c r="X987" s="30" t="str">
        <f>IF(Table13[[#This Row],[value Type]]="","",VLOOKUP(Table13[[#This Row],[value Type]],Table2915[],2,FALSE))</f>
        <v/>
      </c>
      <c r="Y987" s="30" t="str">
        <f>IF(Table13[[#This Row],[value Type]]="","",VLOOKUP(Table13[[#This Row],[value Type]],Table2915[],3,FALSE))</f>
        <v/>
      </c>
      <c r="Z987" s="64" t="str">
        <f>IF(Table13[[#This Row],[value Type]]="","",VLOOKUP(Table13[[#This Row],[value Type]],Table2915[],4,FALSE))</f>
        <v/>
      </c>
      <c r="AA987" s="64" t="str">
        <f>IF(Table13[[#This Row],[value Type]]="","",    IF(Table13[[#This Row],[IP MAX]]="","","@"  )     )</f>
        <v/>
      </c>
      <c r="AB987" s="79" t="str">
        <f>IF(Table13[[#This Row],[value Type]]="","",VLOOKUP(Table13[[#This Row],[value Type]],Table2915[],5,FALSE))</f>
        <v/>
      </c>
      <c r="AC9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7" s="79" t="str">
        <f>IF(Table13[[#This Row],[value Type]]="","",VLOOKUP(Table13[[#This Row],[IP]],Table51117[],2,FALSE))</f>
        <v/>
      </c>
      <c r="AE987" s="79"/>
      <c r="AF987" s="68" t="str">
        <f>IF(Table13[[#This Row],[value Type]]="","",VLOOKUP(Table13[[#This Row],[Acc Type]],Table2[],2,FALSE))</f>
        <v/>
      </c>
      <c r="AG987" s="75" t="str">
        <f>IF(Table13[[#This Row],[value Type]]="","",4*HEX2DEC(Table13[[#This Row],[Addr'[HEX']]]))</f>
        <v/>
      </c>
      <c r="AH987" s="75" t="str">
        <f>IF(Table13[[#This Row],[value Type]]="","",VLOOKUP(Table13[[#This Row],[AddrTypeI]],Table22[],2,FALSE))</f>
        <v/>
      </c>
      <c r="AI987" s="68" t="str">
        <f>IF(Table13[[#This Row],[value Type]]="","",VLOOKUP(Table13[[#This Row],[DataType]],Table351218[],2,FALSE))</f>
        <v/>
      </c>
      <c r="AJ987" s="68" t="str">
        <f>IF(Table13[[#This Row],[value Type]]="","",Table13[[#This Row],[DataWidth]])</f>
        <v/>
      </c>
      <c r="AK987" s="68" t="str">
        <f>IF(Table13[[#This Row],[value Type]]="","", Table13[[#This Row],[DataOffset]])</f>
        <v/>
      </c>
      <c r="AL987" s="24"/>
      <c r="AM987" s="24" t="str">
        <f>IF(Table13[[#This Row],[value Type]]="","", "0x"&amp;DEC2HEX(Table13[[#This Row],[ADDR_Offset]],8) )</f>
        <v/>
      </c>
    </row>
    <row r="988" spans="2:39" x14ac:dyDescent="0.3">
      <c r="B988" s="14"/>
      <c r="C988" s="14"/>
      <c r="D988" s="14"/>
      <c r="E988" s="24"/>
      <c r="F988" s="24"/>
      <c r="G988" s="14"/>
      <c r="H988" s="36"/>
      <c r="I988" s="29"/>
      <c r="J988" s="15"/>
      <c r="K988" s="15"/>
      <c r="L988" s="14"/>
      <c r="M988" s="35"/>
      <c r="N988" s="15"/>
      <c r="O988" s="88"/>
      <c r="P988" s="25"/>
      <c r="Q988" s="15"/>
      <c r="R988" s="26"/>
      <c r="S988" s="27"/>
      <c r="T988" s="27"/>
      <c r="U988" s="28"/>
      <c r="V988" s="14"/>
      <c r="W988" s="14"/>
      <c r="X988" s="30" t="str">
        <f>IF(Table13[[#This Row],[value Type]]="","",VLOOKUP(Table13[[#This Row],[value Type]],Table2915[],2,FALSE))</f>
        <v/>
      </c>
      <c r="Y988" s="30" t="str">
        <f>IF(Table13[[#This Row],[value Type]]="","",VLOOKUP(Table13[[#This Row],[value Type]],Table2915[],3,FALSE))</f>
        <v/>
      </c>
      <c r="Z988" s="64" t="str">
        <f>IF(Table13[[#This Row],[value Type]]="","",VLOOKUP(Table13[[#This Row],[value Type]],Table2915[],4,FALSE))</f>
        <v/>
      </c>
      <c r="AA988" s="64" t="str">
        <f>IF(Table13[[#This Row],[value Type]]="","",    IF(Table13[[#This Row],[IP MAX]]="","","@"  )     )</f>
        <v/>
      </c>
      <c r="AB988" s="79" t="str">
        <f>IF(Table13[[#This Row],[value Type]]="","",VLOOKUP(Table13[[#This Row],[value Type]],Table2915[],5,FALSE))</f>
        <v/>
      </c>
      <c r="AC9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8" s="79" t="str">
        <f>IF(Table13[[#This Row],[value Type]]="","",VLOOKUP(Table13[[#This Row],[IP]],Table51117[],2,FALSE))</f>
        <v/>
      </c>
      <c r="AE988" s="79"/>
      <c r="AF988" s="68" t="str">
        <f>IF(Table13[[#This Row],[value Type]]="","",VLOOKUP(Table13[[#This Row],[Acc Type]],Table2[],2,FALSE))</f>
        <v/>
      </c>
      <c r="AG988" s="75" t="str">
        <f>IF(Table13[[#This Row],[value Type]]="","",4*HEX2DEC(Table13[[#This Row],[Addr'[HEX']]]))</f>
        <v/>
      </c>
      <c r="AH988" s="75" t="str">
        <f>IF(Table13[[#This Row],[value Type]]="","",VLOOKUP(Table13[[#This Row],[AddrTypeI]],Table22[],2,FALSE))</f>
        <v/>
      </c>
      <c r="AI988" s="68" t="str">
        <f>IF(Table13[[#This Row],[value Type]]="","",VLOOKUP(Table13[[#This Row],[DataType]],Table351218[],2,FALSE))</f>
        <v/>
      </c>
      <c r="AJ988" s="68" t="str">
        <f>IF(Table13[[#This Row],[value Type]]="","",Table13[[#This Row],[DataWidth]])</f>
        <v/>
      </c>
      <c r="AK988" s="68" t="str">
        <f>IF(Table13[[#This Row],[value Type]]="","", Table13[[#This Row],[DataOffset]])</f>
        <v/>
      </c>
      <c r="AL988" s="24"/>
      <c r="AM988" s="24" t="str">
        <f>IF(Table13[[#This Row],[value Type]]="","", "0x"&amp;DEC2HEX(Table13[[#This Row],[ADDR_Offset]],8) )</f>
        <v/>
      </c>
    </row>
    <row r="989" spans="2:39" x14ac:dyDescent="0.3">
      <c r="B989" s="14"/>
      <c r="C989" s="14"/>
      <c r="D989" s="14"/>
      <c r="E989" s="24"/>
      <c r="F989" s="24"/>
      <c r="G989" s="14"/>
      <c r="H989" s="36"/>
      <c r="I989" s="29"/>
      <c r="J989" s="15"/>
      <c r="K989" s="15"/>
      <c r="L989" s="14"/>
      <c r="M989" s="35"/>
      <c r="N989" s="15"/>
      <c r="O989" s="88"/>
      <c r="P989" s="25"/>
      <c r="Q989" s="15"/>
      <c r="R989" s="26"/>
      <c r="S989" s="27"/>
      <c r="T989" s="27"/>
      <c r="U989" s="28"/>
      <c r="V989" s="14"/>
      <c r="W989" s="14"/>
      <c r="X989" s="30" t="str">
        <f>IF(Table13[[#This Row],[value Type]]="","",VLOOKUP(Table13[[#This Row],[value Type]],Table2915[],2,FALSE))</f>
        <v/>
      </c>
      <c r="Y989" s="30" t="str">
        <f>IF(Table13[[#This Row],[value Type]]="","",VLOOKUP(Table13[[#This Row],[value Type]],Table2915[],3,FALSE))</f>
        <v/>
      </c>
      <c r="Z989" s="64" t="str">
        <f>IF(Table13[[#This Row],[value Type]]="","",VLOOKUP(Table13[[#This Row],[value Type]],Table2915[],4,FALSE))</f>
        <v/>
      </c>
      <c r="AA989" s="64" t="str">
        <f>IF(Table13[[#This Row],[value Type]]="","",    IF(Table13[[#This Row],[IP MAX]]="","","@"  )     )</f>
        <v/>
      </c>
      <c r="AB989" s="79" t="str">
        <f>IF(Table13[[#This Row],[value Type]]="","",VLOOKUP(Table13[[#This Row],[value Type]],Table2915[],5,FALSE))</f>
        <v/>
      </c>
      <c r="AC9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89" s="79" t="str">
        <f>IF(Table13[[#This Row],[value Type]]="","",VLOOKUP(Table13[[#This Row],[IP]],Table51117[],2,FALSE))</f>
        <v/>
      </c>
      <c r="AE989" s="79"/>
      <c r="AF989" s="68" t="str">
        <f>IF(Table13[[#This Row],[value Type]]="","",VLOOKUP(Table13[[#This Row],[Acc Type]],Table2[],2,FALSE))</f>
        <v/>
      </c>
      <c r="AG989" s="75" t="str">
        <f>IF(Table13[[#This Row],[value Type]]="","",4*HEX2DEC(Table13[[#This Row],[Addr'[HEX']]]))</f>
        <v/>
      </c>
      <c r="AH989" s="75" t="str">
        <f>IF(Table13[[#This Row],[value Type]]="","",VLOOKUP(Table13[[#This Row],[AddrTypeI]],Table22[],2,FALSE))</f>
        <v/>
      </c>
      <c r="AI989" s="68" t="str">
        <f>IF(Table13[[#This Row],[value Type]]="","",VLOOKUP(Table13[[#This Row],[DataType]],Table351218[],2,FALSE))</f>
        <v/>
      </c>
      <c r="AJ989" s="68" t="str">
        <f>IF(Table13[[#This Row],[value Type]]="","",Table13[[#This Row],[DataWidth]])</f>
        <v/>
      </c>
      <c r="AK989" s="68" t="str">
        <f>IF(Table13[[#This Row],[value Type]]="","", Table13[[#This Row],[DataOffset]])</f>
        <v/>
      </c>
      <c r="AL989" s="24"/>
      <c r="AM989" s="24" t="str">
        <f>IF(Table13[[#This Row],[value Type]]="","", "0x"&amp;DEC2HEX(Table13[[#This Row],[ADDR_Offset]],8) )</f>
        <v/>
      </c>
    </row>
    <row r="990" spans="2:39" x14ac:dyDescent="0.3">
      <c r="B990" s="14"/>
      <c r="C990" s="14"/>
      <c r="D990" s="14"/>
      <c r="E990" s="24"/>
      <c r="F990" s="24"/>
      <c r="G990" s="14"/>
      <c r="H990" s="36"/>
      <c r="I990" s="29"/>
      <c r="J990" s="15"/>
      <c r="K990" s="15"/>
      <c r="L990" s="14"/>
      <c r="M990" s="35"/>
      <c r="N990" s="15"/>
      <c r="O990" s="88"/>
      <c r="P990" s="25"/>
      <c r="Q990" s="15"/>
      <c r="R990" s="26"/>
      <c r="S990" s="27"/>
      <c r="T990" s="27"/>
      <c r="U990" s="28"/>
      <c r="V990" s="14"/>
      <c r="W990" s="14"/>
      <c r="X990" s="30" t="str">
        <f>IF(Table13[[#This Row],[value Type]]="","",VLOOKUP(Table13[[#This Row],[value Type]],Table2915[],2,FALSE))</f>
        <v/>
      </c>
      <c r="Y990" s="30" t="str">
        <f>IF(Table13[[#This Row],[value Type]]="","",VLOOKUP(Table13[[#This Row],[value Type]],Table2915[],3,FALSE))</f>
        <v/>
      </c>
      <c r="Z990" s="64" t="str">
        <f>IF(Table13[[#This Row],[value Type]]="","",VLOOKUP(Table13[[#This Row],[value Type]],Table2915[],4,FALSE))</f>
        <v/>
      </c>
      <c r="AA990" s="64" t="str">
        <f>IF(Table13[[#This Row],[value Type]]="","",    IF(Table13[[#This Row],[IP MAX]]="","","@"  )     )</f>
        <v/>
      </c>
      <c r="AB990" s="79" t="str">
        <f>IF(Table13[[#This Row],[value Type]]="","",VLOOKUP(Table13[[#This Row],[value Type]],Table2915[],5,FALSE))</f>
        <v/>
      </c>
      <c r="AC9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0" s="79" t="str">
        <f>IF(Table13[[#This Row],[value Type]]="","",VLOOKUP(Table13[[#This Row],[IP]],Table51117[],2,FALSE))</f>
        <v/>
      </c>
      <c r="AE990" s="79"/>
      <c r="AF990" s="68" t="str">
        <f>IF(Table13[[#This Row],[value Type]]="","",VLOOKUP(Table13[[#This Row],[Acc Type]],Table2[],2,FALSE))</f>
        <v/>
      </c>
      <c r="AG990" s="75" t="str">
        <f>IF(Table13[[#This Row],[value Type]]="","",4*HEX2DEC(Table13[[#This Row],[Addr'[HEX']]]))</f>
        <v/>
      </c>
      <c r="AH990" s="75" t="str">
        <f>IF(Table13[[#This Row],[value Type]]="","",VLOOKUP(Table13[[#This Row],[AddrTypeI]],Table22[],2,FALSE))</f>
        <v/>
      </c>
      <c r="AI990" s="68" t="str">
        <f>IF(Table13[[#This Row],[value Type]]="","",VLOOKUP(Table13[[#This Row],[DataType]],Table351218[],2,FALSE))</f>
        <v/>
      </c>
      <c r="AJ990" s="68" t="str">
        <f>IF(Table13[[#This Row],[value Type]]="","",Table13[[#This Row],[DataWidth]])</f>
        <v/>
      </c>
      <c r="AK990" s="68" t="str">
        <f>IF(Table13[[#This Row],[value Type]]="","", Table13[[#This Row],[DataOffset]])</f>
        <v/>
      </c>
      <c r="AL990" s="24"/>
      <c r="AM990" s="24" t="str">
        <f>IF(Table13[[#This Row],[value Type]]="","", "0x"&amp;DEC2HEX(Table13[[#This Row],[ADDR_Offset]],8) )</f>
        <v/>
      </c>
    </row>
    <row r="991" spans="2:39" x14ac:dyDescent="0.3">
      <c r="B991" s="14"/>
      <c r="C991" s="14"/>
      <c r="D991" s="14"/>
      <c r="E991" s="24"/>
      <c r="F991" s="24"/>
      <c r="G991" s="14"/>
      <c r="H991" s="36"/>
      <c r="I991" s="29"/>
      <c r="J991" s="15"/>
      <c r="K991" s="15"/>
      <c r="L991" s="14"/>
      <c r="M991" s="35"/>
      <c r="N991" s="15"/>
      <c r="O991" s="88"/>
      <c r="P991" s="25"/>
      <c r="Q991" s="15"/>
      <c r="R991" s="26"/>
      <c r="S991" s="27"/>
      <c r="T991" s="27"/>
      <c r="U991" s="28"/>
      <c r="V991" s="14"/>
      <c r="W991" s="14"/>
      <c r="X991" s="30" t="str">
        <f>IF(Table13[[#This Row],[value Type]]="","",VLOOKUP(Table13[[#This Row],[value Type]],Table2915[],2,FALSE))</f>
        <v/>
      </c>
      <c r="Y991" s="30" t="str">
        <f>IF(Table13[[#This Row],[value Type]]="","",VLOOKUP(Table13[[#This Row],[value Type]],Table2915[],3,FALSE))</f>
        <v/>
      </c>
      <c r="Z991" s="64" t="str">
        <f>IF(Table13[[#This Row],[value Type]]="","",VLOOKUP(Table13[[#This Row],[value Type]],Table2915[],4,FALSE))</f>
        <v/>
      </c>
      <c r="AA991" s="64" t="str">
        <f>IF(Table13[[#This Row],[value Type]]="","",    IF(Table13[[#This Row],[IP MAX]]="","","@"  )     )</f>
        <v/>
      </c>
      <c r="AB991" s="79" t="str">
        <f>IF(Table13[[#This Row],[value Type]]="","",VLOOKUP(Table13[[#This Row],[value Type]],Table2915[],5,FALSE))</f>
        <v/>
      </c>
      <c r="AC9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1" s="79" t="str">
        <f>IF(Table13[[#This Row],[value Type]]="","",VLOOKUP(Table13[[#This Row],[IP]],Table51117[],2,FALSE))</f>
        <v/>
      </c>
      <c r="AE991" s="79"/>
      <c r="AF991" s="68" t="str">
        <f>IF(Table13[[#This Row],[value Type]]="","",VLOOKUP(Table13[[#This Row],[Acc Type]],Table2[],2,FALSE))</f>
        <v/>
      </c>
      <c r="AG991" s="75" t="str">
        <f>IF(Table13[[#This Row],[value Type]]="","",4*HEX2DEC(Table13[[#This Row],[Addr'[HEX']]]))</f>
        <v/>
      </c>
      <c r="AH991" s="75" t="str">
        <f>IF(Table13[[#This Row],[value Type]]="","",VLOOKUP(Table13[[#This Row],[AddrTypeI]],Table22[],2,FALSE))</f>
        <v/>
      </c>
      <c r="AI991" s="68" t="str">
        <f>IF(Table13[[#This Row],[value Type]]="","",VLOOKUP(Table13[[#This Row],[DataType]],Table351218[],2,FALSE))</f>
        <v/>
      </c>
      <c r="AJ991" s="68" t="str">
        <f>IF(Table13[[#This Row],[value Type]]="","",Table13[[#This Row],[DataWidth]])</f>
        <v/>
      </c>
      <c r="AK991" s="68" t="str">
        <f>IF(Table13[[#This Row],[value Type]]="","", Table13[[#This Row],[DataOffset]])</f>
        <v/>
      </c>
      <c r="AL991" s="24"/>
      <c r="AM991" s="24" t="str">
        <f>IF(Table13[[#This Row],[value Type]]="","", "0x"&amp;DEC2HEX(Table13[[#This Row],[ADDR_Offset]],8) )</f>
        <v/>
      </c>
    </row>
    <row r="992" spans="2:39" x14ac:dyDescent="0.3">
      <c r="B992" s="14"/>
      <c r="C992" s="14"/>
      <c r="D992" s="14"/>
      <c r="E992" s="24"/>
      <c r="F992" s="24"/>
      <c r="G992" s="14"/>
      <c r="H992" s="36"/>
      <c r="I992" s="29"/>
      <c r="J992" s="15"/>
      <c r="K992" s="15"/>
      <c r="L992" s="14"/>
      <c r="M992" s="35"/>
      <c r="N992" s="15"/>
      <c r="O992" s="88"/>
      <c r="P992" s="25"/>
      <c r="Q992" s="15"/>
      <c r="R992" s="26"/>
      <c r="S992" s="27"/>
      <c r="T992" s="27"/>
      <c r="U992" s="28"/>
      <c r="V992" s="14"/>
      <c r="W992" s="14"/>
      <c r="X992" s="30" t="str">
        <f>IF(Table13[[#This Row],[value Type]]="","",VLOOKUP(Table13[[#This Row],[value Type]],Table2915[],2,FALSE))</f>
        <v/>
      </c>
      <c r="Y992" s="30" t="str">
        <f>IF(Table13[[#This Row],[value Type]]="","",VLOOKUP(Table13[[#This Row],[value Type]],Table2915[],3,FALSE))</f>
        <v/>
      </c>
      <c r="Z992" s="64" t="str">
        <f>IF(Table13[[#This Row],[value Type]]="","",VLOOKUP(Table13[[#This Row],[value Type]],Table2915[],4,FALSE))</f>
        <v/>
      </c>
      <c r="AA992" s="64" t="str">
        <f>IF(Table13[[#This Row],[value Type]]="","",    IF(Table13[[#This Row],[IP MAX]]="","","@"  )     )</f>
        <v/>
      </c>
      <c r="AB992" s="79" t="str">
        <f>IF(Table13[[#This Row],[value Type]]="","",VLOOKUP(Table13[[#This Row],[value Type]],Table2915[],5,FALSE))</f>
        <v/>
      </c>
      <c r="AC9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2" s="79" t="str">
        <f>IF(Table13[[#This Row],[value Type]]="","",VLOOKUP(Table13[[#This Row],[IP]],Table51117[],2,FALSE))</f>
        <v/>
      </c>
      <c r="AE992" s="79"/>
      <c r="AF992" s="68" t="str">
        <f>IF(Table13[[#This Row],[value Type]]="","",VLOOKUP(Table13[[#This Row],[Acc Type]],Table2[],2,FALSE))</f>
        <v/>
      </c>
      <c r="AG992" s="75" t="str">
        <f>IF(Table13[[#This Row],[value Type]]="","",4*HEX2DEC(Table13[[#This Row],[Addr'[HEX']]]))</f>
        <v/>
      </c>
      <c r="AH992" s="75" t="str">
        <f>IF(Table13[[#This Row],[value Type]]="","",VLOOKUP(Table13[[#This Row],[AddrTypeI]],Table22[],2,FALSE))</f>
        <v/>
      </c>
      <c r="AI992" s="68" t="str">
        <f>IF(Table13[[#This Row],[value Type]]="","",VLOOKUP(Table13[[#This Row],[DataType]],Table351218[],2,FALSE))</f>
        <v/>
      </c>
      <c r="AJ992" s="68" t="str">
        <f>IF(Table13[[#This Row],[value Type]]="","",Table13[[#This Row],[DataWidth]])</f>
        <v/>
      </c>
      <c r="AK992" s="68" t="str">
        <f>IF(Table13[[#This Row],[value Type]]="","", Table13[[#This Row],[DataOffset]])</f>
        <v/>
      </c>
      <c r="AL992" s="24"/>
      <c r="AM992" s="24" t="str">
        <f>IF(Table13[[#This Row],[value Type]]="","", "0x"&amp;DEC2HEX(Table13[[#This Row],[ADDR_Offset]],8) )</f>
        <v/>
      </c>
    </row>
    <row r="993" spans="2:39" x14ac:dyDescent="0.3">
      <c r="B993" s="14"/>
      <c r="C993" s="14"/>
      <c r="D993" s="14"/>
      <c r="E993" s="24"/>
      <c r="F993" s="24"/>
      <c r="G993" s="14"/>
      <c r="H993" s="36"/>
      <c r="I993" s="29"/>
      <c r="J993" s="15"/>
      <c r="K993" s="15"/>
      <c r="L993" s="14"/>
      <c r="M993" s="35"/>
      <c r="N993" s="15"/>
      <c r="O993" s="88"/>
      <c r="P993" s="25"/>
      <c r="Q993" s="15"/>
      <c r="R993" s="26"/>
      <c r="S993" s="27"/>
      <c r="T993" s="27"/>
      <c r="U993" s="28"/>
      <c r="V993" s="14"/>
      <c r="W993" s="14"/>
      <c r="X993" s="30" t="str">
        <f>IF(Table13[[#This Row],[value Type]]="","",VLOOKUP(Table13[[#This Row],[value Type]],Table2915[],2,FALSE))</f>
        <v/>
      </c>
      <c r="Y993" s="30" t="str">
        <f>IF(Table13[[#This Row],[value Type]]="","",VLOOKUP(Table13[[#This Row],[value Type]],Table2915[],3,FALSE))</f>
        <v/>
      </c>
      <c r="Z993" s="64" t="str">
        <f>IF(Table13[[#This Row],[value Type]]="","",VLOOKUP(Table13[[#This Row],[value Type]],Table2915[],4,FALSE))</f>
        <v/>
      </c>
      <c r="AA993" s="64" t="str">
        <f>IF(Table13[[#This Row],[value Type]]="","",    IF(Table13[[#This Row],[IP MAX]]="","","@"  )     )</f>
        <v/>
      </c>
      <c r="AB993" s="79" t="str">
        <f>IF(Table13[[#This Row],[value Type]]="","",VLOOKUP(Table13[[#This Row],[value Type]],Table2915[],5,FALSE))</f>
        <v/>
      </c>
      <c r="AC9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3" s="79" t="str">
        <f>IF(Table13[[#This Row],[value Type]]="","",VLOOKUP(Table13[[#This Row],[IP]],Table51117[],2,FALSE))</f>
        <v/>
      </c>
      <c r="AE993" s="79"/>
      <c r="AF993" s="68" t="str">
        <f>IF(Table13[[#This Row],[value Type]]="","",VLOOKUP(Table13[[#This Row],[Acc Type]],Table2[],2,FALSE))</f>
        <v/>
      </c>
      <c r="AG993" s="75" t="str">
        <f>IF(Table13[[#This Row],[value Type]]="","",4*HEX2DEC(Table13[[#This Row],[Addr'[HEX']]]))</f>
        <v/>
      </c>
      <c r="AH993" s="75" t="str">
        <f>IF(Table13[[#This Row],[value Type]]="","",VLOOKUP(Table13[[#This Row],[AddrTypeI]],Table22[],2,FALSE))</f>
        <v/>
      </c>
      <c r="AI993" s="68" t="str">
        <f>IF(Table13[[#This Row],[value Type]]="","",VLOOKUP(Table13[[#This Row],[DataType]],Table351218[],2,FALSE))</f>
        <v/>
      </c>
      <c r="AJ993" s="68" t="str">
        <f>IF(Table13[[#This Row],[value Type]]="","",Table13[[#This Row],[DataWidth]])</f>
        <v/>
      </c>
      <c r="AK993" s="68" t="str">
        <f>IF(Table13[[#This Row],[value Type]]="","", Table13[[#This Row],[DataOffset]])</f>
        <v/>
      </c>
      <c r="AL993" s="24"/>
      <c r="AM993" s="24" t="str">
        <f>IF(Table13[[#This Row],[value Type]]="","", "0x"&amp;DEC2HEX(Table13[[#This Row],[ADDR_Offset]],8) )</f>
        <v/>
      </c>
    </row>
    <row r="994" spans="2:39" x14ac:dyDescent="0.3">
      <c r="B994" s="14"/>
      <c r="C994" s="14"/>
      <c r="D994" s="14"/>
      <c r="E994" s="24"/>
      <c r="F994" s="24"/>
      <c r="G994" s="14"/>
      <c r="H994" s="36"/>
      <c r="I994" s="29"/>
      <c r="J994" s="15"/>
      <c r="K994" s="15"/>
      <c r="L994" s="14"/>
      <c r="M994" s="35"/>
      <c r="N994" s="15"/>
      <c r="O994" s="88"/>
      <c r="P994" s="25"/>
      <c r="Q994" s="15"/>
      <c r="R994" s="26"/>
      <c r="S994" s="27"/>
      <c r="T994" s="27"/>
      <c r="U994" s="28"/>
      <c r="V994" s="14"/>
      <c r="W994" s="14"/>
      <c r="X994" s="30" t="str">
        <f>IF(Table13[[#This Row],[value Type]]="","",VLOOKUP(Table13[[#This Row],[value Type]],Table2915[],2,FALSE))</f>
        <v/>
      </c>
      <c r="Y994" s="30" t="str">
        <f>IF(Table13[[#This Row],[value Type]]="","",VLOOKUP(Table13[[#This Row],[value Type]],Table2915[],3,FALSE))</f>
        <v/>
      </c>
      <c r="Z994" s="64" t="str">
        <f>IF(Table13[[#This Row],[value Type]]="","",VLOOKUP(Table13[[#This Row],[value Type]],Table2915[],4,FALSE))</f>
        <v/>
      </c>
      <c r="AA994" s="64" t="str">
        <f>IF(Table13[[#This Row],[value Type]]="","",    IF(Table13[[#This Row],[IP MAX]]="","","@"  )     )</f>
        <v/>
      </c>
      <c r="AB994" s="79" t="str">
        <f>IF(Table13[[#This Row],[value Type]]="","",VLOOKUP(Table13[[#This Row],[value Type]],Table2915[],5,FALSE))</f>
        <v/>
      </c>
      <c r="AC9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4" s="79" t="str">
        <f>IF(Table13[[#This Row],[value Type]]="","",VLOOKUP(Table13[[#This Row],[IP]],Table51117[],2,FALSE))</f>
        <v/>
      </c>
      <c r="AE994" s="79"/>
      <c r="AF994" s="68" t="str">
        <f>IF(Table13[[#This Row],[value Type]]="","",VLOOKUP(Table13[[#This Row],[Acc Type]],Table2[],2,FALSE))</f>
        <v/>
      </c>
      <c r="AG994" s="75" t="str">
        <f>IF(Table13[[#This Row],[value Type]]="","",4*HEX2DEC(Table13[[#This Row],[Addr'[HEX']]]))</f>
        <v/>
      </c>
      <c r="AH994" s="75" t="str">
        <f>IF(Table13[[#This Row],[value Type]]="","",VLOOKUP(Table13[[#This Row],[AddrTypeI]],Table22[],2,FALSE))</f>
        <v/>
      </c>
      <c r="AI994" s="68" t="str">
        <f>IF(Table13[[#This Row],[value Type]]="","",VLOOKUP(Table13[[#This Row],[DataType]],Table351218[],2,FALSE))</f>
        <v/>
      </c>
      <c r="AJ994" s="68" t="str">
        <f>IF(Table13[[#This Row],[value Type]]="","",Table13[[#This Row],[DataWidth]])</f>
        <v/>
      </c>
      <c r="AK994" s="68" t="str">
        <f>IF(Table13[[#This Row],[value Type]]="","", Table13[[#This Row],[DataOffset]])</f>
        <v/>
      </c>
      <c r="AL994" s="24"/>
      <c r="AM994" s="24" t="str">
        <f>IF(Table13[[#This Row],[value Type]]="","", "0x"&amp;DEC2HEX(Table13[[#This Row],[ADDR_Offset]],8) )</f>
        <v/>
      </c>
    </row>
    <row r="995" spans="2:39" x14ac:dyDescent="0.3">
      <c r="B995" s="14"/>
      <c r="C995" s="14"/>
      <c r="D995" s="14"/>
      <c r="E995" s="24"/>
      <c r="F995" s="24"/>
      <c r="G995" s="14"/>
      <c r="H995" s="36"/>
      <c r="I995" s="29"/>
      <c r="J995" s="15"/>
      <c r="K995" s="15"/>
      <c r="L995" s="14"/>
      <c r="M995" s="35"/>
      <c r="N995" s="15"/>
      <c r="O995" s="88"/>
      <c r="P995" s="25"/>
      <c r="Q995" s="15"/>
      <c r="R995" s="26"/>
      <c r="S995" s="27"/>
      <c r="T995" s="27"/>
      <c r="U995" s="28"/>
      <c r="V995" s="14"/>
      <c r="W995" s="14"/>
      <c r="X995" s="30" t="str">
        <f>IF(Table13[[#This Row],[value Type]]="","",VLOOKUP(Table13[[#This Row],[value Type]],Table2915[],2,FALSE))</f>
        <v/>
      </c>
      <c r="Y995" s="30" t="str">
        <f>IF(Table13[[#This Row],[value Type]]="","",VLOOKUP(Table13[[#This Row],[value Type]],Table2915[],3,FALSE))</f>
        <v/>
      </c>
      <c r="Z995" s="64" t="str">
        <f>IF(Table13[[#This Row],[value Type]]="","",VLOOKUP(Table13[[#This Row],[value Type]],Table2915[],4,FALSE))</f>
        <v/>
      </c>
      <c r="AA995" s="64" t="str">
        <f>IF(Table13[[#This Row],[value Type]]="","",    IF(Table13[[#This Row],[IP MAX]]="","","@"  )     )</f>
        <v/>
      </c>
      <c r="AB995" s="79" t="str">
        <f>IF(Table13[[#This Row],[value Type]]="","",VLOOKUP(Table13[[#This Row],[value Type]],Table2915[],5,FALSE))</f>
        <v/>
      </c>
      <c r="AC9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5" s="79" t="str">
        <f>IF(Table13[[#This Row],[value Type]]="","",VLOOKUP(Table13[[#This Row],[IP]],Table51117[],2,FALSE))</f>
        <v/>
      </c>
      <c r="AE995" s="79"/>
      <c r="AF995" s="68" t="str">
        <f>IF(Table13[[#This Row],[value Type]]="","",VLOOKUP(Table13[[#This Row],[Acc Type]],Table2[],2,FALSE))</f>
        <v/>
      </c>
      <c r="AG995" s="75" t="str">
        <f>IF(Table13[[#This Row],[value Type]]="","",4*HEX2DEC(Table13[[#This Row],[Addr'[HEX']]]))</f>
        <v/>
      </c>
      <c r="AH995" s="75" t="str">
        <f>IF(Table13[[#This Row],[value Type]]="","",VLOOKUP(Table13[[#This Row],[AddrTypeI]],Table22[],2,FALSE))</f>
        <v/>
      </c>
      <c r="AI995" s="68" t="str">
        <f>IF(Table13[[#This Row],[value Type]]="","",VLOOKUP(Table13[[#This Row],[DataType]],Table351218[],2,FALSE))</f>
        <v/>
      </c>
      <c r="AJ995" s="68" t="str">
        <f>IF(Table13[[#This Row],[value Type]]="","",Table13[[#This Row],[DataWidth]])</f>
        <v/>
      </c>
      <c r="AK995" s="68" t="str">
        <f>IF(Table13[[#This Row],[value Type]]="","", Table13[[#This Row],[DataOffset]])</f>
        <v/>
      </c>
      <c r="AL995" s="24"/>
      <c r="AM995" s="24" t="str">
        <f>IF(Table13[[#This Row],[value Type]]="","", "0x"&amp;DEC2HEX(Table13[[#This Row],[ADDR_Offset]],8) )</f>
        <v/>
      </c>
    </row>
    <row r="996" spans="2:39" x14ac:dyDescent="0.3">
      <c r="B996" s="14"/>
      <c r="C996" s="14"/>
      <c r="D996" s="14"/>
      <c r="E996" s="24"/>
      <c r="F996" s="24"/>
      <c r="G996" s="14"/>
      <c r="H996" s="36"/>
      <c r="I996" s="29"/>
      <c r="J996" s="15"/>
      <c r="K996" s="15"/>
      <c r="L996" s="14"/>
      <c r="M996" s="35"/>
      <c r="N996" s="15"/>
      <c r="O996" s="88"/>
      <c r="P996" s="25"/>
      <c r="Q996" s="15"/>
      <c r="R996" s="26"/>
      <c r="S996" s="27"/>
      <c r="T996" s="27"/>
      <c r="U996" s="28"/>
      <c r="V996" s="14"/>
      <c r="W996" s="14"/>
      <c r="X996" s="30" t="str">
        <f>IF(Table13[[#This Row],[value Type]]="","",VLOOKUP(Table13[[#This Row],[value Type]],Table2915[],2,FALSE))</f>
        <v/>
      </c>
      <c r="Y996" s="30" t="str">
        <f>IF(Table13[[#This Row],[value Type]]="","",VLOOKUP(Table13[[#This Row],[value Type]],Table2915[],3,FALSE))</f>
        <v/>
      </c>
      <c r="Z996" s="64" t="str">
        <f>IF(Table13[[#This Row],[value Type]]="","",VLOOKUP(Table13[[#This Row],[value Type]],Table2915[],4,FALSE))</f>
        <v/>
      </c>
      <c r="AA996" s="64" t="str">
        <f>IF(Table13[[#This Row],[value Type]]="","",    IF(Table13[[#This Row],[IP MAX]]="","","@"  )     )</f>
        <v/>
      </c>
      <c r="AB996" s="79" t="str">
        <f>IF(Table13[[#This Row],[value Type]]="","",VLOOKUP(Table13[[#This Row],[value Type]],Table2915[],5,FALSE))</f>
        <v/>
      </c>
      <c r="AC9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6" s="79" t="str">
        <f>IF(Table13[[#This Row],[value Type]]="","",VLOOKUP(Table13[[#This Row],[IP]],Table51117[],2,FALSE))</f>
        <v/>
      </c>
      <c r="AE996" s="79"/>
      <c r="AF996" s="68" t="str">
        <f>IF(Table13[[#This Row],[value Type]]="","",VLOOKUP(Table13[[#This Row],[Acc Type]],Table2[],2,FALSE))</f>
        <v/>
      </c>
      <c r="AG996" s="75" t="str">
        <f>IF(Table13[[#This Row],[value Type]]="","",4*HEX2DEC(Table13[[#This Row],[Addr'[HEX']]]))</f>
        <v/>
      </c>
      <c r="AH996" s="75" t="str">
        <f>IF(Table13[[#This Row],[value Type]]="","",VLOOKUP(Table13[[#This Row],[AddrTypeI]],Table22[],2,FALSE))</f>
        <v/>
      </c>
      <c r="AI996" s="68" t="str">
        <f>IF(Table13[[#This Row],[value Type]]="","",VLOOKUP(Table13[[#This Row],[DataType]],Table351218[],2,FALSE))</f>
        <v/>
      </c>
      <c r="AJ996" s="68" t="str">
        <f>IF(Table13[[#This Row],[value Type]]="","",Table13[[#This Row],[DataWidth]])</f>
        <v/>
      </c>
      <c r="AK996" s="68" t="str">
        <f>IF(Table13[[#This Row],[value Type]]="","", Table13[[#This Row],[DataOffset]])</f>
        <v/>
      </c>
      <c r="AL996" s="24"/>
      <c r="AM996" s="24" t="str">
        <f>IF(Table13[[#This Row],[value Type]]="","", "0x"&amp;DEC2HEX(Table13[[#This Row],[ADDR_Offset]],8) )</f>
        <v/>
      </c>
    </row>
    <row r="997" spans="2:39" x14ac:dyDescent="0.3">
      <c r="B997" s="14"/>
      <c r="C997" s="14"/>
      <c r="D997" s="14"/>
      <c r="E997" s="24"/>
      <c r="F997" s="24"/>
      <c r="G997" s="14"/>
      <c r="H997" s="36"/>
      <c r="I997" s="29"/>
      <c r="J997" s="15"/>
      <c r="K997" s="15"/>
      <c r="L997" s="14"/>
      <c r="M997" s="35"/>
      <c r="N997" s="15"/>
      <c r="O997" s="88"/>
      <c r="P997" s="25"/>
      <c r="Q997" s="15"/>
      <c r="R997" s="26"/>
      <c r="S997" s="27"/>
      <c r="T997" s="27"/>
      <c r="U997" s="28"/>
      <c r="V997" s="14"/>
      <c r="W997" s="14"/>
      <c r="X997" s="30" t="str">
        <f>IF(Table13[[#This Row],[value Type]]="","",VLOOKUP(Table13[[#This Row],[value Type]],Table2915[],2,FALSE))</f>
        <v/>
      </c>
      <c r="Y997" s="30" t="str">
        <f>IF(Table13[[#This Row],[value Type]]="","",VLOOKUP(Table13[[#This Row],[value Type]],Table2915[],3,FALSE))</f>
        <v/>
      </c>
      <c r="Z997" s="64" t="str">
        <f>IF(Table13[[#This Row],[value Type]]="","",VLOOKUP(Table13[[#This Row],[value Type]],Table2915[],4,FALSE))</f>
        <v/>
      </c>
      <c r="AA997" s="64" t="str">
        <f>IF(Table13[[#This Row],[value Type]]="","",    IF(Table13[[#This Row],[IP MAX]]="","","@"  )     )</f>
        <v/>
      </c>
      <c r="AB997" s="79" t="str">
        <f>IF(Table13[[#This Row],[value Type]]="","",VLOOKUP(Table13[[#This Row],[value Type]],Table2915[],5,FALSE))</f>
        <v/>
      </c>
      <c r="AC9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7" s="79" t="str">
        <f>IF(Table13[[#This Row],[value Type]]="","",VLOOKUP(Table13[[#This Row],[IP]],Table51117[],2,FALSE))</f>
        <v/>
      </c>
      <c r="AE997" s="79"/>
      <c r="AF997" s="68" t="str">
        <f>IF(Table13[[#This Row],[value Type]]="","",VLOOKUP(Table13[[#This Row],[Acc Type]],Table2[],2,FALSE))</f>
        <v/>
      </c>
      <c r="AG997" s="75" t="str">
        <f>IF(Table13[[#This Row],[value Type]]="","",4*HEX2DEC(Table13[[#This Row],[Addr'[HEX']]]))</f>
        <v/>
      </c>
      <c r="AH997" s="75" t="str">
        <f>IF(Table13[[#This Row],[value Type]]="","",VLOOKUP(Table13[[#This Row],[AddrTypeI]],Table22[],2,FALSE))</f>
        <v/>
      </c>
      <c r="AI997" s="68" t="str">
        <f>IF(Table13[[#This Row],[value Type]]="","",VLOOKUP(Table13[[#This Row],[DataType]],Table351218[],2,FALSE))</f>
        <v/>
      </c>
      <c r="AJ997" s="68" t="str">
        <f>IF(Table13[[#This Row],[value Type]]="","",Table13[[#This Row],[DataWidth]])</f>
        <v/>
      </c>
      <c r="AK997" s="68" t="str">
        <f>IF(Table13[[#This Row],[value Type]]="","", Table13[[#This Row],[DataOffset]])</f>
        <v/>
      </c>
      <c r="AL997" s="24"/>
      <c r="AM997" s="24" t="str">
        <f>IF(Table13[[#This Row],[value Type]]="","", "0x"&amp;DEC2HEX(Table13[[#This Row],[ADDR_Offset]],8) )</f>
        <v/>
      </c>
    </row>
    <row r="998" spans="2:39" x14ac:dyDescent="0.3">
      <c r="B998" s="14"/>
      <c r="C998" s="14"/>
      <c r="D998" s="14"/>
      <c r="E998" s="24"/>
      <c r="F998" s="24"/>
      <c r="G998" s="14"/>
      <c r="H998" s="36"/>
      <c r="I998" s="29"/>
      <c r="J998" s="15"/>
      <c r="K998" s="15"/>
      <c r="L998" s="14"/>
      <c r="M998" s="35"/>
      <c r="N998" s="15"/>
      <c r="O998" s="88"/>
      <c r="P998" s="25"/>
      <c r="Q998" s="15"/>
      <c r="R998" s="26"/>
      <c r="S998" s="27"/>
      <c r="T998" s="27"/>
      <c r="U998" s="28"/>
      <c r="V998" s="14"/>
      <c r="W998" s="14"/>
      <c r="X998" s="30" t="str">
        <f>IF(Table13[[#This Row],[value Type]]="","",VLOOKUP(Table13[[#This Row],[value Type]],Table2915[],2,FALSE))</f>
        <v/>
      </c>
      <c r="Y998" s="30" t="str">
        <f>IF(Table13[[#This Row],[value Type]]="","",VLOOKUP(Table13[[#This Row],[value Type]],Table2915[],3,FALSE))</f>
        <v/>
      </c>
      <c r="Z998" s="64" t="str">
        <f>IF(Table13[[#This Row],[value Type]]="","",VLOOKUP(Table13[[#This Row],[value Type]],Table2915[],4,FALSE))</f>
        <v/>
      </c>
      <c r="AA998" s="64" t="str">
        <f>IF(Table13[[#This Row],[value Type]]="","",    IF(Table13[[#This Row],[IP MAX]]="","","@"  )     )</f>
        <v/>
      </c>
      <c r="AB998" s="79" t="str">
        <f>IF(Table13[[#This Row],[value Type]]="","",VLOOKUP(Table13[[#This Row],[value Type]],Table2915[],5,FALSE))</f>
        <v/>
      </c>
      <c r="AC9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8" s="79" t="str">
        <f>IF(Table13[[#This Row],[value Type]]="","",VLOOKUP(Table13[[#This Row],[IP]],Table51117[],2,FALSE))</f>
        <v/>
      </c>
      <c r="AE998" s="79"/>
      <c r="AF998" s="68" t="str">
        <f>IF(Table13[[#This Row],[value Type]]="","",VLOOKUP(Table13[[#This Row],[Acc Type]],Table2[],2,FALSE))</f>
        <v/>
      </c>
      <c r="AG998" s="75" t="str">
        <f>IF(Table13[[#This Row],[value Type]]="","",4*HEX2DEC(Table13[[#This Row],[Addr'[HEX']]]))</f>
        <v/>
      </c>
      <c r="AH998" s="75" t="str">
        <f>IF(Table13[[#This Row],[value Type]]="","",VLOOKUP(Table13[[#This Row],[AddrTypeI]],Table22[],2,FALSE))</f>
        <v/>
      </c>
      <c r="AI998" s="68" t="str">
        <f>IF(Table13[[#This Row],[value Type]]="","",VLOOKUP(Table13[[#This Row],[DataType]],Table351218[],2,FALSE))</f>
        <v/>
      </c>
      <c r="AJ998" s="68" t="str">
        <f>IF(Table13[[#This Row],[value Type]]="","",Table13[[#This Row],[DataWidth]])</f>
        <v/>
      </c>
      <c r="AK998" s="68" t="str">
        <f>IF(Table13[[#This Row],[value Type]]="","", Table13[[#This Row],[DataOffset]])</f>
        <v/>
      </c>
      <c r="AL998" s="24"/>
      <c r="AM998" s="24" t="str">
        <f>IF(Table13[[#This Row],[value Type]]="","", "0x"&amp;DEC2HEX(Table13[[#This Row],[ADDR_Offset]],8) )</f>
        <v/>
      </c>
    </row>
    <row r="999" spans="2:39" x14ac:dyDescent="0.3">
      <c r="B999" s="14"/>
      <c r="C999" s="14"/>
      <c r="D999" s="14"/>
      <c r="E999" s="24"/>
      <c r="F999" s="24"/>
      <c r="G999" s="14"/>
      <c r="H999" s="36"/>
      <c r="I999" s="29"/>
      <c r="J999" s="15"/>
      <c r="K999" s="15"/>
      <c r="L999" s="14"/>
      <c r="M999" s="35"/>
      <c r="N999" s="15"/>
      <c r="O999" s="88"/>
      <c r="P999" s="25"/>
      <c r="Q999" s="15"/>
      <c r="R999" s="26"/>
      <c r="S999" s="27"/>
      <c r="T999" s="27"/>
      <c r="U999" s="28"/>
      <c r="V999" s="14"/>
      <c r="W999" s="14"/>
      <c r="X999" s="30" t="str">
        <f>IF(Table13[[#This Row],[value Type]]="","",VLOOKUP(Table13[[#This Row],[value Type]],Table2915[],2,FALSE))</f>
        <v/>
      </c>
      <c r="Y999" s="30" t="str">
        <f>IF(Table13[[#This Row],[value Type]]="","",VLOOKUP(Table13[[#This Row],[value Type]],Table2915[],3,FALSE))</f>
        <v/>
      </c>
      <c r="Z999" s="64" t="str">
        <f>IF(Table13[[#This Row],[value Type]]="","",VLOOKUP(Table13[[#This Row],[value Type]],Table2915[],4,FALSE))</f>
        <v/>
      </c>
      <c r="AA999" s="64" t="str">
        <f>IF(Table13[[#This Row],[value Type]]="","",    IF(Table13[[#This Row],[IP MAX]]="","","@"  )     )</f>
        <v/>
      </c>
      <c r="AB999" s="79" t="str">
        <f>IF(Table13[[#This Row],[value Type]]="","",VLOOKUP(Table13[[#This Row],[value Type]],Table2915[],5,FALSE))</f>
        <v/>
      </c>
      <c r="AC9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99" s="79" t="str">
        <f>IF(Table13[[#This Row],[value Type]]="","",VLOOKUP(Table13[[#This Row],[IP]],Table51117[],2,FALSE))</f>
        <v/>
      </c>
      <c r="AE999" s="79"/>
      <c r="AF999" s="68" t="str">
        <f>IF(Table13[[#This Row],[value Type]]="","",VLOOKUP(Table13[[#This Row],[Acc Type]],Table2[],2,FALSE))</f>
        <v/>
      </c>
      <c r="AG999" s="75" t="str">
        <f>IF(Table13[[#This Row],[value Type]]="","",4*HEX2DEC(Table13[[#This Row],[Addr'[HEX']]]))</f>
        <v/>
      </c>
      <c r="AH999" s="75" t="str">
        <f>IF(Table13[[#This Row],[value Type]]="","",VLOOKUP(Table13[[#This Row],[AddrTypeI]],Table22[],2,FALSE))</f>
        <v/>
      </c>
      <c r="AI999" s="68" t="str">
        <f>IF(Table13[[#This Row],[value Type]]="","",VLOOKUP(Table13[[#This Row],[DataType]],Table351218[],2,FALSE))</f>
        <v/>
      </c>
      <c r="AJ999" s="68" t="str">
        <f>IF(Table13[[#This Row],[value Type]]="","",Table13[[#This Row],[DataWidth]])</f>
        <v/>
      </c>
      <c r="AK999" s="68" t="str">
        <f>IF(Table13[[#This Row],[value Type]]="","", Table13[[#This Row],[DataOffset]])</f>
        <v/>
      </c>
      <c r="AL999" s="24"/>
      <c r="AM999" s="24" t="str">
        <f>IF(Table13[[#This Row],[value Type]]="","", "0x"&amp;DEC2HEX(Table13[[#This Row],[ADDR_Offset]],8) )</f>
        <v/>
      </c>
    </row>
    <row r="1000" spans="2:39" x14ac:dyDescent="0.3">
      <c r="B1000" s="14"/>
      <c r="C1000" s="14"/>
      <c r="D1000" s="14"/>
      <c r="E1000" s="24"/>
      <c r="F1000" s="24"/>
      <c r="G1000" s="14"/>
      <c r="H1000" s="36"/>
      <c r="I1000" s="29"/>
      <c r="J1000" s="15"/>
      <c r="K1000" s="15"/>
      <c r="L1000" s="14"/>
      <c r="M1000" s="35"/>
      <c r="N1000" s="15"/>
      <c r="O1000" s="88"/>
      <c r="P1000" s="25"/>
      <c r="Q1000" s="15"/>
      <c r="R1000" s="26"/>
      <c r="S1000" s="27"/>
      <c r="T1000" s="27"/>
      <c r="U1000" s="28"/>
      <c r="V1000" s="14"/>
      <c r="W1000" s="14"/>
      <c r="X1000" s="30" t="str">
        <f>IF(Table13[[#This Row],[value Type]]="","",VLOOKUP(Table13[[#This Row],[value Type]],Table2915[],2,FALSE))</f>
        <v/>
      </c>
      <c r="Y1000" s="30" t="str">
        <f>IF(Table13[[#This Row],[value Type]]="","",VLOOKUP(Table13[[#This Row],[value Type]],Table2915[],3,FALSE))</f>
        <v/>
      </c>
      <c r="Z1000" s="64" t="str">
        <f>IF(Table13[[#This Row],[value Type]]="","",VLOOKUP(Table13[[#This Row],[value Type]],Table2915[],4,FALSE))</f>
        <v/>
      </c>
      <c r="AA1000" s="64" t="str">
        <f>IF(Table13[[#This Row],[value Type]]="","",    IF(Table13[[#This Row],[IP MAX]]="","","@"  )     )</f>
        <v/>
      </c>
      <c r="AB1000" s="79" t="str">
        <f>IF(Table13[[#This Row],[value Type]]="","",VLOOKUP(Table13[[#This Row],[value Type]],Table2915[],5,FALSE))</f>
        <v/>
      </c>
      <c r="AC10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0" s="79" t="str">
        <f>IF(Table13[[#This Row],[value Type]]="","",VLOOKUP(Table13[[#This Row],[IP]],Table51117[],2,FALSE))</f>
        <v/>
      </c>
      <c r="AE1000" s="79"/>
      <c r="AF1000" s="68" t="str">
        <f>IF(Table13[[#This Row],[value Type]]="","",VLOOKUP(Table13[[#This Row],[Acc Type]],Table2[],2,FALSE))</f>
        <v/>
      </c>
      <c r="AG1000" s="75" t="str">
        <f>IF(Table13[[#This Row],[value Type]]="","",4*HEX2DEC(Table13[[#This Row],[Addr'[HEX']]]))</f>
        <v/>
      </c>
      <c r="AH1000" s="75" t="str">
        <f>IF(Table13[[#This Row],[value Type]]="","",VLOOKUP(Table13[[#This Row],[AddrTypeI]],Table22[],2,FALSE))</f>
        <v/>
      </c>
      <c r="AI1000" s="68" t="str">
        <f>IF(Table13[[#This Row],[value Type]]="","",VLOOKUP(Table13[[#This Row],[DataType]],Table351218[],2,FALSE))</f>
        <v/>
      </c>
      <c r="AJ1000" s="68" t="str">
        <f>IF(Table13[[#This Row],[value Type]]="","",Table13[[#This Row],[DataWidth]])</f>
        <v/>
      </c>
      <c r="AK1000" s="68" t="str">
        <f>IF(Table13[[#This Row],[value Type]]="","", Table13[[#This Row],[DataOffset]])</f>
        <v/>
      </c>
      <c r="AL1000" s="24"/>
      <c r="AM1000" s="24" t="str">
        <f>IF(Table13[[#This Row],[value Type]]="","", "0x"&amp;DEC2HEX(Table13[[#This Row],[ADDR_Offset]],8) )</f>
        <v/>
      </c>
    </row>
    <row r="1001" spans="2:39" x14ac:dyDescent="0.3">
      <c r="B1001" s="14"/>
      <c r="C1001" s="14"/>
      <c r="D1001" s="14"/>
      <c r="E1001" s="24"/>
      <c r="F1001" s="24"/>
      <c r="G1001" s="14"/>
      <c r="H1001" s="36"/>
      <c r="I1001" s="29"/>
      <c r="J1001" s="15"/>
      <c r="K1001" s="15"/>
      <c r="L1001" s="14"/>
      <c r="M1001" s="35"/>
      <c r="N1001" s="15"/>
      <c r="O1001" s="88"/>
      <c r="P1001" s="25"/>
      <c r="Q1001" s="15"/>
      <c r="R1001" s="26"/>
      <c r="S1001" s="27"/>
      <c r="T1001" s="27"/>
      <c r="U1001" s="28"/>
      <c r="V1001" s="14"/>
      <c r="W1001" s="14"/>
      <c r="X1001" s="30" t="str">
        <f>IF(Table13[[#This Row],[value Type]]="","",VLOOKUP(Table13[[#This Row],[value Type]],Table2915[],2,FALSE))</f>
        <v/>
      </c>
      <c r="Y1001" s="30" t="str">
        <f>IF(Table13[[#This Row],[value Type]]="","",VLOOKUP(Table13[[#This Row],[value Type]],Table2915[],3,FALSE))</f>
        <v/>
      </c>
      <c r="Z1001" s="64" t="str">
        <f>IF(Table13[[#This Row],[value Type]]="","",VLOOKUP(Table13[[#This Row],[value Type]],Table2915[],4,FALSE))</f>
        <v/>
      </c>
      <c r="AA1001" s="64" t="str">
        <f>IF(Table13[[#This Row],[value Type]]="","",    IF(Table13[[#This Row],[IP MAX]]="","","@"  )     )</f>
        <v/>
      </c>
      <c r="AB1001" s="79" t="str">
        <f>IF(Table13[[#This Row],[value Type]]="","",VLOOKUP(Table13[[#This Row],[value Type]],Table2915[],5,FALSE))</f>
        <v/>
      </c>
      <c r="AC10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1" s="79" t="str">
        <f>IF(Table13[[#This Row],[value Type]]="","",VLOOKUP(Table13[[#This Row],[IP]],Table51117[],2,FALSE))</f>
        <v/>
      </c>
      <c r="AE1001" s="79"/>
      <c r="AF1001" s="68" t="str">
        <f>IF(Table13[[#This Row],[value Type]]="","",VLOOKUP(Table13[[#This Row],[Acc Type]],Table2[],2,FALSE))</f>
        <v/>
      </c>
      <c r="AG1001" s="75" t="str">
        <f>IF(Table13[[#This Row],[value Type]]="","",4*HEX2DEC(Table13[[#This Row],[Addr'[HEX']]]))</f>
        <v/>
      </c>
      <c r="AH1001" s="75" t="str">
        <f>IF(Table13[[#This Row],[value Type]]="","",VLOOKUP(Table13[[#This Row],[AddrTypeI]],Table22[],2,FALSE))</f>
        <v/>
      </c>
      <c r="AI1001" s="68" t="str">
        <f>IF(Table13[[#This Row],[value Type]]="","",VLOOKUP(Table13[[#This Row],[DataType]],Table351218[],2,FALSE))</f>
        <v/>
      </c>
      <c r="AJ1001" s="68" t="str">
        <f>IF(Table13[[#This Row],[value Type]]="","",Table13[[#This Row],[DataWidth]])</f>
        <v/>
      </c>
      <c r="AK1001" s="68" t="str">
        <f>IF(Table13[[#This Row],[value Type]]="","", Table13[[#This Row],[DataOffset]])</f>
        <v/>
      </c>
      <c r="AL1001" s="24"/>
      <c r="AM1001" s="24" t="str">
        <f>IF(Table13[[#This Row],[value Type]]="","", "0x"&amp;DEC2HEX(Table13[[#This Row],[ADDR_Offset]],8) )</f>
        <v/>
      </c>
    </row>
    <row r="1002" spans="2:39" x14ac:dyDescent="0.3">
      <c r="B1002" s="14"/>
      <c r="C1002" s="14"/>
      <c r="D1002" s="14"/>
      <c r="E1002" s="24"/>
      <c r="F1002" s="24"/>
      <c r="G1002" s="14"/>
      <c r="H1002" s="36"/>
      <c r="I1002" s="29"/>
      <c r="J1002" s="15"/>
      <c r="K1002" s="15"/>
      <c r="L1002" s="14"/>
      <c r="M1002" s="35"/>
      <c r="N1002" s="15"/>
      <c r="O1002" s="88"/>
      <c r="P1002" s="25"/>
      <c r="Q1002" s="15"/>
      <c r="R1002" s="26"/>
      <c r="S1002" s="27"/>
      <c r="T1002" s="27"/>
      <c r="U1002" s="28"/>
      <c r="V1002" s="14"/>
      <c r="W1002" s="14"/>
      <c r="X1002" s="30" t="str">
        <f>IF(Table13[[#This Row],[value Type]]="","",VLOOKUP(Table13[[#This Row],[value Type]],Table2915[],2,FALSE))</f>
        <v/>
      </c>
      <c r="Y1002" s="30" t="str">
        <f>IF(Table13[[#This Row],[value Type]]="","",VLOOKUP(Table13[[#This Row],[value Type]],Table2915[],3,FALSE))</f>
        <v/>
      </c>
      <c r="Z1002" s="64" t="str">
        <f>IF(Table13[[#This Row],[value Type]]="","",VLOOKUP(Table13[[#This Row],[value Type]],Table2915[],4,FALSE))</f>
        <v/>
      </c>
      <c r="AA1002" s="64" t="str">
        <f>IF(Table13[[#This Row],[value Type]]="","",    IF(Table13[[#This Row],[IP MAX]]="","","@"  )     )</f>
        <v/>
      </c>
      <c r="AB1002" s="79" t="str">
        <f>IF(Table13[[#This Row],[value Type]]="","",VLOOKUP(Table13[[#This Row],[value Type]],Table2915[],5,FALSE))</f>
        <v/>
      </c>
      <c r="AC10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2" s="79" t="str">
        <f>IF(Table13[[#This Row],[value Type]]="","",VLOOKUP(Table13[[#This Row],[IP]],Table51117[],2,FALSE))</f>
        <v/>
      </c>
      <c r="AE1002" s="79"/>
      <c r="AF1002" s="68" t="str">
        <f>IF(Table13[[#This Row],[value Type]]="","",VLOOKUP(Table13[[#This Row],[Acc Type]],Table2[],2,FALSE))</f>
        <v/>
      </c>
      <c r="AG1002" s="75" t="str">
        <f>IF(Table13[[#This Row],[value Type]]="","",4*HEX2DEC(Table13[[#This Row],[Addr'[HEX']]]))</f>
        <v/>
      </c>
      <c r="AH1002" s="75" t="str">
        <f>IF(Table13[[#This Row],[value Type]]="","",VLOOKUP(Table13[[#This Row],[AddrTypeI]],Table22[],2,FALSE))</f>
        <v/>
      </c>
      <c r="AI1002" s="68" t="str">
        <f>IF(Table13[[#This Row],[value Type]]="","",VLOOKUP(Table13[[#This Row],[DataType]],Table351218[],2,FALSE))</f>
        <v/>
      </c>
      <c r="AJ1002" s="68" t="str">
        <f>IF(Table13[[#This Row],[value Type]]="","",Table13[[#This Row],[DataWidth]])</f>
        <v/>
      </c>
      <c r="AK1002" s="68" t="str">
        <f>IF(Table13[[#This Row],[value Type]]="","", Table13[[#This Row],[DataOffset]])</f>
        <v/>
      </c>
      <c r="AL1002" s="24"/>
      <c r="AM1002" s="24" t="str">
        <f>IF(Table13[[#This Row],[value Type]]="","", "0x"&amp;DEC2HEX(Table13[[#This Row],[ADDR_Offset]],8) )</f>
        <v/>
      </c>
    </row>
    <row r="1003" spans="2:39" x14ac:dyDescent="0.3">
      <c r="B1003" s="14"/>
      <c r="C1003" s="14"/>
      <c r="D1003" s="14"/>
      <c r="E1003" s="24"/>
      <c r="F1003" s="24"/>
      <c r="G1003" s="14"/>
      <c r="H1003" s="36"/>
      <c r="I1003" s="29"/>
      <c r="J1003" s="15"/>
      <c r="K1003" s="15"/>
      <c r="L1003" s="14"/>
      <c r="M1003" s="35"/>
      <c r="N1003" s="15"/>
      <c r="O1003" s="88"/>
      <c r="P1003" s="25"/>
      <c r="Q1003" s="15"/>
      <c r="R1003" s="26"/>
      <c r="S1003" s="27"/>
      <c r="T1003" s="27"/>
      <c r="U1003" s="28"/>
      <c r="V1003" s="14"/>
      <c r="W1003" s="14"/>
      <c r="X1003" s="30" t="str">
        <f>IF(Table13[[#This Row],[value Type]]="","",VLOOKUP(Table13[[#This Row],[value Type]],Table2915[],2,FALSE))</f>
        <v/>
      </c>
      <c r="Y1003" s="30" t="str">
        <f>IF(Table13[[#This Row],[value Type]]="","",VLOOKUP(Table13[[#This Row],[value Type]],Table2915[],3,FALSE))</f>
        <v/>
      </c>
      <c r="Z1003" s="64" t="str">
        <f>IF(Table13[[#This Row],[value Type]]="","",VLOOKUP(Table13[[#This Row],[value Type]],Table2915[],4,FALSE))</f>
        <v/>
      </c>
      <c r="AA1003" s="64" t="str">
        <f>IF(Table13[[#This Row],[value Type]]="","",    IF(Table13[[#This Row],[IP MAX]]="","","@"  )     )</f>
        <v/>
      </c>
      <c r="AB1003" s="79" t="str">
        <f>IF(Table13[[#This Row],[value Type]]="","",VLOOKUP(Table13[[#This Row],[value Type]],Table2915[],5,FALSE))</f>
        <v/>
      </c>
      <c r="AC10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3" s="79" t="str">
        <f>IF(Table13[[#This Row],[value Type]]="","",VLOOKUP(Table13[[#This Row],[IP]],Table51117[],2,FALSE))</f>
        <v/>
      </c>
      <c r="AE1003" s="79"/>
      <c r="AF1003" s="68" t="str">
        <f>IF(Table13[[#This Row],[value Type]]="","",VLOOKUP(Table13[[#This Row],[Acc Type]],Table2[],2,FALSE))</f>
        <v/>
      </c>
      <c r="AG1003" s="75" t="str">
        <f>IF(Table13[[#This Row],[value Type]]="","",4*HEX2DEC(Table13[[#This Row],[Addr'[HEX']]]))</f>
        <v/>
      </c>
      <c r="AH1003" s="75" t="str">
        <f>IF(Table13[[#This Row],[value Type]]="","",VLOOKUP(Table13[[#This Row],[AddrTypeI]],Table22[],2,FALSE))</f>
        <v/>
      </c>
      <c r="AI1003" s="68" t="str">
        <f>IF(Table13[[#This Row],[value Type]]="","",VLOOKUP(Table13[[#This Row],[DataType]],Table351218[],2,FALSE))</f>
        <v/>
      </c>
      <c r="AJ1003" s="68" t="str">
        <f>IF(Table13[[#This Row],[value Type]]="","",Table13[[#This Row],[DataWidth]])</f>
        <v/>
      </c>
      <c r="AK1003" s="68" t="str">
        <f>IF(Table13[[#This Row],[value Type]]="","", Table13[[#This Row],[DataOffset]])</f>
        <v/>
      </c>
      <c r="AL1003" s="24"/>
      <c r="AM1003" s="24" t="str">
        <f>IF(Table13[[#This Row],[value Type]]="","", "0x"&amp;DEC2HEX(Table13[[#This Row],[ADDR_Offset]],8) )</f>
        <v/>
      </c>
    </row>
    <row r="1004" spans="2:39" x14ac:dyDescent="0.3">
      <c r="B1004" s="14"/>
      <c r="C1004" s="14"/>
      <c r="D1004" s="14"/>
      <c r="E1004" s="24"/>
      <c r="F1004" s="24"/>
      <c r="G1004" s="14"/>
      <c r="H1004" s="36"/>
      <c r="I1004" s="29"/>
      <c r="J1004" s="15"/>
      <c r="K1004" s="15"/>
      <c r="L1004" s="14"/>
      <c r="M1004" s="35"/>
      <c r="N1004" s="15"/>
      <c r="O1004" s="88"/>
      <c r="P1004" s="25"/>
      <c r="Q1004" s="15"/>
      <c r="R1004" s="26"/>
      <c r="S1004" s="27"/>
      <c r="T1004" s="27"/>
      <c r="U1004" s="28"/>
      <c r="V1004" s="14"/>
      <c r="W1004" s="14"/>
      <c r="X1004" s="30" t="str">
        <f>IF(Table13[[#This Row],[value Type]]="","",VLOOKUP(Table13[[#This Row],[value Type]],Table2915[],2,FALSE))</f>
        <v/>
      </c>
      <c r="Y1004" s="30" t="str">
        <f>IF(Table13[[#This Row],[value Type]]="","",VLOOKUP(Table13[[#This Row],[value Type]],Table2915[],3,FALSE))</f>
        <v/>
      </c>
      <c r="Z1004" s="64" t="str">
        <f>IF(Table13[[#This Row],[value Type]]="","",VLOOKUP(Table13[[#This Row],[value Type]],Table2915[],4,FALSE))</f>
        <v/>
      </c>
      <c r="AA1004" s="64" t="str">
        <f>IF(Table13[[#This Row],[value Type]]="","",    IF(Table13[[#This Row],[IP MAX]]="","","@"  )     )</f>
        <v/>
      </c>
      <c r="AB1004" s="79" t="str">
        <f>IF(Table13[[#This Row],[value Type]]="","",VLOOKUP(Table13[[#This Row],[value Type]],Table2915[],5,FALSE))</f>
        <v/>
      </c>
      <c r="AC10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4" s="79" t="str">
        <f>IF(Table13[[#This Row],[value Type]]="","",VLOOKUP(Table13[[#This Row],[IP]],Table51117[],2,FALSE))</f>
        <v/>
      </c>
      <c r="AE1004" s="79"/>
      <c r="AF1004" s="68" t="str">
        <f>IF(Table13[[#This Row],[value Type]]="","",VLOOKUP(Table13[[#This Row],[Acc Type]],Table2[],2,FALSE))</f>
        <v/>
      </c>
      <c r="AG1004" s="75" t="str">
        <f>IF(Table13[[#This Row],[value Type]]="","",4*HEX2DEC(Table13[[#This Row],[Addr'[HEX']]]))</f>
        <v/>
      </c>
      <c r="AH1004" s="75" t="str">
        <f>IF(Table13[[#This Row],[value Type]]="","",VLOOKUP(Table13[[#This Row],[AddrTypeI]],Table22[],2,FALSE))</f>
        <v/>
      </c>
      <c r="AI1004" s="68" t="str">
        <f>IF(Table13[[#This Row],[value Type]]="","",VLOOKUP(Table13[[#This Row],[DataType]],Table351218[],2,FALSE))</f>
        <v/>
      </c>
      <c r="AJ1004" s="68" t="str">
        <f>IF(Table13[[#This Row],[value Type]]="","",Table13[[#This Row],[DataWidth]])</f>
        <v/>
      </c>
      <c r="AK1004" s="68" t="str">
        <f>IF(Table13[[#This Row],[value Type]]="","", Table13[[#This Row],[DataOffset]])</f>
        <v/>
      </c>
      <c r="AL1004" s="24"/>
      <c r="AM1004" s="24" t="str">
        <f>IF(Table13[[#This Row],[value Type]]="","", "0x"&amp;DEC2HEX(Table13[[#This Row],[ADDR_Offset]],8) )</f>
        <v/>
      </c>
    </row>
    <row r="1005" spans="2:39" x14ac:dyDescent="0.3">
      <c r="B1005" s="14"/>
      <c r="C1005" s="14"/>
      <c r="D1005" s="14"/>
      <c r="E1005" s="24"/>
      <c r="F1005" s="24"/>
      <c r="G1005" s="14"/>
      <c r="H1005" s="36"/>
      <c r="I1005" s="29"/>
      <c r="J1005" s="15"/>
      <c r="K1005" s="15"/>
      <c r="L1005" s="14"/>
      <c r="M1005" s="35"/>
      <c r="N1005" s="15"/>
      <c r="O1005" s="88"/>
      <c r="P1005" s="25"/>
      <c r="Q1005" s="15"/>
      <c r="R1005" s="26"/>
      <c r="S1005" s="27"/>
      <c r="T1005" s="27"/>
      <c r="U1005" s="28"/>
      <c r="V1005" s="14"/>
      <c r="W1005" s="14"/>
      <c r="X1005" s="30" t="str">
        <f>IF(Table13[[#This Row],[value Type]]="","",VLOOKUP(Table13[[#This Row],[value Type]],Table2915[],2,FALSE))</f>
        <v/>
      </c>
      <c r="Y1005" s="30" t="str">
        <f>IF(Table13[[#This Row],[value Type]]="","",VLOOKUP(Table13[[#This Row],[value Type]],Table2915[],3,FALSE))</f>
        <v/>
      </c>
      <c r="Z1005" s="64" t="str">
        <f>IF(Table13[[#This Row],[value Type]]="","",VLOOKUP(Table13[[#This Row],[value Type]],Table2915[],4,FALSE))</f>
        <v/>
      </c>
      <c r="AA1005" s="64" t="str">
        <f>IF(Table13[[#This Row],[value Type]]="","",    IF(Table13[[#This Row],[IP MAX]]="","","@"  )     )</f>
        <v/>
      </c>
      <c r="AB1005" s="79" t="str">
        <f>IF(Table13[[#This Row],[value Type]]="","",VLOOKUP(Table13[[#This Row],[value Type]],Table2915[],5,FALSE))</f>
        <v/>
      </c>
      <c r="AC10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5" s="79" t="str">
        <f>IF(Table13[[#This Row],[value Type]]="","",VLOOKUP(Table13[[#This Row],[IP]],Table51117[],2,FALSE))</f>
        <v/>
      </c>
      <c r="AE1005" s="79"/>
      <c r="AF1005" s="68" t="str">
        <f>IF(Table13[[#This Row],[value Type]]="","",VLOOKUP(Table13[[#This Row],[Acc Type]],Table2[],2,FALSE))</f>
        <v/>
      </c>
      <c r="AG1005" s="75" t="str">
        <f>IF(Table13[[#This Row],[value Type]]="","",4*HEX2DEC(Table13[[#This Row],[Addr'[HEX']]]))</f>
        <v/>
      </c>
      <c r="AH1005" s="75" t="str">
        <f>IF(Table13[[#This Row],[value Type]]="","",VLOOKUP(Table13[[#This Row],[AddrTypeI]],Table22[],2,FALSE))</f>
        <v/>
      </c>
      <c r="AI1005" s="68" t="str">
        <f>IF(Table13[[#This Row],[value Type]]="","",VLOOKUP(Table13[[#This Row],[DataType]],Table351218[],2,FALSE))</f>
        <v/>
      </c>
      <c r="AJ1005" s="68" t="str">
        <f>IF(Table13[[#This Row],[value Type]]="","",Table13[[#This Row],[DataWidth]])</f>
        <v/>
      </c>
      <c r="AK1005" s="68" t="str">
        <f>IF(Table13[[#This Row],[value Type]]="","", Table13[[#This Row],[DataOffset]])</f>
        <v/>
      </c>
      <c r="AL1005" s="24"/>
      <c r="AM1005" s="24" t="str">
        <f>IF(Table13[[#This Row],[value Type]]="","", "0x"&amp;DEC2HEX(Table13[[#This Row],[ADDR_Offset]],8) )</f>
        <v/>
      </c>
    </row>
    <row r="1006" spans="2:39" x14ac:dyDescent="0.3">
      <c r="B1006" s="14"/>
      <c r="C1006" s="14"/>
      <c r="D1006" s="14"/>
      <c r="E1006" s="24"/>
      <c r="F1006" s="24"/>
      <c r="G1006" s="14"/>
      <c r="H1006" s="36"/>
      <c r="I1006" s="29"/>
      <c r="J1006" s="15"/>
      <c r="K1006" s="15"/>
      <c r="L1006" s="14"/>
      <c r="M1006" s="35"/>
      <c r="N1006" s="15"/>
      <c r="O1006" s="88"/>
      <c r="P1006" s="25"/>
      <c r="Q1006" s="15"/>
      <c r="R1006" s="26"/>
      <c r="S1006" s="27"/>
      <c r="T1006" s="27"/>
      <c r="U1006" s="28"/>
      <c r="V1006" s="14"/>
      <c r="W1006" s="14"/>
      <c r="X1006" s="30" t="str">
        <f>IF(Table13[[#This Row],[value Type]]="","",VLOOKUP(Table13[[#This Row],[value Type]],Table2915[],2,FALSE))</f>
        <v/>
      </c>
      <c r="Y1006" s="30" t="str">
        <f>IF(Table13[[#This Row],[value Type]]="","",VLOOKUP(Table13[[#This Row],[value Type]],Table2915[],3,FALSE))</f>
        <v/>
      </c>
      <c r="Z1006" s="64" t="str">
        <f>IF(Table13[[#This Row],[value Type]]="","",VLOOKUP(Table13[[#This Row],[value Type]],Table2915[],4,FALSE))</f>
        <v/>
      </c>
      <c r="AA1006" s="64" t="str">
        <f>IF(Table13[[#This Row],[value Type]]="","",    IF(Table13[[#This Row],[IP MAX]]="","","@"  )     )</f>
        <v/>
      </c>
      <c r="AB1006" s="79" t="str">
        <f>IF(Table13[[#This Row],[value Type]]="","",VLOOKUP(Table13[[#This Row],[value Type]],Table2915[],5,FALSE))</f>
        <v/>
      </c>
      <c r="AC10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6" s="79" t="str">
        <f>IF(Table13[[#This Row],[value Type]]="","",VLOOKUP(Table13[[#This Row],[IP]],Table51117[],2,FALSE))</f>
        <v/>
      </c>
      <c r="AE1006" s="79"/>
      <c r="AF1006" s="68" t="str">
        <f>IF(Table13[[#This Row],[value Type]]="","",VLOOKUP(Table13[[#This Row],[Acc Type]],Table2[],2,FALSE))</f>
        <v/>
      </c>
      <c r="AG1006" s="75" t="str">
        <f>IF(Table13[[#This Row],[value Type]]="","",4*HEX2DEC(Table13[[#This Row],[Addr'[HEX']]]))</f>
        <v/>
      </c>
      <c r="AH1006" s="75" t="str">
        <f>IF(Table13[[#This Row],[value Type]]="","",VLOOKUP(Table13[[#This Row],[AddrTypeI]],Table22[],2,FALSE))</f>
        <v/>
      </c>
      <c r="AI1006" s="68" t="str">
        <f>IF(Table13[[#This Row],[value Type]]="","",VLOOKUP(Table13[[#This Row],[DataType]],Table351218[],2,FALSE))</f>
        <v/>
      </c>
      <c r="AJ1006" s="68" t="str">
        <f>IF(Table13[[#This Row],[value Type]]="","",Table13[[#This Row],[DataWidth]])</f>
        <v/>
      </c>
      <c r="AK1006" s="68" t="str">
        <f>IF(Table13[[#This Row],[value Type]]="","", Table13[[#This Row],[DataOffset]])</f>
        <v/>
      </c>
      <c r="AL1006" s="24"/>
      <c r="AM1006" s="24" t="str">
        <f>IF(Table13[[#This Row],[value Type]]="","", "0x"&amp;DEC2HEX(Table13[[#This Row],[ADDR_Offset]],8) )</f>
        <v/>
      </c>
    </row>
    <row r="1007" spans="2:39" x14ac:dyDescent="0.3">
      <c r="B1007" s="14"/>
      <c r="C1007" s="14"/>
      <c r="D1007" s="14"/>
      <c r="E1007" s="24"/>
      <c r="F1007" s="24"/>
      <c r="G1007" s="14"/>
      <c r="H1007" s="36"/>
      <c r="I1007" s="29"/>
      <c r="J1007" s="15"/>
      <c r="K1007" s="15"/>
      <c r="L1007" s="14"/>
      <c r="M1007" s="35"/>
      <c r="N1007" s="15"/>
      <c r="O1007" s="88"/>
      <c r="P1007" s="25"/>
      <c r="Q1007" s="15"/>
      <c r="R1007" s="26"/>
      <c r="S1007" s="27"/>
      <c r="T1007" s="27"/>
      <c r="U1007" s="28"/>
      <c r="V1007" s="14"/>
      <c r="W1007" s="14"/>
      <c r="X1007" s="30" t="str">
        <f>IF(Table13[[#This Row],[value Type]]="","",VLOOKUP(Table13[[#This Row],[value Type]],Table2915[],2,FALSE))</f>
        <v/>
      </c>
      <c r="Y1007" s="30" t="str">
        <f>IF(Table13[[#This Row],[value Type]]="","",VLOOKUP(Table13[[#This Row],[value Type]],Table2915[],3,FALSE))</f>
        <v/>
      </c>
      <c r="Z1007" s="64" t="str">
        <f>IF(Table13[[#This Row],[value Type]]="","",VLOOKUP(Table13[[#This Row],[value Type]],Table2915[],4,FALSE))</f>
        <v/>
      </c>
      <c r="AA1007" s="64" t="str">
        <f>IF(Table13[[#This Row],[value Type]]="","",    IF(Table13[[#This Row],[IP MAX]]="","","@"  )     )</f>
        <v/>
      </c>
      <c r="AB1007" s="79" t="str">
        <f>IF(Table13[[#This Row],[value Type]]="","",VLOOKUP(Table13[[#This Row],[value Type]],Table2915[],5,FALSE))</f>
        <v/>
      </c>
      <c r="AC10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7" s="79" t="str">
        <f>IF(Table13[[#This Row],[value Type]]="","",VLOOKUP(Table13[[#This Row],[IP]],Table51117[],2,FALSE))</f>
        <v/>
      </c>
      <c r="AE1007" s="79"/>
      <c r="AF1007" s="68" t="str">
        <f>IF(Table13[[#This Row],[value Type]]="","",VLOOKUP(Table13[[#This Row],[Acc Type]],Table2[],2,FALSE))</f>
        <v/>
      </c>
      <c r="AG1007" s="75" t="str">
        <f>IF(Table13[[#This Row],[value Type]]="","",4*HEX2DEC(Table13[[#This Row],[Addr'[HEX']]]))</f>
        <v/>
      </c>
      <c r="AH1007" s="75" t="str">
        <f>IF(Table13[[#This Row],[value Type]]="","",VLOOKUP(Table13[[#This Row],[AddrTypeI]],Table22[],2,FALSE))</f>
        <v/>
      </c>
      <c r="AI1007" s="68" t="str">
        <f>IF(Table13[[#This Row],[value Type]]="","",VLOOKUP(Table13[[#This Row],[DataType]],Table351218[],2,FALSE))</f>
        <v/>
      </c>
      <c r="AJ1007" s="68" t="str">
        <f>IF(Table13[[#This Row],[value Type]]="","",Table13[[#This Row],[DataWidth]])</f>
        <v/>
      </c>
      <c r="AK1007" s="68" t="str">
        <f>IF(Table13[[#This Row],[value Type]]="","", Table13[[#This Row],[DataOffset]])</f>
        <v/>
      </c>
      <c r="AL1007" s="24"/>
      <c r="AM1007" s="24" t="str">
        <f>IF(Table13[[#This Row],[value Type]]="","", "0x"&amp;DEC2HEX(Table13[[#This Row],[ADDR_Offset]],8) )</f>
        <v/>
      </c>
    </row>
    <row r="1008" spans="2:39" x14ac:dyDescent="0.3">
      <c r="B1008" s="14"/>
      <c r="C1008" s="14"/>
      <c r="D1008" s="14"/>
      <c r="E1008" s="24"/>
      <c r="F1008" s="24"/>
      <c r="G1008" s="14"/>
      <c r="H1008" s="36"/>
      <c r="I1008" s="29"/>
      <c r="J1008" s="15"/>
      <c r="K1008" s="15"/>
      <c r="L1008" s="14"/>
      <c r="M1008" s="35"/>
      <c r="N1008" s="15"/>
      <c r="O1008" s="88"/>
      <c r="P1008" s="25"/>
      <c r="Q1008" s="15"/>
      <c r="R1008" s="26"/>
      <c r="S1008" s="27"/>
      <c r="T1008" s="27"/>
      <c r="U1008" s="28"/>
      <c r="V1008" s="14"/>
      <c r="W1008" s="14"/>
      <c r="X1008" s="30" t="str">
        <f>IF(Table13[[#This Row],[value Type]]="","",VLOOKUP(Table13[[#This Row],[value Type]],Table2915[],2,FALSE))</f>
        <v/>
      </c>
      <c r="Y1008" s="30" t="str">
        <f>IF(Table13[[#This Row],[value Type]]="","",VLOOKUP(Table13[[#This Row],[value Type]],Table2915[],3,FALSE))</f>
        <v/>
      </c>
      <c r="Z1008" s="64" t="str">
        <f>IF(Table13[[#This Row],[value Type]]="","",VLOOKUP(Table13[[#This Row],[value Type]],Table2915[],4,FALSE))</f>
        <v/>
      </c>
      <c r="AA1008" s="64" t="str">
        <f>IF(Table13[[#This Row],[value Type]]="","",    IF(Table13[[#This Row],[IP MAX]]="","","@"  )     )</f>
        <v/>
      </c>
      <c r="AB1008" s="79" t="str">
        <f>IF(Table13[[#This Row],[value Type]]="","",VLOOKUP(Table13[[#This Row],[value Type]],Table2915[],5,FALSE))</f>
        <v/>
      </c>
      <c r="AC10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8" s="79" t="str">
        <f>IF(Table13[[#This Row],[value Type]]="","",VLOOKUP(Table13[[#This Row],[IP]],Table51117[],2,FALSE))</f>
        <v/>
      </c>
      <c r="AE1008" s="79"/>
      <c r="AF1008" s="68" t="str">
        <f>IF(Table13[[#This Row],[value Type]]="","",VLOOKUP(Table13[[#This Row],[Acc Type]],Table2[],2,FALSE))</f>
        <v/>
      </c>
      <c r="AG1008" s="75" t="str">
        <f>IF(Table13[[#This Row],[value Type]]="","",4*HEX2DEC(Table13[[#This Row],[Addr'[HEX']]]))</f>
        <v/>
      </c>
      <c r="AH1008" s="75" t="str">
        <f>IF(Table13[[#This Row],[value Type]]="","",VLOOKUP(Table13[[#This Row],[AddrTypeI]],Table22[],2,FALSE))</f>
        <v/>
      </c>
      <c r="AI1008" s="68" t="str">
        <f>IF(Table13[[#This Row],[value Type]]="","",VLOOKUP(Table13[[#This Row],[DataType]],Table351218[],2,FALSE))</f>
        <v/>
      </c>
      <c r="AJ1008" s="68" t="str">
        <f>IF(Table13[[#This Row],[value Type]]="","",Table13[[#This Row],[DataWidth]])</f>
        <v/>
      </c>
      <c r="AK1008" s="68" t="str">
        <f>IF(Table13[[#This Row],[value Type]]="","", Table13[[#This Row],[DataOffset]])</f>
        <v/>
      </c>
      <c r="AL1008" s="24"/>
      <c r="AM1008" s="24" t="str">
        <f>IF(Table13[[#This Row],[value Type]]="","", "0x"&amp;DEC2HEX(Table13[[#This Row],[ADDR_Offset]],8) )</f>
        <v/>
      </c>
    </row>
    <row r="1009" spans="2:39" x14ac:dyDescent="0.3">
      <c r="B1009" s="14"/>
      <c r="C1009" s="14"/>
      <c r="D1009" s="14"/>
      <c r="E1009" s="24"/>
      <c r="F1009" s="24"/>
      <c r="G1009" s="14"/>
      <c r="H1009" s="36"/>
      <c r="I1009" s="29"/>
      <c r="J1009" s="15"/>
      <c r="K1009" s="15"/>
      <c r="L1009" s="14"/>
      <c r="M1009" s="35"/>
      <c r="N1009" s="15"/>
      <c r="O1009" s="88"/>
      <c r="P1009" s="25"/>
      <c r="Q1009" s="15"/>
      <c r="R1009" s="26"/>
      <c r="S1009" s="27"/>
      <c r="T1009" s="27"/>
      <c r="U1009" s="28"/>
      <c r="V1009" s="14"/>
      <c r="W1009" s="14"/>
      <c r="X1009" s="30" t="str">
        <f>IF(Table13[[#This Row],[value Type]]="","",VLOOKUP(Table13[[#This Row],[value Type]],Table2915[],2,FALSE))</f>
        <v/>
      </c>
      <c r="Y1009" s="30" t="str">
        <f>IF(Table13[[#This Row],[value Type]]="","",VLOOKUP(Table13[[#This Row],[value Type]],Table2915[],3,FALSE))</f>
        <v/>
      </c>
      <c r="Z1009" s="64" t="str">
        <f>IF(Table13[[#This Row],[value Type]]="","",VLOOKUP(Table13[[#This Row],[value Type]],Table2915[],4,FALSE))</f>
        <v/>
      </c>
      <c r="AA1009" s="64" t="str">
        <f>IF(Table13[[#This Row],[value Type]]="","",    IF(Table13[[#This Row],[IP MAX]]="","","@"  )     )</f>
        <v/>
      </c>
      <c r="AB1009" s="79" t="str">
        <f>IF(Table13[[#This Row],[value Type]]="","",VLOOKUP(Table13[[#This Row],[value Type]],Table2915[],5,FALSE))</f>
        <v/>
      </c>
      <c r="AC10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09" s="79" t="str">
        <f>IF(Table13[[#This Row],[value Type]]="","",VLOOKUP(Table13[[#This Row],[IP]],Table51117[],2,FALSE))</f>
        <v/>
      </c>
      <c r="AE1009" s="79"/>
      <c r="AF1009" s="68" t="str">
        <f>IF(Table13[[#This Row],[value Type]]="","",VLOOKUP(Table13[[#This Row],[Acc Type]],Table2[],2,FALSE))</f>
        <v/>
      </c>
      <c r="AG1009" s="75" t="str">
        <f>IF(Table13[[#This Row],[value Type]]="","",4*HEX2DEC(Table13[[#This Row],[Addr'[HEX']]]))</f>
        <v/>
      </c>
      <c r="AH1009" s="75" t="str">
        <f>IF(Table13[[#This Row],[value Type]]="","",VLOOKUP(Table13[[#This Row],[AddrTypeI]],Table22[],2,FALSE))</f>
        <v/>
      </c>
      <c r="AI1009" s="68" t="str">
        <f>IF(Table13[[#This Row],[value Type]]="","",VLOOKUP(Table13[[#This Row],[DataType]],Table351218[],2,FALSE))</f>
        <v/>
      </c>
      <c r="AJ1009" s="68" t="str">
        <f>IF(Table13[[#This Row],[value Type]]="","",Table13[[#This Row],[DataWidth]])</f>
        <v/>
      </c>
      <c r="AK1009" s="68" t="str">
        <f>IF(Table13[[#This Row],[value Type]]="","", Table13[[#This Row],[DataOffset]])</f>
        <v/>
      </c>
      <c r="AL1009" s="24"/>
      <c r="AM1009" s="24" t="str">
        <f>IF(Table13[[#This Row],[value Type]]="","", "0x"&amp;DEC2HEX(Table13[[#This Row],[ADDR_Offset]],8) )</f>
        <v/>
      </c>
    </row>
    <row r="1010" spans="2:39" x14ac:dyDescent="0.3">
      <c r="B1010" s="14"/>
      <c r="C1010" s="14"/>
      <c r="D1010" s="14"/>
      <c r="E1010" s="24"/>
      <c r="F1010" s="24"/>
      <c r="G1010" s="14"/>
      <c r="H1010" s="36"/>
      <c r="I1010" s="29"/>
      <c r="J1010" s="15"/>
      <c r="K1010" s="15"/>
      <c r="L1010" s="14"/>
      <c r="M1010" s="35"/>
      <c r="N1010" s="15"/>
      <c r="O1010" s="88"/>
      <c r="P1010" s="25"/>
      <c r="Q1010" s="15"/>
      <c r="R1010" s="26"/>
      <c r="S1010" s="27"/>
      <c r="T1010" s="27"/>
      <c r="U1010" s="28"/>
      <c r="V1010" s="14"/>
      <c r="W1010" s="14"/>
      <c r="X1010" s="30" t="str">
        <f>IF(Table13[[#This Row],[value Type]]="","",VLOOKUP(Table13[[#This Row],[value Type]],Table2915[],2,FALSE))</f>
        <v/>
      </c>
      <c r="Y1010" s="30" t="str">
        <f>IF(Table13[[#This Row],[value Type]]="","",VLOOKUP(Table13[[#This Row],[value Type]],Table2915[],3,FALSE))</f>
        <v/>
      </c>
      <c r="Z1010" s="64" t="str">
        <f>IF(Table13[[#This Row],[value Type]]="","",VLOOKUP(Table13[[#This Row],[value Type]],Table2915[],4,FALSE))</f>
        <v/>
      </c>
      <c r="AA1010" s="64" t="str">
        <f>IF(Table13[[#This Row],[value Type]]="","",    IF(Table13[[#This Row],[IP MAX]]="","","@"  )     )</f>
        <v/>
      </c>
      <c r="AB1010" s="79" t="str">
        <f>IF(Table13[[#This Row],[value Type]]="","",VLOOKUP(Table13[[#This Row],[value Type]],Table2915[],5,FALSE))</f>
        <v/>
      </c>
      <c r="AC10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0" s="79" t="str">
        <f>IF(Table13[[#This Row],[value Type]]="","",VLOOKUP(Table13[[#This Row],[IP]],Table51117[],2,FALSE))</f>
        <v/>
      </c>
      <c r="AE1010" s="79"/>
      <c r="AF1010" s="68" t="str">
        <f>IF(Table13[[#This Row],[value Type]]="","",VLOOKUP(Table13[[#This Row],[Acc Type]],Table2[],2,FALSE))</f>
        <v/>
      </c>
      <c r="AG1010" s="75" t="str">
        <f>IF(Table13[[#This Row],[value Type]]="","",4*HEX2DEC(Table13[[#This Row],[Addr'[HEX']]]))</f>
        <v/>
      </c>
      <c r="AH1010" s="75" t="str">
        <f>IF(Table13[[#This Row],[value Type]]="","",VLOOKUP(Table13[[#This Row],[AddrTypeI]],Table22[],2,FALSE))</f>
        <v/>
      </c>
      <c r="AI1010" s="68" t="str">
        <f>IF(Table13[[#This Row],[value Type]]="","",VLOOKUP(Table13[[#This Row],[DataType]],Table351218[],2,FALSE))</f>
        <v/>
      </c>
      <c r="AJ1010" s="68" t="str">
        <f>IF(Table13[[#This Row],[value Type]]="","",Table13[[#This Row],[DataWidth]])</f>
        <v/>
      </c>
      <c r="AK1010" s="68" t="str">
        <f>IF(Table13[[#This Row],[value Type]]="","", Table13[[#This Row],[DataOffset]])</f>
        <v/>
      </c>
      <c r="AL1010" s="24"/>
      <c r="AM1010" s="24" t="str">
        <f>IF(Table13[[#This Row],[value Type]]="","", "0x"&amp;DEC2HEX(Table13[[#This Row],[ADDR_Offset]],8) )</f>
        <v/>
      </c>
    </row>
    <row r="1011" spans="2:39" x14ac:dyDescent="0.3">
      <c r="B1011" s="14"/>
      <c r="C1011" s="14"/>
      <c r="D1011" s="14"/>
      <c r="E1011" s="24"/>
      <c r="F1011" s="24"/>
      <c r="G1011" s="14"/>
      <c r="H1011" s="36"/>
      <c r="I1011" s="29"/>
      <c r="J1011" s="15"/>
      <c r="K1011" s="15"/>
      <c r="L1011" s="14"/>
      <c r="M1011" s="35"/>
      <c r="N1011" s="15"/>
      <c r="O1011" s="88"/>
      <c r="P1011" s="25"/>
      <c r="Q1011" s="15"/>
      <c r="R1011" s="26"/>
      <c r="S1011" s="27"/>
      <c r="T1011" s="27"/>
      <c r="U1011" s="28"/>
      <c r="V1011" s="14"/>
      <c r="W1011" s="14"/>
      <c r="X1011" s="30" t="str">
        <f>IF(Table13[[#This Row],[value Type]]="","",VLOOKUP(Table13[[#This Row],[value Type]],Table2915[],2,FALSE))</f>
        <v/>
      </c>
      <c r="Y1011" s="30" t="str">
        <f>IF(Table13[[#This Row],[value Type]]="","",VLOOKUP(Table13[[#This Row],[value Type]],Table2915[],3,FALSE))</f>
        <v/>
      </c>
      <c r="Z1011" s="64" t="str">
        <f>IF(Table13[[#This Row],[value Type]]="","",VLOOKUP(Table13[[#This Row],[value Type]],Table2915[],4,FALSE))</f>
        <v/>
      </c>
      <c r="AA1011" s="64" t="str">
        <f>IF(Table13[[#This Row],[value Type]]="","",    IF(Table13[[#This Row],[IP MAX]]="","","@"  )     )</f>
        <v/>
      </c>
      <c r="AB1011" s="79" t="str">
        <f>IF(Table13[[#This Row],[value Type]]="","",VLOOKUP(Table13[[#This Row],[value Type]],Table2915[],5,FALSE))</f>
        <v/>
      </c>
      <c r="AC10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1" s="79" t="str">
        <f>IF(Table13[[#This Row],[value Type]]="","",VLOOKUP(Table13[[#This Row],[IP]],Table51117[],2,FALSE))</f>
        <v/>
      </c>
      <c r="AE1011" s="79"/>
      <c r="AF1011" s="68" t="str">
        <f>IF(Table13[[#This Row],[value Type]]="","",VLOOKUP(Table13[[#This Row],[Acc Type]],Table2[],2,FALSE))</f>
        <v/>
      </c>
      <c r="AG1011" s="75" t="str">
        <f>IF(Table13[[#This Row],[value Type]]="","",4*HEX2DEC(Table13[[#This Row],[Addr'[HEX']]]))</f>
        <v/>
      </c>
      <c r="AH1011" s="75" t="str">
        <f>IF(Table13[[#This Row],[value Type]]="","",VLOOKUP(Table13[[#This Row],[AddrTypeI]],Table22[],2,FALSE))</f>
        <v/>
      </c>
      <c r="AI1011" s="68" t="str">
        <f>IF(Table13[[#This Row],[value Type]]="","",VLOOKUP(Table13[[#This Row],[DataType]],Table351218[],2,FALSE))</f>
        <v/>
      </c>
      <c r="AJ1011" s="68" t="str">
        <f>IF(Table13[[#This Row],[value Type]]="","",Table13[[#This Row],[DataWidth]])</f>
        <v/>
      </c>
      <c r="AK1011" s="68" t="str">
        <f>IF(Table13[[#This Row],[value Type]]="","", Table13[[#This Row],[DataOffset]])</f>
        <v/>
      </c>
      <c r="AL1011" s="24"/>
      <c r="AM1011" s="24" t="str">
        <f>IF(Table13[[#This Row],[value Type]]="","", "0x"&amp;DEC2HEX(Table13[[#This Row],[ADDR_Offset]],8) )</f>
        <v/>
      </c>
    </row>
    <row r="1012" spans="2:39" x14ac:dyDescent="0.3">
      <c r="B1012" s="14"/>
      <c r="C1012" s="14"/>
      <c r="D1012" s="14"/>
      <c r="E1012" s="24"/>
      <c r="F1012" s="24"/>
      <c r="G1012" s="14"/>
      <c r="H1012" s="36"/>
      <c r="I1012" s="29"/>
      <c r="J1012" s="15"/>
      <c r="K1012" s="15"/>
      <c r="L1012" s="14"/>
      <c r="M1012" s="35"/>
      <c r="N1012" s="15"/>
      <c r="O1012" s="88"/>
      <c r="P1012" s="25"/>
      <c r="Q1012" s="15"/>
      <c r="R1012" s="26"/>
      <c r="S1012" s="27"/>
      <c r="T1012" s="27"/>
      <c r="U1012" s="28"/>
      <c r="V1012" s="14"/>
      <c r="W1012" s="14"/>
      <c r="X1012" s="30" t="str">
        <f>IF(Table13[[#This Row],[value Type]]="","",VLOOKUP(Table13[[#This Row],[value Type]],Table2915[],2,FALSE))</f>
        <v/>
      </c>
      <c r="Y1012" s="30" t="str">
        <f>IF(Table13[[#This Row],[value Type]]="","",VLOOKUP(Table13[[#This Row],[value Type]],Table2915[],3,FALSE))</f>
        <v/>
      </c>
      <c r="Z1012" s="64" t="str">
        <f>IF(Table13[[#This Row],[value Type]]="","",VLOOKUP(Table13[[#This Row],[value Type]],Table2915[],4,FALSE))</f>
        <v/>
      </c>
      <c r="AA1012" s="64" t="str">
        <f>IF(Table13[[#This Row],[value Type]]="","",    IF(Table13[[#This Row],[IP MAX]]="","","@"  )     )</f>
        <v/>
      </c>
      <c r="AB1012" s="79" t="str">
        <f>IF(Table13[[#This Row],[value Type]]="","",VLOOKUP(Table13[[#This Row],[value Type]],Table2915[],5,FALSE))</f>
        <v/>
      </c>
      <c r="AC10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2" s="79" t="str">
        <f>IF(Table13[[#This Row],[value Type]]="","",VLOOKUP(Table13[[#This Row],[IP]],Table51117[],2,FALSE))</f>
        <v/>
      </c>
      <c r="AE1012" s="79"/>
      <c r="AF1012" s="68" t="str">
        <f>IF(Table13[[#This Row],[value Type]]="","",VLOOKUP(Table13[[#This Row],[Acc Type]],Table2[],2,FALSE))</f>
        <v/>
      </c>
      <c r="AG1012" s="75" t="str">
        <f>IF(Table13[[#This Row],[value Type]]="","",4*HEX2DEC(Table13[[#This Row],[Addr'[HEX']]]))</f>
        <v/>
      </c>
      <c r="AH1012" s="75" t="str">
        <f>IF(Table13[[#This Row],[value Type]]="","",VLOOKUP(Table13[[#This Row],[AddrTypeI]],Table22[],2,FALSE))</f>
        <v/>
      </c>
      <c r="AI1012" s="68" t="str">
        <f>IF(Table13[[#This Row],[value Type]]="","",VLOOKUP(Table13[[#This Row],[DataType]],Table351218[],2,FALSE))</f>
        <v/>
      </c>
      <c r="AJ1012" s="68" t="str">
        <f>IF(Table13[[#This Row],[value Type]]="","",Table13[[#This Row],[DataWidth]])</f>
        <v/>
      </c>
      <c r="AK1012" s="68" t="str">
        <f>IF(Table13[[#This Row],[value Type]]="","", Table13[[#This Row],[DataOffset]])</f>
        <v/>
      </c>
      <c r="AL1012" s="24"/>
      <c r="AM1012" s="24" t="str">
        <f>IF(Table13[[#This Row],[value Type]]="","", "0x"&amp;DEC2HEX(Table13[[#This Row],[ADDR_Offset]],8) )</f>
        <v/>
      </c>
    </row>
    <row r="1013" spans="2:39" x14ac:dyDescent="0.3">
      <c r="B1013" s="14"/>
      <c r="C1013" s="14"/>
      <c r="D1013" s="14"/>
      <c r="E1013" s="24"/>
      <c r="F1013" s="24"/>
      <c r="G1013" s="14"/>
      <c r="H1013" s="36"/>
      <c r="I1013" s="29"/>
      <c r="J1013" s="15"/>
      <c r="K1013" s="15"/>
      <c r="L1013" s="14"/>
      <c r="M1013" s="35"/>
      <c r="N1013" s="15"/>
      <c r="O1013" s="88"/>
      <c r="P1013" s="25"/>
      <c r="Q1013" s="15"/>
      <c r="R1013" s="26"/>
      <c r="S1013" s="27"/>
      <c r="T1013" s="27"/>
      <c r="U1013" s="28"/>
      <c r="V1013" s="14"/>
      <c r="W1013" s="14"/>
      <c r="X1013" s="30" t="str">
        <f>IF(Table13[[#This Row],[value Type]]="","",VLOOKUP(Table13[[#This Row],[value Type]],Table2915[],2,FALSE))</f>
        <v/>
      </c>
      <c r="Y1013" s="30" t="str">
        <f>IF(Table13[[#This Row],[value Type]]="","",VLOOKUP(Table13[[#This Row],[value Type]],Table2915[],3,FALSE))</f>
        <v/>
      </c>
      <c r="Z1013" s="64" t="str">
        <f>IF(Table13[[#This Row],[value Type]]="","",VLOOKUP(Table13[[#This Row],[value Type]],Table2915[],4,FALSE))</f>
        <v/>
      </c>
      <c r="AA1013" s="64" t="str">
        <f>IF(Table13[[#This Row],[value Type]]="","",    IF(Table13[[#This Row],[IP MAX]]="","","@"  )     )</f>
        <v/>
      </c>
      <c r="AB1013" s="79" t="str">
        <f>IF(Table13[[#This Row],[value Type]]="","",VLOOKUP(Table13[[#This Row],[value Type]],Table2915[],5,FALSE))</f>
        <v/>
      </c>
      <c r="AC10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3" s="79" t="str">
        <f>IF(Table13[[#This Row],[value Type]]="","",VLOOKUP(Table13[[#This Row],[IP]],Table51117[],2,FALSE))</f>
        <v/>
      </c>
      <c r="AE1013" s="79"/>
      <c r="AF1013" s="68" t="str">
        <f>IF(Table13[[#This Row],[value Type]]="","",VLOOKUP(Table13[[#This Row],[Acc Type]],Table2[],2,FALSE))</f>
        <v/>
      </c>
      <c r="AG1013" s="75" t="str">
        <f>IF(Table13[[#This Row],[value Type]]="","",4*HEX2DEC(Table13[[#This Row],[Addr'[HEX']]]))</f>
        <v/>
      </c>
      <c r="AH1013" s="75" t="str">
        <f>IF(Table13[[#This Row],[value Type]]="","",VLOOKUP(Table13[[#This Row],[AddrTypeI]],Table22[],2,FALSE))</f>
        <v/>
      </c>
      <c r="AI1013" s="68" t="str">
        <f>IF(Table13[[#This Row],[value Type]]="","",VLOOKUP(Table13[[#This Row],[DataType]],Table351218[],2,FALSE))</f>
        <v/>
      </c>
      <c r="AJ1013" s="68" t="str">
        <f>IF(Table13[[#This Row],[value Type]]="","",Table13[[#This Row],[DataWidth]])</f>
        <v/>
      </c>
      <c r="AK1013" s="68" t="str">
        <f>IF(Table13[[#This Row],[value Type]]="","", Table13[[#This Row],[DataOffset]])</f>
        <v/>
      </c>
      <c r="AL1013" s="24"/>
      <c r="AM1013" s="24" t="str">
        <f>IF(Table13[[#This Row],[value Type]]="","", "0x"&amp;DEC2HEX(Table13[[#This Row],[ADDR_Offset]],8) )</f>
        <v/>
      </c>
    </row>
    <row r="1014" spans="2:39" x14ac:dyDescent="0.3">
      <c r="B1014" s="14"/>
      <c r="C1014" s="14"/>
      <c r="D1014" s="14"/>
      <c r="E1014" s="24"/>
      <c r="F1014" s="24"/>
      <c r="G1014" s="14"/>
      <c r="H1014" s="36"/>
      <c r="I1014" s="29"/>
      <c r="J1014" s="15"/>
      <c r="K1014" s="15"/>
      <c r="L1014" s="14"/>
      <c r="M1014" s="35"/>
      <c r="N1014" s="15"/>
      <c r="O1014" s="88"/>
      <c r="P1014" s="25"/>
      <c r="Q1014" s="15"/>
      <c r="R1014" s="26"/>
      <c r="S1014" s="27"/>
      <c r="T1014" s="27"/>
      <c r="U1014" s="28"/>
      <c r="V1014" s="14"/>
      <c r="W1014" s="14"/>
      <c r="X1014" s="30" t="str">
        <f>IF(Table13[[#This Row],[value Type]]="","",VLOOKUP(Table13[[#This Row],[value Type]],Table2915[],2,FALSE))</f>
        <v/>
      </c>
      <c r="Y1014" s="30" t="str">
        <f>IF(Table13[[#This Row],[value Type]]="","",VLOOKUP(Table13[[#This Row],[value Type]],Table2915[],3,FALSE))</f>
        <v/>
      </c>
      <c r="Z1014" s="64" t="str">
        <f>IF(Table13[[#This Row],[value Type]]="","",VLOOKUP(Table13[[#This Row],[value Type]],Table2915[],4,FALSE))</f>
        <v/>
      </c>
      <c r="AA1014" s="64" t="str">
        <f>IF(Table13[[#This Row],[value Type]]="","",    IF(Table13[[#This Row],[IP MAX]]="","","@"  )     )</f>
        <v/>
      </c>
      <c r="AB1014" s="79" t="str">
        <f>IF(Table13[[#This Row],[value Type]]="","",VLOOKUP(Table13[[#This Row],[value Type]],Table2915[],5,FALSE))</f>
        <v/>
      </c>
      <c r="AC10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4" s="79" t="str">
        <f>IF(Table13[[#This Row],[value Type]]="","",VLOOKUP(Table13[[#This Row],[IP]],Table51117[],2,FALSE))</f>
        <v/>
      </c>
      <c r="AE1014" s="79"/>
      <c r="AF1014" s="68" t="str">
        <f>IF(Table13[[#This Row],[value Type]]="","",VLOOKUP(Table13[[#This Row],[Acc Type]],Table2[],2,FALSE))</f>
        <v/>
      </c>
      <c r="AG1014" s="75" t="str">
        <f>IF(Table13[[#This Row],[value Type]]="","",4*HEX2DEC(Table13[[#This Row],[Addr'[HEX']]]))</f>
        <v/>
      </c>
      <c r="AH1014" s="75" t="str">
        <f>IF(Table13[[#This Row],[value Type]]="","",VLOOKUP(Table13[[#This Row],[AddrTypeI]],Table22[],2,FALSE))</f>
        <v/>
      </c>
      <c r="AI1014" s="68" t="str">
        <f>IF(Table13[[#This Row],[value Type]]="","",VLOOKUP(Table13[[#This Row],[DataType]],Table351218[],2,FALSE))</f>
        <v/>
      </c>
      <c r="AJ1014" s="68" t="str">
        <f>IF(Table13[[#This Row],[value Type]]="","",Table13[[#This Row],[DataWidth]])</f>
        <v/>
      </c>
      <c r="AK1014" s="68" t="str">
        <f>IF(Table13[[#This Row],[value Type]]="","", Table13[[#This Row],[DataOffset]])</f>
        <v/>
      </c>
      <c r="AL1014" s="24"/>
      <c r="AM1014" s="24" t="str">
        <f>IF(Table13[[#This Row],[value Type]]="","", "0x"&amp;DEC2HEX(Table13[[#This Row],[ADDR_Offset]],8) )</f>
        <v/>
      </c>
    </row>
    <row r="1015" spans="2:39" x14ac:dyDescent="0.3">
      <c r="B1015" s="14"/>
      <c r="C1015" s="14"/>
      <c r="D1015" s="14"/>
      <c r="E1015" s="24"/>
      <c r="F1015" s="24"/>
      <c r="G1015" s="14"/>
      <c r="H1015" s="36"/>
      <c r="I1015" s="29"/>
      <c r="J1015" s="15"/>
      <c r="K1015" s="15"/>
      <c r="L1015" s="14"/>
      <c r="M1015" s="35"/>
      <c r="N1015" s="15"/>
      <c r="O1015" s="88"/>
      <c r="P1015" s="25"/>
      <c r="Q1015" s="15"/>
      <c r="R1015" s="26"/>
      <c r="S1015" s="27"/>
      <c r="T1015" s="27"/>
      <c r="U1015" s="28"/>
      <c r="V1015" s="14"/>
      <c r="W1015" s="14"/>
      <c r="X1015" s="30" t="str">
        <f>IF(Table13[[#This Row],[value Type]]="","",VLOOKUP(Table13[[#This Row],[value Type]],Table2915[],2,FALSE))</f>
        <v/>
      </c>
      <c r="Y1015" s="30" t="str">
        <f>IF(Table13[[#This Row],[value Type]]="","",VLOOKUP(Table13[[#This Row],[value Type]],Table2915[],3,FALSE))</f>
        <v/>
      </c>
      <c r="Z1015" s="64" t="str">
        <f>IF(Table13[[#This Row],[value Type]]="","",VLOOKUP(Table13[[#This Row],[value Type]],Table2915[],4,FALSE))</f>
        <v/>
      </c>
      <c r="AA1015" s="64" t="str">
        <f>IF(Table13[[#This Row],[value Type]]="","",    IF(Table13[[#This Row],[IP MAX]]="","","@"  )     )</f>
        <v/>
      </c>
      <c r="AB1015" s="79" t="str">
        <f>IF(Table13[[#This Row],[value Type]]="","",VLOOKUP(Table13[[#This Row],[value Type]],Table2915[],5,FALSE))</f>
        <v/>
      </c>
      <c r="AC10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5" s="79" t="str">
        <f>IF(Table13[[#This Row],[value Type]]="","",VLOOKUP(Table13[[#This Row],[IP]],Table51117[],2,FALSE))</f>
        <v/>
      </c>
      <c r="AE1015" s="79"/>
      <c r="AF1015" s="68" t="str">
        <f>IF(Table13[[#This Row],[value Type]]="","",VLOOKUP(Table13[[#This Row],[Acc Type]],Table2[],2,FALSE))</f>
        <v/>
      </c>
      <c r="AG1015" s="75" t="str">
        <f>IF(Table13[[#This Row],[value Type]]="","",4*HEX2DEC(Table13[[#This Row],[Addr'[HEX']]]))</f>
        <v/>
      </c>
      <c r="AH1015" s="75" t="str">
        <f>IF(Table13[[#This Row],[value Type]]="","",VLOOKUP(Table13[[#This Row],[AddrTypeI]],Table22[],2,FALSE))</f>
        <v/>
      </c>
      <c r="AI1015" s="68" t="str">
        <f>IF(Table13[[#This Row],[value Type]]="","",VLOOKUP(Table13[[#This Row],[DataType]],Table351218[],2,FALSE))</f>
        <v/>
      </c>
      <c r="AJ1015" s="68" t="str">
        <f>IF(Table13[[#This Row],[value Type]]="","",Table13[[#This Row],[DataWidth]])</f>
        <v/>
      </c>
      <c r="AK1015" s="68" t="str">
        <f>IF(Table13[[#This Row],[value Type]]="","", Table13[[#This Row],[DataOffset]])</f>
        <v/>
      </c>
      <c r="AL1015" s="24"/>
      <c r="AM1015" s="24" t="str">
        <f>IF(Table13[[#This Row],[value Type]]="","", "0x"&amp;DEC2HEX(Table13[[#This Row],[ADDR_Offset]],8) )</f>
        <v/>
      </c>
    </row>
    <row r="1016" spans="2:39" x14ac:dyDescent="0.3">
      <c r="B1016" s="14"/>
      <c r="C1016" s="14"/>
      <c r="D1016" s="14"/>
      <c r="E1016" s="24"/>
      <c r="F1016" s="24"/>
      <c r="G1016" s="14"/>
      <c r="H1016" s="36"/>
      <c r="I1016" s="29"/>
      <c r="J1016" s="15"/>
      <c r="K1016" s="15"/>
      <c r="L1016" s="14"/>
      <c r="M1016" s="35"/>
      <c r="N1016" s="15"/>
      <c r="O1016" s="88"/>
      <c r="P1016" s="25"/>
      <c r="Q1016" s="15"/>
      <c r="R1016" s="26"/>
      <c r="S1016" s="27"/>
      <c r="T1016" s="27"/>
      <c r="U1016" s="28"/>
      <c r="V1016" s="14"/>
      <c r="W1016" s="14"/>
      <c r="X1016" s="30" t="str">
        <f>IF(Table13[[#This Row],[value Type]]="","",VLOOKUP(Table13[[#This Row],[value Type]],Table2915[],2,FALSE))</f>
        <v/>
      </c>
      <c r="Y1016" s="30" t="str">
        <f>IF(Table13[[#This Row],[value Type]]="","",VLOOKUP(Table13[[#This Row],[value Type]],Table2915[],3,FALSE))</f>
        <v/>
      </c>
      <c r="Z1016" s="64" t="str">
        <f>IF(Table13[[#This Row],[value Type]]="","",VLOOKUP(Table13[[#This Row],[value Type]],Table2915[],4,FALSE))</f>
        <v/>
      </c>
      <c r="AA1016" s="64" t="str">
        <f>IF(Table13[[#This Row],[value Type]]="","",    IF(Table13[[#This Row],[IP MAX]]="","","@"  )     )</f>
        <v/>
      </c>
      <c r="AB1016" s="79" t="str">
        <f>IF(Table13[[#This Row],[value Type]]="","",VLOOKUP(Table13[[#This Row],[value Type]],Table2915[],5,FALSE))</f>
        <v/>
      </c>
      <c r="AC10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6" s="79" t="str">
        <f>IF(Table13[[#This Row],[value Type]]="","",VLOOKUP(Table13[[#This Row],[IP]],Table51117[],2,FALSE))</f>
        <v/>
      </c>
      <c r="AE1016" s="79"/>
      <c r="AF1016" s="68" t="str">
        <f>IF(Table13[[#This Row],[value Type]]="","",VLOOKUP(Table13[[#This Row],[Acc Type]],Table2[],2,FALSE))</f>
        <v/>
      </c>
      <c r="AG1016" s="75" t="str">
        <f>IF(Table13[[#This Row],[value Type]]="","",4*HEX2DEC(Table13[[#This Row],[Addr'[HEX']]]))</f>
        <v/>
      </c>
      <c r="AH1016" s="75" t="str">
        <f>IF(Table13[[#This Row],[value Type]]="","",VLOOKUP(Table13[[#This Row],[AddrTypeI]],Table22[],2,FALSE))</f>
        <v/>
      </c>
      <c r="AI1016" s="68" t="str">
        <f>IF(Table13[[#This Row],[value Type]]="","",VLOOKUP(Table13[[#This Row],[DataType]],Table351218[],2,FALSE))</f>
        <v/>
      </c>
      <c r="AJ1016" s="68" t="str">
        <f>IF(Table13[[#This Row],[value Type]]="","",Table13[[#This Row],[DataWidth]])</f>
        <v/>
      </c>
      <c r="AK1016" s="68" t="str">
        <f>IF(Table13[[#This Row],[value Type]]="","", Table13[[#This Row],[DataOffset]])</f>
        <v/>
      </c>
      <c r="AL1016" s="24"/>
      <c r="AM1016" s="24" t="str">
        <f>IF(Table13[[#This Row],[value Type]]="","", "0x"&amp;DEC2HEX(Table13[[#This Row],[ADDR_Offset]],8) )</f>
        <v/>
      </c>
    </row>
    <row r="1017" spans="2:39" x14ac:dyDescent="0.3">
      <c r="B1017" s="14"/>
      <c r="C1017" s="14"/>
      <c r="D1017" s="14"/>
      <c r="E1017" s="24"/>
      <c r="F1017" s="24"/>
      <c r="G1017" s="14"/>
      <c r="H1017" s="36"/>
      <c r="I1017" s="29"/>
      <c r="J1017" s="15"/>
      <c r="K1017" s="15"/>
      <c r="L1017" s="14"/>
      <c r="M1017" s="35"/>
      <c r="N1017" s="15"/>
      <c r="O1017" s="88"/>
      <c r="P1017" s="25"/>
      <c r="Q1017" s="15"/>
      <c r="R1017" s="26"/>
      <c r="S1017" s="27"/>
      <c r="T1017" s="27"/>
      <c r="U1017" s="28"/>
      <c r="V1017" s="14"/>
      <c r="W1017" s="14"/>
      <c r="X1017" s="30" t="str">
        <f>IF(Table13[[#This Row],[value Type]]="","",VLOOKUP(Table13[[#This Row],[value Type]],Table2915[],2,FALSE))</f>
        <v/>
      </c>
      <c r="Y1017" s="30" t="str">
        <f>IF(Table13[[#This Row],[value Type]]="","",VLOOKUP(Table13[[#This Row],[value Type]],Table2915[],3,FALSE))</f>
        <v/>
      </c>
      <c r="Z1017" s="64" t="str">
        <f>IF(Table13[[#This Row],[value Type]]="","",VLOOKUP(Table13[[#This Row],[value Type]],Table2915[],4,FALSE))</f>
        <v/>
      </c>
      <c r="AA1017" s="64" t="str">
        <f>IF(Table13[[#This Row],[value Type]]="","",    IF(Table13[[#This Row],[IP MAX]]="","","@"  )     )</f>
        <v/>
      </c>
      <c r="AB1017" s="79" t="str">
        <f>IF(Table13[[#This Row],[value Type]]="","",VLOOKUP(Table13[[#This Row],[value Type]],Table2915[],5,FALSE))</f>
        <v/>
      </c>
      <c r="AC10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7" s="79" t="str">
        <f>IF(Table13[[#This Row],[value Type]]="","",VLOOKUP(Table13[[#This Row],[IP]],Table51117[],2,FALSE))</f>
        <v/>
      </c>
      <c r="AE1017" s="79"/>
      <c r="AF1017" s="68" t="str">
        <f>IF(Table13[[#This Row],[value Type]]="","",VLOOKUP(Table13[[#This Row],[Acc Type]],Table2[],2,FALSE))</f>
        <v/>
      </c>
      <c r="AG1017" s="75" t="str">
        <f>IF(Table13[[#This Row],[value Type]]="","",4*HEX2DEC(Table13[[#This Row],[Addr'[HEX']]]))</f>
        <v/>
      </c>
      <c r="AH1017" s="75" t="str">
        <f>IF(Table13[[#This Row],[value Type]]="","",VLOOKUP(Table13[[#This Row],[AddrTypeI]],Table22[],2,FALSE))</f>
        <v/>
      </c>
      <c r="AI1017" s="68" t="str">
        <f>IF(Table13[[#This Row],[value Type]]="","",VLOOKUP(Table13[[#This Row],[DataType]],Table351218[],2,FALSE))</f>
        <v/>
      </c>
      <c r="AJ1017" s="68" t="str">
        <f>IF(Table13[[#This Row],[value Type]]="","",Table13[[#This Row],[DataWidth]])</f>
        <v/>
      </c>
      <c r="AK1017" s="68" t="str">
        <f>IF(Table13[[#This Row],[value Type]]="","", Table13[[#This Row],[DataOffset]])</f>
        <v/>
      </c>
      <c r="AL1017" s="24"/>
      <c r="AM1017" s="24" t="str">
        <f>IF(Table13[[#This Row],[value Type]]="","", "0x"&amp;DEC2HEX(Table13[[#This Row],[ADDR_Offset]],8) )</f>
        <v/>
      </c>
    </row>
    <row r="1018" spans="2:39" x14ac:dyDescent="0.3">
      <c r="B1018" s="14"/>
      <c r="C1018" s="14"/>
      <c r="D1018" s="14"/>
      <c r="E1018" s="24"/>
      <c r="F1018" s="24"/>
      <c r="G1018" s="14"/>
      <c r="H1018" s="36"/>
      <c r="I1018" s="29"/>
      <c r="J1018" s="15"/>
      <c r="K1018" s="15"/>
      <c r="L1018" s="14"/>
      <c r="M1018" s="35"/>
      <c r="N1018" s="15"/>
      <c r="O1018" s="88"/>
      <c r="P1018" s="25"/>
      <c r="Q1018" s="15"/>
      <c r="R1018" s="26"/>
      <c r="S1018" s="27"/>
      <c r="T1018" s="27"/>
      <c r="U1018" s="28"/>
      <c r="V1018" s="14"/>
      <c r="W1018" s="14"/>
      <c r="X1018" s="30" t="str">
        <f>IF(Table13[[#This Row],[value Type]]="","",VLOOKUP(Table13[[#This Row],[value Type]],Table2915[],2,FALSE))</f>
        <v/>
      </c>
      <c r="Y1018" s="30" t="str">
        <f>IF(Table13[[#This Row],[value Type]]="","",VLOOKUP(Table13[[#This Row],[value Type]],Table2915[],3,FALSE))</f>
        <v/>
      </c>
      <c r="Z1018" s="64" t="str">
        <f>IF(Table13[[#This Row],[value Type]]="","",VLOOKUP(Table13[[#This Row],[value Type]],Table2915[],4,FALSE))</f>
        <v/>
      </c>
      <c r="AA1018" s="64" t="str">
        <f>IF(Table13[[#This Row],[value Type]]="","",    IF(Table13[[#This Row],[IP MAX]]="","","@"  )     )</f>
        <v/>
      </c>
      <c r="AB1018" s="79" t="str">
        <f>IF(Table13[[#This Row],[value Type]]="","",VLOOKUP(Table13[[#This Row],[value Type]],Table2915[],5,FALSE))</f>
        <v/>
      </c>
      <c r="AC10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8" s="79" t="str">
        <f>IF(Table13[[#This Row],[value Type]]="","",VLOOKUP(Table13[[#This Row],[IP]],Table51117[],2,FALSE))</f>
        <v/>
      </c>
      <c r="AE1018" s="79"/>
      <c r="AF1018" s="68" t="str">
        <f>IF(Table13[[#This Row],[value Type]]="","",VLOOKUP(Table13[[#This Row],[Acc Type]],Table2[],2,FALSE))</f>
        <v/>
      </c>
      <c r="AG1018" s="75" t="str">
        <f>IF(Table13[[#This Row],[value Type]]="","",4*HEX2DEC(Table13[[#This Row],[Addr'[HEX']]]))</f>
        <v/>
      </c>
      <c r="AH1018" s="75" t="str">
        <f>IF(Table13[[#This Row],[value Type]]="","",VLOOKUP(Table13[[#This Row],[AddrTypeI]],Table22[],2,FALSE))</f>
        <v/>
      </c>
      <c r="AI1018" s="68" t="str">
        <f>IF(Table13[[#This Row],[value Type]]="","",VLOOKUP(Table13[[#This Row],[DataType]],Table351218[],2,FALSE))</f>
        <v/>
      </c>
      <c r="AJ1018" s="68" t="str">
        <f>IF(Table13[[#This Row],[value Type]]="","",Table13[[#This Row],[DataWidth]])</f>
        <v/>
      </c>
      <c r="AK1018" s="68" t="str">
        <f>IF(Table13[[#This Row],[value Type]]="","", Table13[[#This Row],[DataOffset]])</f>
        <v/>
      </c>
      <c r="AL1018" s="24"/>
      <c r="AM1018" s="24" t="str">
        <f>IF(Table13[[#This Row],[value Type]]="","", "0x"&amp;DEC2HEX(Table13[[#This Row],[ADDR_Offset]],8) )</f>
        <v/>
      </c>
    </row>
    <row r="1019" spans="2:39" x14ac:dyDescent="0.3">
      <c r="B1019" s="14"/>
      <c r="C1019" s="14"/>
      <c r="D1019" s="14"/>
      <c r="E1019" s="24"/>
      <c r="F1019" s="24"/>
      <c r="G1019" s="14"/>
      <c r="H1019" s="36"/>
      <c r="I1019" s="29"/>
      <c r="J1019" s="15"/>
      <c r="K1019" s="15"/>
      <c r="L1019" s="14"/>
      <c r="M1019" s="35"/>
      <c r="N1019" s="15"/>
      <c r="O1019" s="88"/>
      <c r="P1019" s="25"/>
      <c r="Q1019" s="15"/>
      <c r="R1019" s="26"/>
      <c r="S1019" s="27"/>
      <c r="T1019" s="27"/>
      <c r="U1019" s="28"/>
      <c r="V1019" s="14"/>
      <c r="W1019" s="14"/>
      <c r="X1019" s="30" t="str">
        <f>IF(Table13[[#This Row],[value Type]]="","",VLOOKUP(Table13[[#This Row],[value Type]],Table2915[],2,FALSE))</f>
        <v/>
      </c>
      <c r="Y1019" s="30" t="str">
        <f>IF(Table13[[#This Row],[value Type]]="","",VLOOKUP(Table13[[#This Row],[value Type]],Table2915[],3,FALSE))</f>
        <v/>
      </c>
      <c r="Z1019" s="64" t="str">
        <f>IF(Table13[[#This Row],[value Type]]="","",VLOOKUP(Table13[[#This Row],[value Type]],Table2915[],4,FALSE))</f>
        <v/>
      </c>
      <c r="AA1019" s="64" t="str">
        <f>IF(Table13[[#This Row],[value Type]]="","",    IF(Table13[[#This Row],[IP MAX]]="","","@"  )     )</f>
        <v/>
      </c>
      <c r="AB1019" s="79" t="str">
        <f>IF(Table13[[#This Row],[value Type]]="","",VLOOKUP(Table13[[#This Row],[value Type]],Table2915[],5,FALSE))</f>
        <v/>
      </c>
      <c r="AC10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19" s="79" t="str">
        <f>IF(Table13[[#This Row],[value Type]]="","",VLOOKUP(Table13[[#This Row],[IP]],Table51117[],2,FALSE))</f>
        <v/>
      </c>
      <c r="AE1019" s="79"/>
      <c r="AF1019" s="68" t="str">
        <f>IF(Table13[[#This Row],[value Type]]="","",VLOOKUP(Table13[[#This Row],[Acc Type]],Table2[],2,FALSE))</f>
        <v/>
      </c>
      <c r="AG1019" s="75" t="str">
        <f>IF(Table13[[#This Row],[value Type]]="","",4*HEX2DEC(Table13[[#This Row],[Addr'[HEX']]]))</f>
        <v/>
      </c>
      <c r="AH1019" s="75" t="str">
        <f>IF(Table13[[#This Row],[value Type]]="","",VLOOKUP(Table13[[#This Row],[AddrTypeI]],Table22[],2,FALSE))</f>
        <v/>
      </c>
      <c r="AI1019" s="68" t="str">
        <f>IF(Table13[[#This Row],[value Type]]="","",VLOOKUP(Table13[[#This Row],[DataType]],Table351218[],2,FALSE))</f>
        <v/>
      </c>
      <c r="AJ1019" s="68" t="str">
        <f>IF(Table13[[#This Row],[value Type]]="","",Table13[[#This Row],[DataWidth]])</f>
        <v/>
      </c>
      <c r="AK1019" s="68" t="str">
        <f>IF(Table13[[#This Row],[value Type]]="","", Table13[[#This Row],[DataOffset]])</f>
        <v/>
      </c>
      <c r="AL1019" s="24"/>
      <c r="AM1019" s="24" t="str">
        <f>IF(Table13[[#This Row],[value Type]]="","", "0x"&amp;DEC2HEX(Table13[[#This Row],[ADDR_Offset]],8) )</f>
        <v/>
      </c>
    </row>
    <row r="1020" spans="2:39" x14ac:dyDescent="0.3">
      <c r="B1020" s="14"/>
      <c r="C1020" s="14"/>
      <c r="D1020" s="14"/>
      <c r="E1020" s="24"/>
      <c r="F1020" s="24"/>
      <c r="G1020" s="14"/>
      <c r="H1020" s="36"/>
      <c r="I1020" s="29"/>
      <c r="J1020" s="15"/>
      <c r="K1020" s="15"/>
      <c r="L1020" s="14"/>
      <c r="M1020" s="35"/>
      <c r="N1020" s="15"/>
      <c r="O1020" s="88"/>
      <c r="P1020" s="25"/>
      <c r="Q1020" s="15"/>
      <c r="R1020" s="26"/>
      <c r="S1020" s="27"/>
      <c r="T1020" s="27"/>
      <c r="U1020" s="28"/>
      <c r="V1020" s="14"/>
      <c r="W1020" s="14"/>
      <c r="X1020" s="30" t="str">
        <f>IF(Table13[[#This Row],[value Type]]="","",VLOOKUP(Table13[[#This Row],[value Type]],Table2915[],2,FALSE))</f>
        <v/>
      </c>
      <c r="Y1020" s="30" t="str">
        <f>IF(Table13[[#This Row],[value Type]]="","",VLOOKUP(Table13[[#This Row],[value Type]],Table2915[],3,FALSE))</f>
        <v/>
      </c>
      <c r="Z1020" s="64" t="str">
        <f>IF(Table13[[#This Row],[value Type]]="","",VLOOKUP(Table13[[#This Row],[value Type]],Table2915[],4,FALSE))</f>
        <v/>
      </c>
      <c r="AA1020" s="64" t="str">
        <f>IF(Table13[[#This Row],[value Type]]="","",    IF(Table13[[#This Row],[IP MAX]]="","","@"  )     )</f>
        <v/>
      </c>
      <c r="AB1020" s="79" t="str">
        <f>IF(Table13[[#This Row],[value Type]]="","",VLOOKUP(Table13[[#This Row],[value Type]],Table2915[],5,FALSE))</f>
        <v/>
      </c>
      <c r="AC10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0" s="79" t="str">
        <f>IF(Table13[[#This Row],[value Type]]="","",VLOOKUP(Table13[[#This Row],[IP]],Table51117[],2,FALSE))</f>
        <v/>
      </c>
      <c r="AE1020" s="79"/>
      <c r="AF1020" s="68" t="str">
        <f>IF(Table13[[#This Row],[value Type]]="","",VLOOKUP(Table13[[#This Row],[Acc Type]],Table2[],2,FALSE))</f>
        <v/>
      </c>
      <c r="AG1020" s="75" t="str">
        <f>IF(Table13[[#This Row],[value Type]]="","",4*HEX2DEC(Table13[[#This Row],[Addr'[HEX']]]))</f>
        <v/>
      </c>
      <c r="AH1020" s="75" t="str">
        <f>IF(Table13[[#This Row],[value Type]]="","",VLOOKUP(Table13[[#This Row],[AddrTypeI]],Table22[],2,FALSE))</f>
        <v/>
      </c>
      <c r="AI1020" s="68" t="str">
        <f>IF(Table13[[#This Row],[value Type]]="","",VLOOKUP(Table13[[#This Row],[DataType]],Table351218[],2,FALSE))</f>
        <v/>
      </c>
      <c r="AJ1020" s="68" t="str">
        <f>IF(Table13[[#This Row],[value Type]]="","",Table13[[#This Row],[DataWidth]])</f>
        <v/>
      </c>
      <c r="AK1020" s="68" t="str">
        <f>IF(Table13[[#This Row],[value Type]]="","", Table13[[#This Row],[DataOffset]])</f>
        <v/>
      </c>
      <c r="AL1020" s="24"/>
      <c r="AM1020" s="24" t="str">
        <f>IF(Table13[[#This Row],[value Type]]="","", "0x"&amp;DEC2HEX(Table13[[#This Row],[ADDR_Offset]],8) )</f>
        <v/>
      </c>
    </row>
    <row r="1021" spans="2:39" x14ac:dyDescent="0.3">
      <c r="B1021" s="14"/>
      <c r="C1021" s="14"/>
      <c r="D1021" s="14"/>
      <c r="E1021" s="24"/>
      <c r="F1021" s="24"/>
      <c r="G1021" s="14"/>
      <c r="H1021" s="36"/>
      <c r="I1021" s="29"/>
      <c r="J1021" s="15"/>
      <c r="K1021" s="15"/>
      <c r="L1021" s="14"/>
      <c r="M1021" s="35"/>
      <c r="N1021" s="15"/>
      <c r="O1021" s="88"/>
      <c r="P1021" s="25"/>
      <c r="Q1021" s="15"/>
      <c r="R1021" s="26"/>
      <c r="S1021" s="27"/>
      <c r="T1021" s="27"/>
      <c r="U1021" s="28"/>
      <c r="V1021" s="14"/>
      <c r="W1021" s="14"/>
      <c r="X1021" s="30" t="str">
        <f>IF(Table13[[#This Row],[value Type]]="","",VLOOKUP(Table13[[#This Row],[value Type]],Table2915[],2,FALSE))</f>
        <v/>
      </c>
      <c r="Y1021" s="30" t="str">
        <f>IF(Table13[[#This Row],[value Type]]="","",VLOOKUP(Table13[[#This Row],[value Type]],Table2915[],3,FALSE))</f>
        <v/>
      </c>
      <c r="Z1021" s="64" t="str">
        <f>IF(Table13[[#This Row],[value Type]]="","",VLOOKUP(Table13[[#This Row],[value Type]],Table2915[],4,FALSE))</f>
        <v/>
      </c>
      <c r="AA1021" s="64" t="str">
        <f>IF(Table13[[#This Row],[value Type]]="","",    IF(Table13[[#This Row],[IP MAX]]="","","@"  )     )</f>
        <v/>
      </c>
      <c r="AB1021" s="79" t="str">
        <f>IF(Table13[[#This Row],[value Type]]="","",VLOOKUP(Table13[[#This Row],[value Type]],Table2915[],5,FALSE))</f>
        <v/>
      </c>
      <c r="AC10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1" s="79" t="str">
        <f>IF(Table13[[#This Row],[value Type]]="","",VLOOKUP(Table13[[#This Row],[IP]],Table51117[],2,FALSE))</f>
        <v/>
      </c>
      <c r="AE1021" s="79"/>
      <c r="AF1021" s="68" t="str">
        <f>IF(Table13[[#This Row],[value Type]]="","",VLOOKUP(Table13[[#This Row],[Acc Type]],Table2[],2,FALSE))</f>
        <v/>
      </c>
      <c r="AG1021" s="75" t="str">
        <f>IF(Table13[[#This Row],[value Type]]="","",4*HEX2DEC(Table13[[#This Row],[Addr'[HEX']]]))</f>
        <v/>
      </c>
      <c r="AH1021" s="75" t="str">
        <f>IF(Table13[[#This Row],[value Type]]="","",VLOOKUP(Table13[[#This Row],[AddrTypeI]],Table22[],2,FALSE))</f>
        <v/>
      </c>
      <c r="AI1021" s="68" t="str">
        <f>IF(Table13[[#This Row],[value Type]]="","",VLOOKUP(Table13[[#This Row],[DataType]],Table351218[],2,FALSE))</f>
        <v/>
      </c>
      <c r="AJ1021" s="68" t="str">
        <f>IF(Table13[[#This Row],[value Type]]="","",Table13[[#This Row],[DataWidth]])</f>
        <v/>
      </c>
      <c r="AK1021" s="68" t="str">
        <f>IF(Table13[[#This Row],[value Type]]="","", Table13[[#This Row],[DataOffset]])</f>
        <v/>
      </c>
      <c r="AL1021" s="24"/>
      <c r="AM1021" s="24" t="str">
        <f>IF(Table13[[#This Row],[value Type]]="","", "0x"&amp;DEC2HEX(Table13[[#This Row],[ADDR_Offset]],8) )</f>
        <v/>
      </c>
    </row>
    <row r="1022" spans="2:39" x14ac:dyDescent="0.3">
      <c r="B1022" s="14"/>
      <c r="C1022" s="14"/>
      <c r="D1022" s="14"/>
      <c r="E1022" s="24"/>
      <c r="F1022" s="24"/>
      <c r="G1022" s="14"/>
      <c r="H1022" s="36"/>
      <c r="I1022" s="29"/>
      <c r="J1022" s="15"/>
      <c r="K1022" s="15"/>
      <c r="L1022" s="14"/>
      <c r="M1022" s="35"/>
      <c r="N1022" s="15"/>
      <c r="O1022" s="88"/>
      <c r="P1022" s="25"/>
      <c r="Q1022" s="15"/>
      <c r="R1022" s="26"/>
      <c r="S1022" s="27"/>
      <c r="T1022" s="27"/>
      <c r="U1022" s="28"/>
      <c r="V1022" s="14"/>
      <c r="W1022" s="14"/>
      <c r="X1022" s="30" t="str">
        <f>IF(Table13[[#This Row],[value Type]]="","",VLOOKUP(Table13[[#This Row],[value Type]],Table2915[],2,FALSE))</f>
        <v/>
      </c>
      <c r="Y1022" s="30" t="str">
        <f>IF(Table13[[#This Row],[value Type]]="","",VLOOKUP(Table13[[#This Row],[value Type]],Table2915[],3,FALSE))</f>
        <v/>
      </c>
      <c r="Z1022" s="64" t="str">
        <f>IF(Table13[[#This Row],[value Type]]="","",VLOOKUP(Table13[[#This Row],[value Type]],Table2915[],4,FALSE))</f>
        <v/>
      </c>
      <c r="AA1022" s="64" t="str">
        <f>IF(Table13[[#This Row],[value Type]]="","",    IF(Table13[[#This Row],[IP MAX]]="","","@"  )     )</f>
        <v/>
      </c>
      <c r="AB1022" s="79" t="str">
        <f>IF(Table13[[#This Row],[value Type]]="","",VLOOKUP(Table13[[#This Row],[value Type]],Table2915[],5,FALSE))</f>
        <v/>
      </c>
      <c r="AC10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2" s="79" t="str">
        <f>IF(Table13[[#This Row],[value Type]]="","",VLOOKUP(Table13[[#This Row],[IP]],Table51117[],2,FALSE))</f>
        <v/>
      </c>
      <c r="AE1022" s="79"/>
      <c r="AF1022" s="68" t="str">
        <f>IF(Table13[[#This Row],[value Type]]="","",VLOOKUP(Table13[[#This Row],[Acc Type]],Table2[],2,FALSE))</f>
        <v/>
      </c>
      <c r="AG1022" s="75" t="str">
        <f>IF(Table13[[#This Row],[value Type]]="","",4*HEX2DEC(Table13[[#This Row],[Addr'[HEX']]]))</f>
        <v/>
      </c>
      <c r="AH1022" s="75" t="str">
        <f>IF(Table13[[#This Row],[value Type]]="","",VLOOKUP(Table13[[#This Row],[AddrTypeI]],Table22[],2,FALSE))</f>
        <v/>
      </c>
      <c r="AI1022" s="68" t="str">
        <f>IF(Table13[[#This Row],[value Type]]="","",VLOOKUP(Table13[[#This Row],[DataType]],Table351218[],2,FALSE))</f>
        <v/>
      </c>
      <c r="AJ1022" s="68" t="str">
        <f>IF(Table13[[#This Row],[value Type]]="","",Table13[[#This Row],[DataWidth]])</f>
        <v/>
      </c>
      <c r="AK1022" s="68" t="str">
        <f>IF(Table13[[#This Row],[value Type]]="","", Table13[[#This Row],[DataOffset]])</f>
        <v/>
      </c>
      <c r="AL1022" s="24"/>
      <c r="AM1022" s="24" t="str">
        <f>IF(Table13[[#This Row],[value Type]]="","", "0x"&amp;DEC2HEX(Table13[[#This Row],[ADDR_Offset]],8) )</f>
        <v/>
      </c>
    </row>
    <row r="1023" spans="2:39" x14ac:dyDescent="0.3">
      <c r="B1023" s="14"/>
      <c r="C1023" s="14"/>
      <c r="D1023" s="14"/>
      <c r="E1023" s="24"/>
      <c r="F1023" s="24"/>
      <c r="G1023" s="14"/>
      <c r="H1023" s="36"/>
      <c r="I1023" s="29"/>
      <c r="J1023" s="15"/>
      <c r="K1023" s="15"/>
      <c r="L1023" s="14"/>
      <c r="M1023" s="35"/>
      <c r="N1023" s="15"/>
      <c r="O1023" s="88"/>
      <c r="P1023" s="25"/>
      <c r="Q1023" s="15"/>
      <c r="R1023" s="26"/>
      <c r="S1023" s="27"/>
      <c r="T1023" s="27"/>
      <c r="U1023" s="28"/>
      <c r="V1023" s="14"/>
      <c r="W1023" s="14"/>
      <c r="X1023" s="30" t="str">
        <f>IF(Table13[[#This Row],[value Type]]="","",VLOOKUP(Table13[[#This Row],[value Type]],Table2915[],2,FALSE))</f>
        <v/>
      </c>
      <c r="Y1023" s="30" t="str">
        <f>IF(Table13[[#This Row],[value Type]]="","",VLOOKUP(Table13[[#This Row],[value Type]],Table2915[],3,FALSE))</f>
        <v/>
      </c>
      <c r="Z1023" s="64" t="str">
        <f>IF(Table13[[#This Row],[value Type]]="","",VLOOKUP(Table13[[#This Row],[value Type]],Table2915[],4,FALSE))</f>
        <v/>
      </c>
      <c r="AA1023" s="64" t="str">
        <f>IF(Table13[[#This Row],[value Type]]="","",    IF(Table13[[#This Row],[IP MAX]]="","","@"  )     )</f>
        <v/>
      </c>
      <c r="AB1023" s="79" t="str">
        <f>IF(Table13[[#This Row],[value Type]]="","",VLOOKUP(Table13[[#This Row],[value Type]],Table2915[],5,FALSE))</f>
        <v/>
      </c>
      <c r="AC10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3" s="79" t="str">
        <f>IF(Table13[[#This Row],[value Type]]="","",VLOOKUP(Table13[[#This Row],[IP]],Table51117[],2,FALSE))</f>
        <v/>
      </c>
      <c r="AE1023" s="79"/>
      <c r="AF1023" s="68" t="str">
        <f>IF(Table13[[#This Row],[value Type]]="","",VLOOKUP(Table13[[#This Row],[Acc Type]],Table2[],2,FALSE))</f>
        <v/>
      </c>
      <c r="AG1023" s="75" t="str">
        <f>IF(Table13[[#This Row],[value Type]]="","",4*HEX2DEC(Table13[[#This Row],[Addr'[HEX']]]))</f>
        <v/>
      </c>
      <c r="AH1023" s="75" t="str">
        <f>IF(Table13[[#This Row],[value Type]]="","",VLOOKUP(Table13[[#This Row],[AddrTypeI]],Table22[],2,FALSE))</f>
        <v/>
      </c>
      <c r="AI1023" s="68" t="str">
        <f>IF(Table13[[#This Row],[value Type]]="","",VLOOKUP(Table13[[#This Row],[DataType]],Table351218[],2,FALSE))</f>
        <v/>
      </c>
      <c r="AJ1023" s="68" t="str">
        <f>IF(Table13[[#This Row],[value Type]]="","",Table13[[#This Row],[DataWidth]])</f>
        <v/>
      </c>
      <c r="AK1023" s="68" t="str">
        <f>IF(Table13[[#This Row],[value Type]]="","", Table13[[#This Row],[DataOffset]])</f>
        <v/>
      </c>
      <c r="AL1023" s="24"/>
      <c r="AM1023" s="24" t="str">
        <f>IF(Table13[[#This Row],[value Type]]="","", "0x"&amp;DEC2HEX(Table13[[#This Row],[ADDR_Offset]],8) )</f>
        <v/>
      </c>
    </row>
    <row r="1024" spans="2:39" x14ac:dyDescent="0.3">
      <c r="B1024" s="14"/>
      <c r="C1024" s="14"/>
      <c r="D1024" s="14"/>
      <c r="E1024" s="24"/>
      <c r="F1024" s="24"/>
      <c r="G1024" s="14"/>
      <c r="H1024" s="36"/>
      <c r="I1024" s="29"/>
      <c r="J1024" s="15"/>
      <c r="K1024" s="15"/>
      <c r="L1024" s="14"/>
      <c r="M1024" s="35"/>
      <c r="N1024" s="15"/>
      <c r="O1024" s="88"/>
      <c r="P1024" s="25"/>
      <c r="Q1024" s="15"/>
      <c r="R1024" s="26"/>
      <c r="S1024" s="27"/>
      <c r="T1024" s="27"/>
      <c r="U1024" s="28"/>
      <c r="V1024" s="14"/>
      <c r="W1024" s="14"/>
      <c r="X1024" s="30" t="str">
        <f>IF(Table13[[#This Row],[value Type]]="","",VLOOKUP(Table13[[#This Row],[value Type]],Table2915[],2,FALSE))</f>
        <v/>
      </c>
      <c r="Y1024" s="30" t="str">
        <f>IF(Table13[[#This Row],[value Type]]="","",VLOOKUP(Table13[[#This Row],[value Type]],Table2915[],3,FALSE))</f>
        <v/>
      </c>
      <c r="Z1024" s="64" t="str">
        <f>IF(Table13[[#This Row],[value Type]]="","",VLOOKUP(Table13[[#This Row],[value Type]],Table2915[],4,FALSE))</f>
        <v/>
      </c>
      <c r="AA1024" s="64" t="str">
        <f>IF(Table13[[#This Row],[value Type]]="","",    IF(Table13[[#This Row],[IP MAX]]="","","@"  )     )</f>
        <v/>
      </c>
      <c r="AB1024" s="79" t="str">
        <f>IF(Table13[[#This Row],[value Type]]="","",VLOOKUP(Table13[[#This Row],[value Type]],Table2915[],5,FALSE))</f>
        <v/>
      </c>
      <c r="AC10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4" s="79" t="str">
        <f>IF(Table13[[#This Row],[value Type]]="","",VLOOKUP(Table13[[#This Row],[IP]],Table51117[],2,FALSE))</f>
        <v/>
      </c>
      <c r="AE1024" s="79"/>
      <c r="AF1024" s="68" t="str">
        <f>IF(Table13[[#This Row],[value Type]]="","",VLOOKUP(Table13[[#This Row],[Acc Type]],Table2[],2,FALSE))</f>
        <v/>
      </c>
      <c r="AG1024" s="75" t="str">
        <f>IF(Table13[[#This Row],[value Type]]="","",4*HEX2DEC(Table13[[#This Row],[Addr'[HEX']]]))</f>
        <v/>
      </c>
      <c r="AH1024" s="75" t="str">
        <f>IF(Table13[[#This Row],[value Type]]="","",VLOOKUP(Table13[[#This Row],[AddrTypeI]],Table22[],2,FALSE))</f>
        <v/>
      </c>
      <c r="AI1024" s="68" t="str">
        <f>IF(Table13[[#This Row],[value Type]]="","",VLOOKUP(Table13[[#This Row],[DataType]],Table351218[],2,FALSE))</f>
        <v/>
      </c>
      <c r="AJ1024" s="68" t="str">
        <f>IF(Table13[[#This Row],[value Type]]="","",Table13[[#This Row],[DataWidth]])</f>
        <v/>
      </c>
      <c r="AK1024" s="68" t="str">
        <f>IF(Table13[[#This Row],[value Type]]="","", Table13[[#This Row],[DataOffset]])</f>
        <v/>
      </c>
      <c r="AL1024" s="24"/>
      <c r="AM1024" s="24" t="str">
        <f>IF(Table13[[#This Row],[value Type]]="","", "0x"&amp;DEC2HEX(Table13[[#This Row],[ADDR_Offset]],8) )</f>
        <v/>
      </c>
    </row>
    <row r="1025" spans="2:39" x14ac:dyDescent="0.3">
      <c r="B1025" s="14"/>
      <c r="C1025" s="14"/>
      <c r="D1025" s="14"/>
      <c r="E1025" s="24"/>
      <c r="F1025" s="24"/>
      <c r="G1025" s="14"/>
      <c r="H1025" s="36"/>
      <c r="I1025" s="29"/>
      <c r="J1025" s="15"/>
      <c r="K1025" s="15"/>
      <c r="L1025" s="14"/>
      <c r="M1025" s="35"/>
      <c r="N1025" s="15"/>
      <c r="O1025" s="88"/>
      <c r="P1025" s="25"/>
      <c r="Q1025" s="15"/>
      <c r="R1025" s="26"/>
      <c r="S1025" s="27"/>
      <c r="T1025" s="27"/>
      <c r="U1025" s="28"/>
      <c r="V1025" s="14"/>
      <c r="W1025" s="14"/>
      <c r="X1025" s="30" t="str">
        <f>IF(Table13[[#This Row],[value Type]]="","",VLOOKUP(Table13[[#This Row],[value Type]],Table2915[],2,FALSE))</f>
        <v/>
      </c>
      <c r="Y1025" s="30" t="str">
        <f>IF(Table13[[#This Row],[value Type]]="","",VLOOKUP(Table13[[#This Row],[value Type]],Table2915[],3,FALSE))</f>
        <v/>
      </c>
      <c r="Z1025" s="64" t="str">
        <f>IF(Table13[[#This Row],[value Type]]="","",VLOOKUP(Table13[[#This Row],[value Type]],Table2915[],4,FALSE))</f>
        <v/>
      </c>
      <c r="AA1025" s="64" t="str">
        <f>IF(Table13[[#This Row],[value Type]]="","",    IF(Table13[[#This Row],[IP MAX]]="","","@"  )     )</f>
        <v/>
      </c>
      <c r="AB1025" s="79" t="str">
        <f>IF(Table13[[#This Row],[value Type]]="","",VLOOKUP(Table13[[#This Row],[value Type]],Table2915[],5,FALSE))</f>
        <v/>
      </c>
      <c r="AC10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5" s="79" t="str">
        <f>IF(Table13[[#This Row],[value Type]]="","",VLOOKUP(Table13[[#This Row],[IP]],Table51117[],2,FALSE))</f>
        <v/>
      </c>
      <c r="AE1025" s="79"/>
      <c r="AF1025" s="68" t="str">
        <f>IF(Table13[[#This Row],[value Type]]="","",VLOOKUP(Table13[[#This Row],[Acc Type]],Table2[],2,FALSE))</f>
        <v/>
      </c>
      <c r="AG1025" s="75" t="str">
        <f>IF(Table13[[#This Row],[value Type]]="","",4*HEX2DEC(Table13[[#This Row],[Addr'[HEX']]]))</f>
        <v/>
      </c>
      <c r="AH1025" s="75" t="str">
        <f>IF(Table13[[#This Row],[value Type]]="","",VLOOKUP(Table13[[#This Row],[AddrTypeI]],Table22[],2,FALSE))</f>
        <v/>
      </c>
      <c r="AI1025" s="68" t="str">
        <f>IF(Table13[[#This Row],[value Type]]="","",VLOOKUP(Table13[[#This Row],[DataType]],Table351218[],2,FALSE))</f>
        <v/>
      </c>
      <c r="AJ1025" s="68" t="str">
        <f>IF(Table13[[#This Row],[value Type]]="","",Table13[[#This Row],[DataWidth]])</f>
        <v/>
      </c>
      <c r="AK1025" s="68" t="str">
        <f>IF(Table13[[#This Row],[value Type]]="","", Table13[[#This Row],[DataOffset]])</f>
        <v/>
      </c>
      <c r="AL1025" s="24"/>
      <c r="AM1025" s="24" t="str">
        <f>IF(Table13[[#This Row],[value Type]]="","", "0x"&amp;DEC2HEX(Table13[[#This Row],[ADDR_Offset]],8) )</f>
        <v/>
      </c>
    </row>
    <row r="1026" spans="2:39" x14ac:dyDescent="0.3">
      <c r="B1026" s="14"/>
      <c r="C1026" s="14"/>
      <c r="D1026" s="14"/>
      <c r="E1026" s="24"/>
      <c r="F1026" s="24"/>
      <c r="G1026" s="14"/>
      <c r="H1026" s="36"/>
      <c r="I1026" s="29"/>
      <c r="J1026" s="15"/>
      <c r="K1026" s="15"/>
      <c r="L1026" s="14"/>
      <c r="M1026" s="35"/>
      <c r="N1026" s="15"/>
      <c r="O1026" s="88"/>
      <c r="P1026" s="25"/>
      <c r="Q1026" s="15"/>
      <c r="R1026" s="26"/>
      <c r="S1026" s="27"/>
      <c r="T1026" s="27"/>
      <c r="U1026" s="28"/>
      <c r="V1026" s="14"/>
      <c r="W1026" s="14"/>
      <c r="X1026" s="30" t="str">
        <f>IF(Table13[[#This Row],[value Type]]="","",VLOOKUP(Table13[[#This Row],[value Type]],Table2915[],2,FALSE))</f>
        <v/>
      </c>
      <c r="Y1026" s="30" t="str">
        <f>IF(Table13[[#This Row],[value Type]]="","",VLOOKUP(Table13[[#This Row],[value Type]],Table2915[],3,FALSE))</f>
        <v/>
      </c>
      <c r="Z1026" s="64" t="str">
        <f>IF(Table13[[#This Row],[value Type]]="","",VLOOKUP(Table13[[#This Row],[value Type]],Table2915[],4,FALSE))</f>
        <v/>
      </c>
      <c r="AA1026" s="64" t="str">
        <f>IF(Table13[[#This Row],[value Type]]="","",    IF(Table13[[#This Row],[IP MAX]]="","","@"  )     )</f>
        <v/>
      </c>
      <c r="AB1026" s="79" t="str">
        <f>IF(Table13[[#This Row],[value Type]]="","",VLOOKUP(Table13[[#This Row],[value Type]],Table2915[],5,FALSE))</f>
        <v/>
      </c>
      <c r="AC10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6" s="79" t="str">
        <f>IF(Table13[[#This Row],[value Type]]="","",VLOOKUP(Table13[[#This Row],[IP]],Table51117[],2,FALSE))</f>
        <v/>
      </c>
      <c r="AE1026" s="79"/>
      <c r="AF1026" s="68" t="str">
        <f>IF(Table13[[#This Row],[value Type]]="","",VLOOKUP(Table13[[#This Row],[Acc Type]],Table2[],2,FALSE))</f>
        <v/>
      </c>
      <c r="AG1026" s="75" t="str">
        <f>IF(Table13[[#This Row],[value Type]]="","",4*HEX2DEC(Table13[[#This Row],[Addr'[HEX']]]))</f>
        <v/>
      </c>
      <c r="AH1026" s="75" t="str">
        <f>IF(Table13[[#This Row],[value Type]]="","",VLOOKUP(Table13[[#This Row],[AddrTypeI]],Table22[],2,FALSE))</f>
        <v/>
      </c>
      <c r="AI1026" s="68" t="str">
        <f>IF(Table13[[#This Row],[value Type]]="","",VLOOKUP(Table13[[#This Row],[DataType]],Table351218[],2,FALSE))</f>
        <v/>
      </c>
      <c r="AJ1026" s="68" t="str">
        <f>IF(Table13[[#This Row],[value Type]]="","",Table13[[#This Row],[DataWidth]])</f>
        <v/>
      </c>
      <c r="AK1026" s="68" t="str">
        <f>IF(Table13[[#This Row],[value Type]]="","", Table13[[#This Row],[DataOffset]])</f>
        <v/>
      </c>
      <c r="AL1026" s="24"/>
      <c r="AM1026" s="24" t="str">
        <f>IF(Table13[[#This Row],[value Type]]="","", "0x"&amp;DEC2HEX(Table13[[#This Row],[ADDR_Offset]],8) )</f>
        <v/>
      </c>
    </row>
    <row r="1027" spans="2:39" x14ac:dyDescent="0.3">
      <c r="B1027" s="14"/>
      <c r="C1027" s="14"/>
      <c r="D1027" s="14"/>
      <c r="E1027" s="24"/>
      <c r="F1027" s="24"/>
      <c r="G1027" s="14"/>
      <c r="H1027" s="36"/>
      <c r="I1027" s="29"/>
      <c r="J1027" s="15"/>
      <c r="K1027" s="15"/>
      <c r="L1027" s="14"/>
      <c r="M1027" s="35"/>
      <c r="N1027" s="15"/>
      <c r="O1027" s="88"/>
      <c r="P1027" s="25"/>
      <c r="Q1027" s="15"/>
      <c r="R1027" s="26"/>
      <c r="S1027" s="27"/>
      <c r="T1027" s="27"/>
      <c r="U1027" s="28"/>
      <c r="V1027" s="14"/>
      <c r="W1027" s="14"/>
      <c r="X1027" s="30" t="str">
        <f>IF(Table13[[#This Row],[value Type]]="","",VLOOKUP(Table13[[#This Row],[value Type]],Table2915[],2,FALSE))</f>
        <v/>
      </c>
      <c r="Y1027" s="30" t="str">
        <f>IF(Table13[[#This Row],[value Type]]="","",VLOOKUP(Table13[[#This Row],[value Type]],Table2915[],3,FALSE))</f>
        <v/>
      </c>
      <c r="Z1027" s="64" t="str">
        <f>IF(Table13[[#This Row],[value Type]]="","",VLOOKUP(Table13[[#This Row],[value Type]],Table2915[],4,FALSE))</f>
        <v/>
      </c>
      <c r="AA1027" s="64" t="str">
        <f>IF(Table13[[#This Row],[value Type]]="","",    IF(Table13[[#This Row],[IP MAX]]="","","@"  )     )</f>
        <v/>
      </c>
      <c r="AB1027" s="79" t="str">
        <f>IF(Table13[[#This Row],[value Type]]="","",VLOOKUP(Table13[[#This Row],[value Type]],Table2915[],5,FALSE))</f>
        <v/>
      </c>
      <c r="AC10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7" s="79" t="str">
        <f>IF(Table13[[#This Row],[value Type]]="","",VLOOKUP(Table13[[#This Row],[IP]],Table51117[],2,FALSE))</f>
        <v/>
      </c>
      <c r="AE1027" s="79"/>
      <c r="AF1027" s="68" t="str">
        <f>IF(Table13[[#This Row],[value Type]]="","",VLOOKUP(Table13[[#This Row],[Acc Type]],Table2[],2,FALSE))</f>
        <v/>
      </c>
      <c r="AG1027" s="75" t="str">
        <f>IF(Table13[[#This Row],[value Type]]="","",4*HEX2DEC(Table13[[#This Row],[Addr'[HEX']]]))</f>
        <v/>
      </c>
      <c r="AH1027" s="75" t="str">
        <f>IF(Table13[[#This Row],[value Type]]="","",VLOOKUP(Table13[[#This Row],[AddrTypeI]],Table22[],2,FALSE))</f>
        <v/>
      </c>
      <c r="AI1027" s="68" t="str">
        <f>IF(Table13[[#This Row],[value Type]]="","",VLOOKUP(Table13[[#This Row],[DataType]],Table351218[],2,FALSE))</f>
        <v/>
      </c>
      <c r="AJ1027" s="68" t="str">
        <f>IF(Table13[[#This Row],[value Type]]="","",Table13[[#This Row],[DataWidth]])</f>
        <v/>
      </c>
      <c r="AK1027" s="68" t="str">
        <f>IF(Table13[[#This Row],[value Type]]="","", Table13[[#This Row],[DataOffset]])</f>
        <v/>
      </c>
      <c r="AL1027" s="24"/>
      <c r="AM1027" s="24" t="str">
        <f>IF(Table13[[#This Row],[value Type]]="","", "0x"&amp;DEC2HEX(Table13[[#This Row],[ADDR_Offset]],8) )</f>
        <v/>
      </c>
    </row>
    <row r="1028" spans="2:39" x14ac:dyDescent="0.3">
      <c r="B1028" s="14"/>
      <c r="C1028" s="14"/>
      <c r="D1028" s="14"/>
      <c r="E1028" s="24"/>
      <c r="F1028" s="24"/>
      <c r="G1028" s="14"/>
      <c r="H1028" s="36"/>
      <c r="I1028" s="29"/>
      <c r="J1028" s="15"/>
      <c r="K1028" s="15"/>
      <c r="L1028" s="14"/>
      <c r="M1028" s="35"/>
      <c r="N1028" s="15"/>
      <c r="O1028" s="88"/>
      <c r="P1028" s="25"/>
      <c r="Q1028" s="15"/>
      <c r="R1028" s="26"/>
      <c r="S1028" s="27"/>
      <c r="T1028" s="27"/>
      <c r="U1028" s="28"/>
      <c r="V1028" s="14"/>
      <c r="W1028" s="14"/>
      <c r="X1028" s="30" t="str">
        <f>IF(Table13[[#This Row],[value Type]]="","",VLOOKUP(Table13[[#This Row],[value Type]],Table2915[],2,FALSE))</f>
        <v/>
      </c>
      <c r="Y1028" s="30" t="str">
        <f>IF(Table13[[#This Row],[value Type]]="","",VLOOKUP(Table13[[#This Row],[value Type]],Table2915[],3,FALSE))</f>
        <v/>
      </c>
      <c r="Z1028" s="64" t="str">
        <f>IF(Table13[[#This Row],[value Type]]="","",VLOOKUP(Table13[[#This Row],[value Type]],Table2915[],4,FALSE))</f>
        <v/>
      </c>
      <c r="AA1028" s="64" t="str">
        <f>IF(Table13[[#This Row],[value Type]]="","",    IF(Table13[[#This Row],[IP MAX]]="","","@"  )     )</f>
        <v/>
      </c>
      <c r="AB1028" s="79" t="str">
        <f>IF(Table13[[#This Row],[value Type]]="","",VLOOKUP(Table13[[#This Row],[value Type]],Table2915[],5,FALSE))</f>
        <v/>
      </c>
      <c r="AC10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8" s="79" t="str">
        <f>IF(Table13[[#This Row],[value Type]]="","",VLOOKUP(Table13[[#This Row],[IP]],Table51117[],2,FALSE))</f>
        <v/>
      </c>
      <c r="AE1028" s="79"/>
      <c r="AF1028" s="68" t="str">
        <f>IF(Table13[[#This Row],[value Type]]="","",VLOOKUP(Table13[[#This Row],[Acc Type]],Table2[],2,FALSE))</f>
        <v/>
      </c>
      <c r="AG1028" s="75" t="str">
        <f>IF(Table13[[#This Row],[value Type]]="","",4*HEX2DEC(Table13[[#This Row],[Addr'[HEX']]]))</f>
        <v/>
      </c>
      <c r="AH1028" s="75" t="str">
        <f>IF(Table13[[#This Row],[value Type]]="","",VLOOKUP(Table13[[#This Row],[AddrTypeI]],Table22[],2,FALSE))</f>
        <v/>
      </c>
      <c r="AI1028" s="68" t="str">
        <f>IF(Table13[[#This Row],[value Type]]="","",VLOOKUP(Table13[[#This Row],[DataType]],Table351218[],2,FALSE))</f>
        <v/>
      </c>
      <c r="AJ1028" s="68" t="str">
        <f>IF(Table13[[#This Row],[value Type]]="","",Table13[[#This Row],[DataWidth]])</f>
        <v/>
      </c>
      <c r="AK1028" s="68" t="str">
        <f>IF(Table13[[#This Row],[value Type]]="","", Table13[[#This Row],[DataOffset]])</f>
        <v/>
      </c>
      <c r="AL1028" s="24"/>
      <c r="AM1028" s="24" t="str">
        <f>IF(Table13[[#This Row],[value Type]]="","", "0x"&amp;DEC2HEX(Table13[[#This Row],[ADDR_Offset]],8) )</f>
        <v/>
      </c>
    </row>
    <row r="1029" spans="2:39" x14ac:dyDescent="0.3">
      <c r="B1029" s="14"/>
      <c r="C1029" s="14"/>
      <c r="D1029" s="14"/>
      <c r="E1029" s="24"/>
      <c r="F1029" s="24"/>
      <c r="G1029" s="14"/>
      <c r="H1029" s="36"/>
      <c r="I1029" s="29"/>
      <c r="J1029" s="15"/>
      <c r="K1029" s="15"/>
      <c r="L1029" s="14"/>
      <c r="M1029" s="35"/>
      <c r="N1029" s="15"/>
      <c r="O1029" s="88"/>
      <c r="P1029" s="25"/>
      <c r="Q1029" s="15"/>
      <c r="R1029" s="26"/>
      <c r="S1029" s="27"/>
      <c r="T1029" s="27"/>
      <c r="U1029" s="28"/>
      <c r="V1029" s="14"/>
      <c r="W1029" s="14"/>
      <c r="X1029" s="30" t="str">
        <f>IF(Table13[[#This Row],[value Type]]="","",VLOOKUP(Table13[[#This Row],[value Type]],Table2915[],2,FALSE))</f>
        <v/>
      </c>
      <c r="Y1029" s="30" t="str">
        <f>IF(Table13[[#This Row],[value Type]]="","",VLOOKUP(Table13[[#This Row],[value Type]],Table2915[],3,FALSE))</f>
        <v/>
      </c>
      <c r="Z1029" s="64" t="str">
        <f>IF(Table13[[#This Row],[value Type]]="","",VLOOKUP(Table13[[#This Row],[value Type]],Table2915[],4,FALSE))</f>
        <v/>
      </c>
      <c r="AA1029" s="64" t="str">
        <f>IF(Table13[[#This Row],[value Type]]="","",    IF(Table13[[#This Row],[IP MAX]]="","","@"  )     )</f>
        <v/>
      </c>
      <c r="AB1029" s="79" t="str">
        <f>IF(Table13[[#This Row],[value Type]]="","",VLOOKUP(Table13[[#This Row],[value Type]],Table2915[],5,FALSE))</f>
        <v/>
      </c>
      <c r="AC10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29" s="79" t="str">
        <f>IF(Table13[[#This Row],[value Type]]="","",VLOOKUP(Table13[[#This Row],[IP]],Table51117[],2,FALSE))</f>
        <v/>
      </c>
      <c r="AE1029" s="79"/>
      <c r="AF1029" s="68" t="str">
        <f>IF(Table13[[#This Row],[value Type]]="","",VLOOKUP(Table13[[#This Row],[Acc Type]],Table2[],2,FALSE))</f>
        <v/>
      </c>
      <c r="AG1029" s="75" t="str">
        <f>IF(Table13[[#This Row],[value Type]]="","",4*HEX2DEC(Table13[[#This Row],[Addr'[HEX']]]))</f>
        <v/>
      </c>
      <c r="AH1029" s="75" t="str">
        <f>IF(Table13[[#This Row],[value Type]]="","",VLOOKUP(Table13[[#This Row],[AddrTypeI]],Table22[],2,FALSE))</f>
        <v/>
      </c>
      <c r="AI1029" s="68" t="str">
        <f>IF(Table13[[#This Row],[value Type]]="","",VLOOKUP(Table13[[#This Row],[DataType]],Table351218[],2,FALSE))</f>
        <v/>
      </c>
      <c r="AJ1029" s="68" t="str">
        <f>IF(Table13[[#This Row],[value Type]]="","",Table13[[#This Row],[DataWidth]])</f>
        <v/>
      </c>
      <c r="AK1029" s="68" t="str">
        <f>IF(Table13[[#This Row],[value Type]]="","", Table13[[#This Row],[DataOffset]])</f>
        <v/>
      </c>
      <c r="AL1029" s="24"/>
      <c r="AM1029" s="24" t="str">
        <f>IF(Table13[[#This Row],[value Type]]="","", "0x"&amp;DEC2HEX(Table13[[#This Row],[ADDR_Offset]],8) )</f>
        <v/>
      </c>
    </row>
    <row r="1030" spans="2:39" x14ac:dyDescent="0.3">
      <c r="B1030" s="14"/>
      <c r="C1030" s="14"/>
      <c r="D1030" s="14"/>
      <c r="E1030" s="24"/>
      <c r="F1030" s="24"/>
      <c r="G1030" s="14"/>
      <c r="H1030" s="36"/>
      <c r="I1030" s="29"/>
      <c r="J1030" s="15"/>
      <c r="K1030" s="15"/>
      <c r="L1030" s="14"/>
      <c r="M1030" s="35"/>
      <c r="N1030" s="15"/>
      <c r="O1030" s="88"/>
      <c r="P1030" s="25"/>
      <c r="Q1030" s="15"/>
      <c r="R1030" s="26"/>
      <c r="S1030" s="27"/>
      <c r="T1030" s="27"/>
      <c r="U1030" s="28"/>
      <c r="V1030" s="14"/>
      <c r="W1030" s="14"/>
      <c r="X1030" s="30" t="str">
        <f>IF(Table13[[#This Row],[value Type]]="","",VLOOKUP(Table13[[#This Row],[value Type]],Table2915[],2,FALSE))</f>
        <v/>
      </c>
      <c r="Y1030" s="30" t="str">
        <f>IF(Table13[[#This Row],[value Type]]="","",VLOOKUP(Table13[[#This Row],[value Type]],Table2915[],3,FALSE))</f>
        <v/>
      </c>
      <c r="Z1030" s="64" t="str">
        <f>IF(Table13[[#This Row],[value Type]]="","",VLOOKUP(Table13[[#This Row],[value Type]],Table2915[],4,FALSE))</f>
        <v/>
      </c>
      <c r="AA1030" s="64" t="str">
        <f>IF(Table13[[#This Row],[value Type]]="","",    IF(Table13[[#This Row],[IP MAX]]="","","@"  )     )</f>
        <v/>
      </c>
      <c r="AB1030" s="79" t="str">
        <f>IF(Table13[[#This Row],[value Type]]="","",VLOOKUP(Table13[[#This Row],[value Type]],Table2915[],5,FALSE))</f>
        <v/>
      </c>
      <c r="AC10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0" s="79" t="str">
        <f>IF(Table13[[#This Row],[value Type]]="","",VLOOKUP(Table13[[#This Row],[IP]],Table51117[],2,FALSE))</f>
        <v/>
      </c>
      <c r="AE1030" s="79"/>
      <c r="AF1030" s="68" t="str">
        <f>IF(Table13[[#This Row],[value Type]]="","",VLOOKUP(Table13[[#This Row],[Acc Type]],Table2[],2,FALSE))</f>
        <v/>
      </c>
      <c r="AG1030" s="75" t="str">
        <f>IF(Table13[[#This Row],[value Type]]="","",4*HEX2DEC(Table13[[#This Row],[Addr'[HEX']]]))</f>
        <v/>
      </c>
      <c r="AH1030" s="75" t="str">
        <f>IF(Table13[[#This Row],[value Type]]="","",VLOOKUP(Table13[[#This Row],[AddrTypeI]],Table22[],2,FALSE))</f>
        <v/>
      </c>
      <c r="AI1030" s="68" t="str">
        <f>IF(Table13[[#This Row],[value Type]]="","",VLOOKUP(Table13[[#This Row],[DataType]],Table351218[],2,FALSE))</f>
        <v/>
      </c>
      <c r="AJ1030" s="68" t="str">
        <f>IF(Table13[[#This Row],[value Type]]="","",Table13[[#This Row],[DataWidth]])</f>
        <v/>
      </c>
      <c r="AK1030" s="68" t="str">
        <f>IF(Table13[[#This Row],[value Type]]="","", Table13[[#This Row],[DataOffset]])</f>
        <v/>
      </c>
      <c r="AL1030" s="24"/>
      <c r="AM1030" s="24" t="str">
        <f>IF(Table13[[#This Row],[value Type]]="","", "0x"&amp;DEC2HEX(Table13[[#This Row],[ADDR_Offset]],8) )</f>
        <v/>
      </c>
    </row>
    <row r="1031" spans="2:39" x14ac:dyDescent="0.3">
      <c r="B1031" s="14"/>
      <c r="C1031" s="14"/>
      <c r="D1031" s="14"/>
      <c r="E1031" s="24"/>
      <c r="F1031" s="24"/>
      <c r="G1031" s="14"/>
      <c r="H1031" s="36"/>
      <c r="I1031" s="29"/>
      <c r="J1031" s="15"/>
      <c r="K1031" s="15"/>
      <c r="L1031" s="14"/>
      <c r="M1031" s="35"/>
      <c r="N1031" s="15"/>
      <c r="O1031" s="88"/>
      <c r="P1031" s="25"/>
      <c r="Q1031" s="15"/>
      <c r="R1031" s="26"/>
      <c r="S1031" s="27"/>
      <c r="T1031" s="27"/>
      <c r="U1031" s="28"/>
      <c r="V1031" s="14"/>
      <c r="W1031" s="14"/>
      <c r="X1031" s="30" t="str">
        <f>IF(Table13[[#This Row],[value Type]]="","",VLOOKUP(Table13[[#This Row],[value Type]],Table2915[],2,FALSE))</f>
        <v/>
      </c>
      <c r="Y1031" s="30" t="str">
        <f>IF(Table13[[#This Row],[value Type]]="","",VLOOKUP(Table13[[#This Row],[value Type]],Table2915[],3,FALSE))</f>
        <v/>
      </c>
      <c r="Z1031" s="64" t="str">
        <f>IF(Table13[[#This Row],[value Type]]="","",VLOOKUP(Table13[[#This Row],[value Type]],Table2915[],4,FALSE))</f>
        <v/>
      </c>
      <c r="AA1031" s="64" t="str">
        <f>IF(Table13[[#This Row],[value Type]]="","",    IF(Table13[[#This Row],[IP MAX]]="","","@"  )     )</f>
        <v/>
      </c>
      <c r="AB1031" s="79" t="str">
        <f>IF(Table13[[#This Row],[value Type]]="","",VLOOKUP(Table13[[#This Row],[value Type]],Table2915[],5,FALSE))</f>
        <v/>
      </c>
      <c r="AC10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1" s="79" t="str">
        <f>IF(Table13[[#This Row],[value Type]]="","",VLOOKUP(Table13[[#This Row],[IP]],Table51117[],2,FALSE))</f>
        <v/>
      </c>
      <c r="AE1031" s="79"/>
      <c r="AF1031" s="68" t="str">
        <f>IF(Table13[[#This Row],[value Type]]="","",VLOOKUP(Table13[[#This Row],[Acc Type]],Table2[],2,FALSE))</f>
        <v/>
      </c>
      <c r="AG1031" s="75" t="str">
        <f>IF(Table13[[#This Row],[value Type]]="","",4*HEX2DEC(Table13[[#This Row],[Addr'[HEX']]]))</f>
        <v/>
      </c>
      <c r="AH1031" s="75" t="str">
        <f>IF(Table13[[#This Row],[value Type]]="","",VLOOKUP(Table13[[#This Row],[AddrTypeI]],Table22[],2,FALSE))</f>
        <v/>
      </c>
      <c r="AI1031" s="68" t="str">
        <f>IF(Table13[[#This Row],[value Type]]="","",VLOOKUP(Table13[[#This Row],[DataType]],Table351218[],2,FALSE))</f>
        <v/>
      </c>
      <c r="AJ1031" s="68" t="str">
        <f>IF(Table13[[#This Row],[value Type]]="","",Table13[[#This Row],[DataWidth]])</f>
        <v/>
      </c>
      <c r="AK1031" s="68" t="str">
        <f>IF(Table13[[#This Row],[value Type]]="","", Table13[[#This Row],[DataOffset]])</f>
        <v/>
      </c>
      <c r="AL1031" s="24"/>
      <c r="AM1031" s="24" t="str">
        <f>IF(Table13[[#This Row],[value Type]]="","", "0x"&amp;DEC2HEX(Table13[[#This Row],[ADDR_Offset]],8) )</f>
        <v/>
      </c>
    </row>
    <row r="1032" spans="2:39" x14ac:dyDescent="0.3">
      <c r="B1032" s="14"/>
      <c r="C1032" s="14"/>
      <c r="D1032" s="14"/>
      <c r="E1032" s="24"/>
      <c r="F1032" s="24"/>
      <c r="G1032" s="14"/>
      <c r="H1032" s="36"/>
      <c r="I1032" s="29"/>
      <c r="J1032" s="15"/>
      <c r="K1032" s="15"/>
      <c r="L1032" s="14"/>
      <c r="M1032" s="35"/>
      <c r="N1032" s="15"/>
      <c r="O1032" s="88"/>
      <c r="P1032" s="25"/>
      <c r="Q1032" s="15"/>
      <c r="R1032" s="26"/>
      <c r="S1032" s="27"/>
      <c r="T1032" s="27"/>
      <c r="U1032" s="28"/>
      <c r="V1032" s="14"/>
      <c r="W1032" s="14"/>
      <c r="X1032" s="30" t="str">
        <f>IF(Table13[[#This Row],[value Type]]="","",VLOOKUP(Table13[[#This Row],[value Type]],Table2915[],2,FALSE))</f>
        <v/>
      </c>
      <c r="Y1032" s="30" t="str">
        <f>IF(Table13[[#This Row],[value Type]]="","",VLOOKUP(Table13[[#This Row],[value Type]],Table2915[],3,FALSE))</f>
        <v/>
      </c>
      <c r="Z1032" s="64" t="str">
        <f>IF(Table13[[#This Row],[value Type]]="","",VLOOKUP(Table13[[#This Row],[value Type]],Table2915[],4,FALSE))</f>
        <v/>
      </c>
      <c r="AA1032" s="64" t="str">
        <f>IF(Table13[[#This Row],[value Type]]="","",    IF(Table13[[#This Row],[IP MAX]]="","","@"  )     )</f>
        <v/>
      </c>
      <c r="AB1032" s="79" t="str">
        <f>IF(Table13[[#This Row],[value Type]]="","",VLOOKUP(Table13[[#This Row],[value Type]],Table2915[],5,FALSE))</f>
        <v/>
      </c>
      <c r="AC10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2" s="79" t="str">
        <f>IF(Table13[[#This Row],[value Type]]="","",VLOOKUP(Table13[[#This Row],[IP]],Table51117[],2,FALSE))</f>
        <v/>
      </c>
      <c r="AE1032" s="79"/>
      <c r="AF1032" s="68" t="str">
        <f>IF(Table13[[#This Row],[value Type]]="","",VLOOKUP(Table13[[#This Row],[Acc Type]],Table2[],2,FALSE))</f>
        <v/>
      </c>
      <c r="AG1032" s="75" t="str">
        <f>IF(Table13[[#This Row],[value Type]]="","",4*HEX2DEC(Table13[[#This Row],[Addr'[HEX']]]))</f>
        <v/>
      </c>
      <c r="AH1032" s="75" t="str">
        <f>IF(Table13[[#This Row],[value Type]]="","",VLOOKUP(Table13[[#This Row],[AddrTypeI]],Table22[],2,FALSE))</f>
        <v/>
      </c>
      <c r="AI1032" s="68" t="str">
        <f>IF(Table13[[#This Row],[value Type]]="","",VLOOKUP(Table13[[#This Row],[DataType]],Table351218[],2,FALSE))</f>
        <v/>
      </c>
      <c r="AJ1032" s="68" t="str">
        <f>IF(Table13[[#This Row],[value Type]]="","",Table13[[#This Row],[DataWidth]])</f>
        <v/>
      </c>
      <c r="AK1032" s="68" t="str">
        <f>IF(Table13[[#This Row],[value Type]]="","", Table13[[#This Row],[DataOffset]])</f>
        <v/>
      </c>
      <c r="AL1032" s="24"/>
      <c r="AM1032" s="24" t="str">
        <f>IF(Table13[[#This Row],[value Type]]="","", "0x"&amp;DEC2HEX(Table13[[#This Row],[ADDR_Offset]],8) )</f>
        <v/>
      </c>
    </row>
    <row r="1033" spans="2:39" x14ac:dyDescent="0.3">
      <c r="B1033" s="14"/>
      <c r="C1033" s="14"/>
      <c r="D1033" s="14"/>
      <c r="E1033" s="24"/>
      <c r="F1033" s="24"/>
      <c r="G1033" s="14"/>
      <c r="H1033" s="36"/>
      <c r="I1033" s="29"/>
      <c r="J1033" s="15"/>
      <c r="K1033" s="15"/>
      <c r="L1033" s="14"/>
      <c r="M1033" s="35"/>
      <c r="N1033" s="15"/>
      <c r="O1033" s="88"/>
      <c r="P1033" s="25"/>
      <c r="Q1033" s="15"/>
      <c r="R1033" s="26"/>
      <c r="S1033" s="27"/>
      <c r="T1033" s="27"/>
      <c r="U1033" s="28"/>
      <c r="V1033" s="14"/>
      <c r="W1033" s="14"/>
      <c r="X1033" s="30" t="str">
        <f>IF(Table13[[#This Row],[value Type]]="","",VLOOKUP(Table13[[#This Row],[value Type]],Table2915[],2,FALSE))</f>
        <v/>
      </c>
      <c r="Y1033" s="30" t="str">
        <f>IF(Table13[[#This Row],[value Type]]="","",VLOOKUP(Table13[[#This Row],[value Type]],Table2915[],3,FALSE))</f>
        <v/>
      </c>
      <c r="Z1033" s="64" t="str">
        <f>IF(Table13[[#This Row],[value Type]]="","",VLOOKUP(Table13[[#This Row],[value Type]],Table2915[],4,FALSE))</f>
        <v/>
      </c>
      <c r="AA1033" s="64" t="str">
        <f>IF(Table13[[#This Row],[value Type]]="","",    IF(Table13[[#This Row],[IP MAX]]="","","@"  )     )</f>
        <v/>
      </c>
      <c r="AB1033" s="79" t="str">
        <f>IF(Table13[[#This Row],[value Type]]="","",VLOOKUP(Table13[[#This Row],[value Type]],Table2915[],5,FALSE))</f>
        <v/>
      </c>
      <c r="AC10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3" s="79" t="str">
        <f>IF(Table13[[#This Row],[value Type]]="","",VLOOKUP(Table13[[#This Row],[IP]],Table51117[],2,FALSE))</f>
        <v/>
      </c>
      <c r="AE1033" s="79"/>
      <c r="AF1033" s="68" t="str">
        <f>IF(Table13[[#This Row],[value Type]]="","",VLOOKUP(Table13[[#This Row],[Acc Type]],Table2[],2,FALSE))</f>
        <v/>
      </c>
      <c r="AG1033" s="75" t="str">
        <f>IF(Table13[[#This Row],[value Type]]="","",4*HEX2DEC(Table13[[#This Row],[Addr'[HEX']]]))</f>
        <v/>
      </c>
      <c r="AH1033" s="75" t="str">
        <f>IF(Table13[[#This Row],[value Type]]="","",VLOOKUP(Table13[[#This Row],[AddrTypeI]],Table22[],2,FALSE))</f>
        <v/>
      </c>
      <c r="AI1033" s="68" t="str">
        <f>IF(Table13[[#This Row],[value Type]]="","",VLOOKUP(Table13[[#This Row],[DataType]],Table351218[],2,FALSE))</f>
        <v/>
      </c>
      <c r="AJ1033" s="68" t="str">
        <f>IF(Table13[[#This Row],[value Type]]="","",Table13[[#This Row],[DataWidth]])</f>
        <v/>
      </c>
      <c r="AK1033" s="68" t="str">
        <f>IF(Table13[[#This Row],[value Type]]="","", Table13[[#This Row],[DataOffset]])</f>
        <v/>
      </c>
      <c r="AL1033" s="24"/>
      <c r="AM1033" s="24" t="str">
        <f>IF(Table13[[#This Row],[value Type]]="","", "0x"&amp;DEC2HEX(Table13[[#This Row],[ADDR_Offset]],8) )</f>
        <v/>
      </c>
    </row>
    <row r="1034" spans="2:39" x14ac:dyDescent="0.3">
      <c r="B1034" s="14"/>
      <c r="C1034" s="14"/>
      <c r="D1034" s="14"/>
      <c r="E1034" s="24"/>
      <c r="F1034" s="24"/>
      <c r="G1034" s="14"/>
      <c r="H1034" s="36"/>
      <c r="I1034" s="29"/>
      <c r="J1034" s="15"/>
      <c r="K1034" s="15"/>
      <c r="L1034" s="14"/>
      <c r="M1034" s="35"/>
      <c r="N1034" s="15"/>
      <c r="O1034" s="88"/>
      <c r="P1034" s="25"/>
      <c r="Q1034" s="15"/>
      <c r="R1034" s="26"/>
      <c r="S1034" s="27"/>
      <c r="T1034" s="27"/>
      <c r="U1034" s="28"/>
      <c r="V1034" s="14"/>
      <c r="W1034" s="14"/>
      <c r="X1034" s="30" t="str">
        <f>IF(Table13[[#This Row],[value Type]]="","",VLOOKUP(Table13[[#This Row],[value Type]],Table2915[],2,FALSE))</f>
        <v/>
      </c>
      <c r="Y1034" s="30" t="str">
        <f>IF(Table13[[#This Row],[value Type]]="","",VLOOKUP(Table13[[#This Row],[value Type]],Table2915[],3,FALSE))</f>
        <v/>
      </c>
      <c r="Z1034" s="64" t="str">
        <f>IF(Table13[[#This Row],[value Type]]="","",VLOOKUP(Table13[[#This Row],[value Type]],Table2915[],4,FALSE))</f>
        <v/>
      </c>
      <c r="AA1034" s="64" t="str">
        <f>IF(Table13[[#This Row],[value Type]]="","",    IF(Table13[[#This Row],[IP MAX]]="","","@"  )     )</f>
        <v/>
      </c>
      <c r="AB1034" s="79" t="str">
        <f>IF(Table13[[#This Row],[value Type]]="","",VLOOKUP(Table13[[#This Row],[value Type]],Table2915[],5,FALSE))</f>
        <v/>
      </c>
      <c r="AC10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4" s="79" t="str">
        <f>IF(Table13[[#This Row],[value Type]]="","",VLOOKUP(Table13[[#This Row],[IP]],Table51117[],2,FALSE))</f>
        <v/>
      </c>
      <c r="AE1034" s="79"/>
      <c r="AF1034" s="68" t="str">
        <f>IF(Table13[[#This Row],[value Type]]="","",VLOOKUP(Table13[[#This Row],[Acc Type]],Table2[],2,FALSE))</f>
        <v/>
      </c>
      <c r="AG1034" s="75" t="str">
        <f>IF(Table13[[#This Row],[value Type]]="","",4*HEX2DEC(Table13[[#This Row],[Addr'[HEX']]]))</f>
        <v/>
      </c>
      <c r="AH1034" s="75" t="str">
        <f>IF(Table13[[#This Row],[value Type]]="","",VLOOKUP(Table13[[#This Row],[AddrTypeI]],Table22[],2,FALSE))</f>
        <v/>
      </c>
      <c r="AI1034" s="68" t="str">
        <f>IF(Table13[[#This Row],[value Type]]="","",VLOOKUP(Table13[[#This Row],[DataType]],Table351218[],2,FALSE))</f>
        <v/>
      </c>
      <c r="AJ1034" s="68" t="str">
        <f>IF(Table13[[#This Row],[value Type]]="","",Table13[[#This Row],[DataWidth]])</f>
        <v/>
      </c>
      <c r="AK1034" s="68" t="str">
        <f>IF(Table13[[#This Row],[value Type]]="","", Table13[[#This Row],[DataOffset]])</f>
        <v/>
      </c>
      <c r="AL1034" s="24"/>
      <c r="AM1034" s="24" t="str">
        <f>IF(Table13[[#This Row],[value Type]]="","", "0x"&amp;DEC2HEX(Table13[[#This Row],[ADDR_Offset]],8) )</f>
        <v/>
      </c>
    </row>
    <row r="1035" spans="2:39" x14ac:dyDescent="0.3">
      <c r="B1035" s="14"/>
      <c r="C1035" s="14"/>
      <c r="D1035" s="14"/>
      <c r="E1035" s="24"/>
      <c r="F1035" s="24"/>
      <c r="G1035" s="14"/>
      <c r="H1035" s="36"/>
      <c r="I1035" s="29"/>
      <c r="J1035" s="15"/>
      <c r="K1035" s="15"/>
      <c r="L1035" s="14"/>
      <c r="M1035" s="35"/>
      <c r="N1035" s="15"/>
      <c r="O1035" s="88"/>
      <c r="P1035" s="25"/>
      <c r="Q1035" s="15"/>
      <c r="R1035" s="26"/>
      <c r="S1035" s="27"/>
      <c r="T1035" s="27"/>
      <c r="U1035" s="28"/>
      <c r="V1035" s="14"/>
      <c r="W1035" s="14"/>
      <c r="X1035" s="30" t="str">
        <f>IF(Table13[[#This Row],[value Type]]="","",VLOOKUP(Table13[[#This Row],[value Type]],Table2915[],2,FALSE))</f>
        <v/>
      </c>
      <c r="Y1035" s="30" t="str">
        <f>IF(Table13[[#This Row],[value Type]]="","",VLOOKUP(Table13[[#This Row],[value Type]],Table2915[],3,FALSE))</f>
        <v/>
      </c>
      <c r="Z1035" s="64" t="str">
        <f>IF(Table13[[#This Row],[value Type]]="","",VLOOKUP(Table13[[#This Row],[value Type]],Table2915[],4,FALSE))</f>
        <v/>
      </c>
      <c r="AA1035" s="64" t="str">
        <f>IF(Table13[[#This Row],[value Type]]="","",    IF(Table13[[#This Row],[IP MAX]]="","","@"  )     )</f>
        <v/>
      </c>
      <c r="AB1035" s="79" t="str">
        <f>IF(Table13[[#This Row],[value Type]]="","",VLOOKUP(Table13[[#This Row],[value Type]],Table2915[],5,FALSE))</f>
        <v/>
      </c>
      <c r="AC10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5" s="79" t="str">
        <f>IF(Table13[[#This Row],[value Type]]="","",VLOOKUP(Table13[[#This Row],[IP]],Table51117[],2,FALSE))</f>
        <v/>
      </c>
      <c r="AE1035" s="79"/>
      <c r="AF1035" s="68" t="str">
        <f>IF(Table13[[#This Row],[value Type]]="","",VLOOKUP(Table13[[#This Row],[Acc Type]],Table2[],2,FALSE))</f>
        <v/>
      </c>
      <c r="AG1035" s="75" t="str">
        <f>IF(Table13[[#This Row],[value Type]]="","",4*HEX2DEC(Table13[[#This Row],[Addr'[HEX']]]))</f>
        <v/>
      </c>
      <c r="AH1035" s="75" t="str">
        <f>IF(Table13[[#This Row],[value Type]]="","",VLOOKUP(Table13[[#This Row],[AddrTypeI]],Table22[],2,FALSE))</f>
        <v/>
      </c>
      <c r="AI1035" s="68" t="str">
        <f>IF(Table13[[#This Row],[value Type]]="","",VLOOKUP(Table13[[#This Row],[DataType]],Table351218[],2,FALSE))</f>
        <v/>
      </c>
      <c r="AJ1035" s="68" t="str">
        <f>IF(Table13[[#This Row],[value Type]]="","",Table13[[#This Row],[DataWidth]])</f>
        <v/>
      </c>
      <c r="AK1035" s="68" t="str">
        <f>IF(Table13[[#This Row],[value Type]]="","", Table13[[#This Row],[DataOffset]])</f>
        <v/>
      </c>
      <c r="AL1035" s="24"/>
      <c r="AM1035" s="24" t="str">
        <f>IF(Table13[[#This Row],[value Type]]="","", "0x"&amp;DEC2HEX(Table13[[#This Row],[ADDR_Offset]],8) )</f>
        <v/>
      </c>
    </row>
    <row r="1036" spans="2:39" x14ac:dyDescent="0.3">
      <c r="B1036" s="14"/>
      <c r="C1036" s="14"/>
      <c r="D1036" s="14"/>
      <c r="E1036" s="24"/>
      <c r="F1036" s="24"/>
      <c r="G1036" s="14"/>
      <c r="H1036" s="36"/>
      <c r="I1036" s="29"/>
      <c r="J1036" s="15"/>
      <c r="K1036" s="15"/>
      <c r="L1036" s="14"/>
      <c r="M1036" s="35"/>
      <c r="N1036" s="15"/>
      <c r="O1036" s="88"/>
      <c r="P1036" s="25"/>
      <c r="Q1036" s="15"/>
      <c r="R1036" s="26"/>
      <c r="S1036" s="27"/>
      <c r="T1036" s="27"/>
      <c r="U1036" s="28"/>
      <c r="V1036" s="14"/>
      <c r="W1036" s="14"/>
      <c r="X1036" s="30" t="str">
        <f>IF(Table13[[#This Row],[value Type]]="","",VLOOKUP(Table13[[#This Row],[value Type]],Table2915[],2,FALSE))</f>
        <v/>
      </c>
      <c r="Y1036" s="30" t="str">
        <f>IF(Table13[[#This Row],[value Type]]="","",VLOOKUP(Table13[[#This Row],[value Type]],Table2915[],3,FALSE))</f>
        <v/>
      </c>
      <c r="Z1036" s="64" t="str">
        <f>IF(Table13[[#This Row],[value Type]]="","",VLOOKUP(Table13[[#This Row],[value Type]],Table2915[],4,FALSE))</f>
        <v/>
      </c>
      <c r="AA1036" s="64" t="str">
        <f>IF(Table13[[#This Row],[value Type]]="","",    IF(Table13[[#This Row],[IP MAX]]="","","@"  )     )</f>
        <v/>
      </c>
      <c r="AB1036" s="79" t="str">
        <f>IF(Table13[[#This Row],[value Type]]="","",VLOOKUP(Table13[[#This Row],[value Type]],Table2915[],5,FALSE))</f>
        <v/>
      </c>
      <c r="AC10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6" s="79" t="str">
        <f>IF(Table13[[#This Row],[value Type]]="","",VLOOKUP(Table13[[#This Row],[IP]],Table51117[],2,FALSE))</f>
        <v/>
      </c>
      <c r="AE1036" s="79"/>
      <c r="AF1036" s="68" t="str">
        <f>IF(Table13[[#This Row],[value Type]]="","",VLOOKUP(Table13[[#This Row],[Acc Type]],Table2[],2,FALSE))</f>
        <v/>
      </c>
      <c r="AG1036" s="75" t="str">
        <f>IF(Table13[[#This Row],[value Type]]="","",4*HEX2DEC(Table13[[#This Row],[Addr'[HEX']]]))</f>
        <v/>
      </c>
      <c r="AH1036" s="75" t="str">
        <f>IF(Table13[[#This Row],[value Type]]="","",VLOOKUP(Table13[[#This Row],[AddrTypeI]],Table22[],2,FALSE))</f>
        <v/>
      </c>
      <c r="AI1036" s="68" t="str">
        <f>IF(Table13[[#This Row],[value Type]]="","",VLOOKUP(Table13[[#This Row],[DataType]],Table351218[],2,FALSE))</f>
        <v/>
      </c>
      <c r="AJ1036" s="68" t="str">
        <f>IF(Table13[[#This Row],[value Type]]="","",Table13[[#This Row],[DataWidth]])</f>
        <v/>
      </c>
      <c r="AK1036" s="68" t="str">
        <f>IF(Table13[[#This Row],[value Type]]="","", Table13[[#This Row],[DataOffset]])</f>
        <v/>
      </c>
      <c r="AL1036" s="24"/>
      <c r="AM1036" s="24" t="str">
        <f>IF(Table13[[#This Row],[value Type]]="","", "0x"&amp;DEC2HEX(Table13[[#This Row],[ADDR_Offset]],8) )</f>
        <v/>
      </c>
    </row>
    <row r="1037" spans="2:39" x14ac:dyDescent="0.3">
      <c r="B1037" s="14"/>
      <c r="C1037" s="14"/>
      <c r="D1037" s="14"/>
      <c r="E1037" s="24"/>
      <c r="F1037" s="24"/>
      <c r="G1037" s="14"/>
      <c r="H1037" s="36"/>
      <c r="I1037" s="29"/>
      <c r="J1037" s="15"/>
      <c r="K1037" s="15"/>
      <c r="L1037" s="14"/>
      <c r="M1037" s="35"/>
      <c r="N1037" s="15"/>
      <c r="O1037" s="88"/>
      <c r="P1037" s="25"/>
      <c r="Q1037" s="15"/>
      <c r="R1037" s="26"/>
      <c r="S1037" s="27"/>
      <c r="T1037" s="27"/>
      <c r="U1037" s="28"/>
      <c r="V1037" s="14"/>
      <c r="W1037" s="14"/>
      <c r="X1037" s="30" t="str">
        <f>IF(Table13[[#This Row],[value Type]]="","",VLOOKUP(Table13[[#This Row],[value Type]],Table2915[],2,FALSE))</f>
        <v/>
      </c>
      <c r="Y1037" s="30" t="str">
        <f>IF(Table13[[#This Row],[value Type]]="","",VLOOKUP(Table13[[#This Row],[value Type]],Table2915[],3,FALSE))</f>
        <v/>
      </c>
      <c r="Z1037" s="64" t="str">
        <f>IF(Table13[[#This Row],[value Type]]="","",VLOOKUP(Table13[[#This Row],[value Type]],Table2915[],4,FALSE))</f>
        <v/>
      </c>
      <c r="AA1037" s="64" t="str">
        <f>IF(Table13[[#This Row],[value Type]]="","",    IF(Table13[[#This Row],[IP MAX]]="","","@"  )     )</f>
        <v/>
      </c>
      <c r="AB1037" s="79" t="str">
        <f>IF(Table13[[#This Row],[value Type]]="","",VLOOKUP(Table13[[#This Row],[value Type]],Table2915[],5,FALSE))</f>
        <v/>
      </c>
      <c r="AC10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7" s="79" t="str">
        <f>IF(Table13[[#This Row],[value Type]]="","",VLOOKUP(Table13[[#This Row],[IP]],Table51117[],2,FALSE))</f>
        <v/>
      </c>
      <c r="AE1037" s="79"/>
      <c r="AF1037" s="68" t="str">
        <f>IF(Table13[[#This Row],[value Type]]="","",VLOOKUP(Table13[[#This Row],[Acc Type]],Table2[],2,FALSE))</f>
        <v/>
      </c>
      <c r="AG1037" s="75" t="str">
        <f>IF(Table13[[#This Row],[value Type]]="","",4*HEX2DEC(Table13[[#This Row],[Addr'[HEX']]]))</f>
        <v/>
      </c>
      <c r="AH1037" s="75" t="str">
        <f>IF(Table13[[#This Row],[value Type]]="","",VLOOKUP(Table13[[#This Row],[AddrTypeI]],Table22[],2,FALSE))</f>
        <v/>
      </c>
      <c r="AI1037" s="68" t="str">
        <f>IF(Table13[[#This Row],[value Type]]="","",VLOOKUP(Table13[[#This Row],[DataType]],Table351218[],2,FALSE))</f>
        <v/>
      </c>
      <c r="AJ1037" s="68" t="str">
        <f>IF(Table13[[#This Row],[value Type]]="","",Table13[[#This Row],[DataWidth]])</f>
        <v/>
      </c>
      <c r="AK1037" s="68" t="str">
        <f>IF(Table13[[#This Row],[value Type]]="","", Table13[[#This Row],[DataOffset]])</f>
        <v/>
      </c>
      <c r="AL1037" s="24"/>
      <c r="AM1037" s="24" t="str">
        <f>IF(Table13[[#This Row],[value Type]]="","", "0x"&amp;DEC2HEX(Table13[[#This Row],[ADDR_Offset]],8) )</f>
        <v/>
      </c>
    </row>
    <row r="1038" spans="2:39" x14ac:dyDescent="0.3">
      <c r="B1038" s="14"/>
      <c r="C1038" s="14"/>
      <c r="D1038" s="14"/>
      <c r="E1038" s="24"/>
      <c r="F1038" s="24"/>
      <c r="G1038" s="14"/>
      <c r="H1038" s="36"/>
      <c r="I1038" s="29"/>
      <c r="J1038" s="15"/>
      <c r="K1038" s="15"/>
      <c r="L1038" s="14"/>
      <c r="M1038" s="35"/>
      <c r="N1038" s="15"/>
      <c r="O1038" s="88"/>
      <c r="P1038" s="25"/>
      <c r="Q1038" s="15"/>
      <c r="R1038" s="26"/>
      <c r="S1038" s="27"/>
      <c r="T1038" s="27"/>
      <c r="U1038" s="28"/>
      <c r="V1038" s="14"/>
      <c r="W1038" s="14"/>
      <c r="X1038" s="30" t="str">
        <f>IF(Table13[[#This Row],[value Type]]="","",VLOOKUP(Table13[[#This Row],[value Type]],Table2915[],2,FALSE))</f>
        <v/>
      </c>
      <c r="Y1038" s="30" t="str">
        <f>IF(Table13[[#This Row],[value Type]]="","",VLOOKUP(Table13[[#This Row],[value Type]],Table2915[],3,FALSE))</f>
        <v/>
      </c>
      <c r="Z1038" s="64" t="str">
        <f>IF(Table13[[#This Row],[value Type]]="","",VLOOKUP(Table13[[#This Row],[value Type]],Table2915[],4,FALSE))</f>
        <v/>
      </c>
      <c r="AA1038" s="64" t="str">
        <f>IF(Table13[[#This Row],[value Type]]="","",    IF(Table13[[#This Row],[IP MAX]]="","","@"  )     )</f>
        <v/>
      </c>
      <c r="AB1038" s="79" t="str">
        <f>IF(Table13[[#This Row],[value Type]]="","",VLOOKUP(Table13[[#This Row],[value Type]],Table2915[],5,FALSE))</f>
        <v/>
      </c>
      <c r="AC10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8" s="79" t="str">
        <f>IF(Table13[[#This Row],[value Type]]="","",VLOOKUP(Table13[[#This Row],[IP]],Table51117[],2,FALSE))</f>
        <v/>
      </c>
      <c r="AE1038" s="79"/>
      <c r="AF1038" s="68" t="str">
        <f>IF(Table13[[#This Row],[value Type]]="","",VLOOKUP(Table13[[#This Row],[Acc Type]],Table2[],2,FALSE))</f>
        <v/>
      </c>
      <c r="AG1038" s="75" t="str">
        <f>IF(Table13[[#This Row],[value Type]]="","",4*HEX2DEC(Table13[[#This Row],[Addr'[HEX']]]))</f>
        <v/>
      </c>
      <c r="AH1038" s="75" t="str">
        <f>IF(Table13[[#This Row],[value Type]]="","",VLOOKUP(Table13[[#This Row],[AddrTypeI]],Table22[],2,FALSE))</f>
        <v/>
      </c>
      <c r="AI1038" s="68" t="str">
        <f>IF(Table13[[#This Row],[value Type]]="","",VLOOKUP(Table13[[#This Row],[DataType]],Table351218[],2,FALSE))</f>
        <v/>
      </c>
      <c r="AJ1038" s="68" t="str">
        <f>IF(Table13[[#This Row],[value Type]]="","",Table13[[#This Row],[DataWidth]])</f>
        <v/>
      </c>
      <c r="AK1038" s="68" t="str">
        <f>IF(Table13[[#This Row],[value Type]]="","", Table13[[#This Row],[DataOffset]])</f>
        <v/>
      </c>
      <c r="AL1038" s="24"/>
      <c r="AM1038" s="24" t="str">
        <f>IF(Table13[[#This Row],[value Type]]="","", "0x"&amp;DEC2HEX(Table13[[#This Row],[ADDR_Offset]],8) )</f>
        <v/>
      </c>
    </row>
    <row r="1039" spans="2:39" x14ac:dyDescent="0.3">
      <c r="B1039" s="14"/>
      <c r="C1039" s="14"/>
      <c r="D1039" s="14"/>
      <c r="E1039" s="24"/>
      <c r="F1039" s="24"/>
      <c r="G1039" s="14"/>
      <c r="H1039" s="36"/>
      <c r="I1039" s="29"/>
      <c r="J1039" s="15"/>
      <c r="K1039" s="15"/>
      <c r="L1039" s="14"/>
      <c r="M1039" s="35"/>
      <c r="N1039" s="15"/>
      <c r="O1039" s="88"/>
      <c r="P1039" s="25"/>
      <c r="Q1039" s="15"/>
      <c r="R1039" s="26"/>
      <c r="S1039" s="27"/>
      <c r="T1039" s="27"/>
      <c r="U1039" s="28"/>
      <c r="V1039" s="14"/>
      <c r="W1039" s="14"/>
      <c r="X1039" s="30" t="str">
        <f>IF(Table13[[#This Row],[value Type]]="","",VLOOKUP(Table13[[#This Row],[value Type]],Table2915[],2,FALSE))</f>
        <v/>
      </c>
      <c r="Y1039" s="30" t="str">
        <f>IF(Table13[[#This Row],[value Type]]="","",VLOOKUP(Table13[[#This Row],[value Type]],Table2915[],3,FALSE))</f>
        <v/>
      </c>
      <c r="Z1039" s="64" t="str">
        <f>IF(Table13[[#This Row],[value Type]]="","",VLOOKUP(Table13[[#This Row],[value Type]],Table2915[],4,FALSE))</f>
        <v/>
      </c>
      <c r="AA1039" s="64" t="str">
        <f>IF(Table13[[#This Row],[value Type]]="","",    IF(Table13[[#This Row],[IP MAX]]="","","@"  )     )</f>
        <v/>
      </c>
      <c r="AB1039" s="79" t="str">
        <f>IF(Table13[[#This Row],[value Type]]="","",VLOOKUP(Table13[[#This Row],[value Type]],Table2915[],5,FALSE))</f>
        <v/>
      </c>
      <c r="AC10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39" s="79" t="str">
        <f>IF(Table13[[#This Row],[value Type]]="","",VLOOKUP(Table13[[#This Row],[IP]],Table51117[],2,FALSE))</f>
        <v/>
      </c>
      <c r="AE1039" s="79"/>
      <c r="AF1039" s="68" t="str">
        <f>IF(Table13[[#This Row],[value Type]]="","",VLOOKUP(Table13[[#This Row],[Acc Type]],Table2[],2,FALSE))</f>
        <v/>
      </c>
      <c r="AG1039" s="75" t="str">
        <f>IF(Table13[[#This Row],[value Type]]="","",4*HEX2DEC(Table13[[#This Row],[Addr'[HEX']]]))</f>
        <v/>
      </c>
      <c r="AH1039" s="75" t="str">
        <f>IF(Table13[[#This Row],[value Type]]="","",VLOOKUP(Table13[[#This Row],[AddrTypeI]],Table22[],2,FALSE))</f>
        <v/>
      </c>
      <c r="AI1039" s="68" t="str">
        <f>IF(Table13[[#This Row],[value Type]]="","",VLOOKUP(Table13[[#This Row],[DataType]],Table351218[],2,FALSE))</f>
        <v/>
      </c>
      <c r="AJ1039" s="68" t="str">
        <f>IF(Table13[[#This Row],[value Type]]="","",Table13[[#This Row],[DataWidth]])</f>
        <v/>
      </c>
      <c r="AK1039" s="68" t="str">
        <f>IF(Table13[[#This Row],[value Type]]="","", Table13[[#This Row],[DataOffset]])</f>
        <v/>
      </c>
      <c r="AL1039" s="24"/>
      <c r="AM1039" s="24" t="str">
        <f>IF(Table13[[#This Row],[value Type]]="","", "0x"&amp;DEC2HEX(Table13[[#This Row],[ADDR_Offset]],8) )</f>
        <v/>
      </c>
    </row>
    <row r="1040" spans="2:39" x14ac:dyDescent="0.3">
      <c r="B1040" s="14"/>
      <c r="C1040" s="14"/>
      <c r="D1040" s="14"/>
      <c r="E1040" s="24"/>
      <c r="F1040" s="24"/>
      <c r="G1040" s="14"/>
      <c r="H1040" s="15"/>
      <c r="I1040" s="29"/>
      <c r="J1040" s="15"/>
      <c r="K1040" s="15"/>
      <c r="L1040" s="14"/>
      <c r="M1040" s="35"/>
      <c r="N1040" s="15"/>
      <c r="O1040" s="88"/>
      <c r="P1040" s="25"/>
      <c r="Q1040" s="15"/>
      <c r="R1040" s="27"/>
      <c r="S1040" s="27"/>
      <c r="T1040" s="27"/>
      <c r="U1040" s="28"/>
      <c r="V1040" s="14"/>
      <c r="W1040" s="14"/>
      <c r="X1040" s="30" t="str">
        <f>IF(Table13[[#This Row],[value Type]]="","",VLOOKUP(Table13[[#This Row],[value Type]],Table2915[],2,FALSE))</f>
        <v/>
      </c>
      <c r="Y1040" s="30" t="str">
        <f>IF(Table13[[#This Row],[value Type]]="","",VLOOKUP(Table13[[#This Row],[value Type]],Table2915[],3,FALSE))</f>
        <v/>
      </c>
      <c r="Z1040" s="64" t="str">
        <f>IF(Table13[[#This Row],[value Type]]="","",VLOOKUP(Table13[[#This Row],[value Type]],Table2915[],4,FALSE))</f>
        <v/>
      </c>
      <c r="AA1040" s="64" t="str">
        <f>IF(Table13[[#This Row],[value Type]]="","",    IF(Table13[[#This Row],[IP MAX]]="","","@"  )     )</f>
        <v/>
      </c>
      <c r="AB1040" s="79" t="str">
        <f>IF(Table13[[#This Row],[value Type]]="","",VLOOKUP(Table13[[#This Row],[value Type]],Table2915[],5,FALSE))</f>
        <v/>
      </c>
      <c r="AC10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040" s="79" t="str">
        <f>IF(Table13[[#This Row],[value Type]]="","",VLOOKUP(Table13[[#This Row],[IP]],Table51117[],2,FALSE))</f>
        <v/>
      </c>
      <c r="AE1040" s="79"/>
      <c r="AF1040" s="68" t="str">
        <f>IF(Table13[[#This Row],[value Type]]="","",VLOOKUP(Table13[[#This Row],[Acc Type]],Table2[],2,FALSE))</f>
        <v/>
      </c>
      <c r="AG1040" s="75" t="str">
        <f>IF(Table13[[#This Row],[value Type]]="","",4*HEX2DEC(Table13[[#This Row],[Addr'[HEX']]]))</f>
        <v/>
      </c>
      <c r="AH1040" s="75" t="str">
        <f>IF(Table13[[#This Row],[value Type]]="","",VLOOKUP(Table13[[#This Row],[AddrTypeI]],Table22[],2,FALSE))</f>
        <v/>
      </c>
      <c r="AI1040" s="68" t="str">
        <f>IF(Table13[[#This Row],[value Type]]="","",VLOOKUP(Table13[[#This Row],[DataType]],Table351218[],2,FALSE))</f>
        <v/>
      </c>
      <c r="AJ1040" s="68" t="str">
        <f>IF(Table13[[#This Row],[value Type]]="","",Table13[[#This Row],[DataWidth]])</f>
        <v/>
      </c>
      <c r="AK1040" s="68" t="str">
        <f>IF(Table13[[#This Row],[value Type]]="","", Table13[[#This Row],[DataOffset]])</f>
        <v/>
      </c>
      <c r="AL1040" s="24"/>
      <c r="AM1040" s="24" t="str">
        <f>IF(Table13[[#This Row],[value Type]]="","", "0x"&amp;DEC2HEX(Table13[[#This Row],[ADDR_Offset]],8) )</f>
        <v/>
      </c>
    </row>
    <row r="1041" spans="2:39" x14ac:dyDescent="0.3">
      <c r="B1041" s="14"/>
      <c r="C1041" s="14" t="s">
        <v>391</v>
      </c>
      <c r="D1041" s="14"/>
      <c r="E1041" s="24"/>
      <c r="F1041" s="24"/>
      <c r="G1041" s="14"/>
      <c r="H1041" s="15"/>
      <c r="I1041" s="29"/>
      <c r="J1041" s="15"/>
      <c r="K1041" s="15"/>
      <c r="L1041" s="14"/>
      <c r="M1041" s="35"/>
      <c r="N1041" s="15"/>
      <c r="O1041" s="88"/>
      <c r="P1041" s="25"/>
      <c r="Q1041" s="15"/>
      <c r="R1041" s="27"/>
      <c r="S1041" s="27"/>
      <c r="T1041" s="27"/>
      <c r="U1041" s="14"/>
      <c r="V1041" s="14"/>
      <c r="W1041" s="14"/>
      <c r="X1041" s="30"/>
      <c r="Y1041" s="30"/>
      <c r="Z1041" s="64"/>
      <c r="AA1041" s="64"/>
      <c r="AB1041" s="79"/>
      <c r="AC1041" s="12"/>
      <c r="AD1041" s="79"/>
      <c r="AE1041" s="79"/>
      <c r="AF1041" s="68"/>
      <c r="AG1041" s="75"/>
      <c r="AH1041" s="75" t="e">
        <f>IF(Table13[[#This Row],[value Type]]="","",VLOOKUP(Table13[[#This Row],[AddrTypeI]],Table22[],2,FALSE))</f>
        <v>#N/A</v>
      </c>
      <c r="AI1041" s="68"/>
      <c r="AJ1041" s="68"/>
      <c r="AK1041" s="68"/>
      <c r="AL1041" s="24"/>
      <c r="AM1041" s="24"/>
    </row>
  </sheetData>
  <phoneticPr fontId="1" type="noConversion"/>
  <dataValidations count="1">
    <dataValidation type="list" allowBlank="1" showInputMessage="1" showErrorMessage="1" sqref="J6:J48 J974:J975 J194:J455 J74:J139 J141:J192 J789:J967 J50:J72 J457:J787" xr:uid="{00000000-0002-0000-0100-000000000000}">
      <formula1>$B$209:$B$212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org!$B$91:$B$113</xm:f>
          </x14:formula1>
          <xm:sqref>X6 C6:C9 C11:C1041</xm:sqref>
        </x14:dataValidation>
        <x14:dataValidation type="list" allowBlank="1" showInputMessage="1" showErrorMessage="1" xr:uid="{00000000-0002-0000-0100-000002000000}">
          <x14:formula1>
            <xm:f>org!$B$151:$B$154</xm:f>
          </x14:formula1>
          <xm:sqref>J970:J973 J976:J1041</xm:sqref>
        </x14:dataValidation>
        <x14:dataValidation type="list" allowBlank="1" showInputMessage="1" showErrorMessage="1" xr:uid="{00000000-0002-0000-0100-000003000000}">
          <x14:formula1>
            <xm:f>org!$B$126:$B$141</xm:f>
          </x14:formula1>
          <xm:sqref>K6:K1041</xm:sqref>
        </x14:dataValidation>
        <x14:dataValidation type="list" allowBlank="1" showInputMessage="1" showErrorMessage="1" xr:uid="{00000000-0002-0000-0100-000004000000}">
          <x14:formula1>
            <xm:f>org!$B$73:$B$88</xm:f>
          </x14:formula1>
          <xm:sqref>E6:E1041</xm:sqref>
        </x14:dataValidation>
        <x14:dataValidation type="list" allowBlank="1" showInputMessage="1" showErrorMessage="1" xr:uid="{00000000-0002-0000-0100-000005000000}">
          <x14:formula1>
            <xm:f>org!$B$144:$B$147</xm:f>
          </x14:formula1>
          <xm:sqref>D7:D1041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2022-11-10T09:07:02Z</dcterms:modified>
</cp:coreProperties>
</file>